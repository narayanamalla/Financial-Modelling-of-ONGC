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7564\Desktop\"/>
    </mc:Choice>
  </mc:AlternateContent>
  <bookViews>
    <workbookView xWindow="0" yWindow="0" windowWidth="28800" windowHeight="12315" firstSheet="12" activeTab="16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Historical FS" sheetId="8" r:id="rId6"/>
    <sheet name="Ratio Analysis" sheetId="11" r:id="rId7"/>
    <sheet name="Common Size Statement" sheetId="7" r:id="rId8"/>
    <sheet name="Forecasting" sheetId="13" r:id="rId9"/>
    <sheet name="WACC" sheetId="14" r:id="rId10"/>
    <sheet name="BETA" sheetId="15" r:id="rId11"/>
    <sheet name="Intristic Growth" sheetId="18" r:id="rId12"/>
    <sheet name="FCFF" sheetId="19" r:id="rId13"/>
    <sheet name="Relative Valuation" sheetId="21" r:id="rId14"/>
    <sheet name="Football Field Analysis" sheetId="23" r:id="rId15"/>
    <sheet name="VaR" sheetId="24" r:id="rId16"/>
    <sheet name="Monte Carlo Simulation" sheetId="25" r:id="rId17"/>
    <sheet name="Data Sheet" sheetId="6" r:id="rId18"/>
    <sheet name="Dupont Analysis" sheetId="26" r:id="rId19"/>
    <sheet name="Rm" sheetId="20" r:id="rId20"/>
    <sheet name="Comps Data" sheetId="22" r:id="rId21"/>
    <sheet name="Forecasting(REGRESSION)" sheetId="12" r:id="rId22"/>
    <sheet name="Raw FS" sheetId="17" r:id="rId23"/>
    <sheet name="Cash Flow Data" sheetId="9" r:id="rId24"/>
  </sheets>
  <definedNames>
    <definedName name="_xlnm._FilterDatabase" localSheetId="10" hidden="1">BETA!$G$8:$H$255</definedName>
    <definedName name="UPDATE">'Data Sheet'!$E$1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4" i="19" l="1"/>
  <c r="D25" i="19"/>
  <c r="I42" i="26"/>
  <c r="I56" i="26" s="1"/>
  <c r="H42" i="26"/>
  <c r="H56" i="26" s="1"/>
  <c r="G42" i="26"/>
  <c r="G56" i="26" s="1"/>
  <c r="F42" i="26"/>
  <c r="F56" i="26" s="1"/>
  <c r="E42" i="26"/>
  <c r="D42" i="26"/>
  <c r="C42" i="26"/>
  <c r="C56" i="26" s="1"/>
  <c r="H52" i="26"/>
  <c r="H55" i="26" s="1"/>
  <c r="G52" i="26"/>
  <c r="G55" i="26" s="1"/>
  <c r="F52" i="26"/>
  <c r="F55" i="26" s="1"/>
  <c r="F57" i="26" s="1"/>
  <c r="E52" i="26"/>
  <c r="E55" i="26" s="1"/>
  <c r="D52" i="26"/>
  <c r="D55" i="26" s="1"/>
  <c r="C52" i="26"/>
  <c r="C64" i="26" s="1"/>
  <c r="C74" i="26" s="1"/>
  <c r="I52" i="26"/>
  <c r="I55" i="26" s="1"/>
  <c r="I48" i="26"/>
  <c r="I70" i="26" s="1"/>
  <c r="I73" i="26" s="1"/>
  <c r="H48" i="26"/>
  <c r="H70" i="26" s="1"/>
  <c r="H73" i="26" s="1"/>
  <c r="G48" i="26"/>
  <c r="G51" i="26" s="1"/>
  <c r="F48" i="26"/>
  <c r="F51" i="26" s="1"/>
  <c r="E48" i="26"/>
  <c r="E51" i="26" s="1"/>
  <c r="D48" i="26"/>
  <c r="D51" i="26" s="1"/>
  <c r="C48" i="26"/>
  <c r="C70" i="26" s="1"/>
  <c r="C73" i="26" s="1"/>
  <c r="C41" i="26"/>
  <c r="C63" i="26" s="1"/>
  <c r="D41" i="26"/>
  <c r="D47" i="26" s="1"/>
  <c r="D49" i="26" s="1"/>
  <c r="E41" i="26"/>
  <c r="E47" i="26" s="1"/>
  <c r="F41" i="26"/>
  <c r="G41" i="26"/>
  <c r="G63" i="26" s="1"/>
  <c r="H41" i="26"/>
  <c r="H63" i="26" s="1"/>
  <c r="I41" i="26"/>
  <c r="I63" i="26" s="1"/>
  <c r="C40" i="26"/>
  <c r="C46" i="26" s="1"/>
  <c r="C62" i="26" s="1"/>
  <c r="C68" i="26" s="1"/>
  <c r="D40" i="26"/>
  <c r="D46" i="26" s="1"/>
  <c r="D62" i="26" s="1"/>
  <c r="D68" i="26" s="1"/>
  <c r="E40" i="26"/>
  <c r="E46" i="26" s="1"/>
  <c r="E62" i="26" s="1"/>
  <c r="E68" i="26" s="1"/>
  <c r="F40" i="26"/>
  <c r="F46" i="26" s="1"/>
  <c r="F62" i="26" s="1"/>
  <c r="F68" i="26" s="1"/>
  <c r="G40" i="26"/>
  <c r="G46" i="26" s="1"/>
  <c r="G62" i="26" s="1"/>
  <c r="G68" i="26" s="1"/>
  <c r="H40" i="26"/>
  <c r="H46" i="26" s="1"/>
  <c r="H62" i="26" s="1"/>
  <c r="H68" i="26" s="1"/>
  <c r="I40" i="26"/>
  <c r="I46" i="26" s="1"/>
  <c r="I62" i="26" s="1"/>
  <c r="I68" i="26" s="1"/>
  <c r="B2" i="26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88" i="25"/>
  <c r="G389" i="25"/>
  <c r="G390" i="25"/>
  <c r="G391" i="25"/>
  <c r="G392" i="25"/>
  <c r="G393" i="25"/>
  <c r="G394" i="25"/>
  <c r="G395" i="25"/>
  <c r="G396" i="25"/>
  <c r="G397" i="25"/>
  <c r="G398" i="25"/>
  <c r="G399" i="25"/>
  <c r="G400" i="25"/>
  <c r="G401" i="25"/>
  <c r="G402" i="25"/>
  <c r="G403" i="25"/>
  <c r="G404" i="25"/>
  <c r="G405" i="25"/>
  <c r="G406" i="25"/>
  <c r="G407" i="25"/>
  <c r="G408" i="25"/>
  <c r="G409" i="25"/>
  <c r="G410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3" i="25"/>
  <c r="G434" i="25"/>
  <c r="G435" i="25"/>
  <c r="G436" i="25"/>
  <c r="G437" i="25"/>
  <c r="G438" i="25"/>
  <c r="G439" i="25"/>
  <c r="G440" i="25"/>
  <c r="G441" i="25"/>
  <c r="G442" i="25"/>
  <c r="G443" i="25"/>
  <c r="G444" i="25"/>
  <c r="G445" i="25"/>
  <c r="G446" i="25"/>
  <c r="G447" i="25"/>
  <c r="G448" i="25"/>
  <c r="G449" i="25"/>
  <c r="G450" i="25"/>
  <c r="G451" i="25"/>
  <c r="G452" i="25"/>
  <c r="G453" i="25"/>
  <c r="G454" i="25"/>
  <c r="G455" i="25"/>
  <c r="G456" i="25"/>
  <c r="G457" i="25"/>
  <c r="G458" i="25"/>
  <c r="G459" i="25"/>
  <c r="G460" i="25"/>
  <c r="G461" i="25"/>
  <c r="G462" i="25"/>
  <c r="G463" i="25"/>
  <c r="G464" i="25"/>
  <c r="G465" i="25"/>
  <c r="G466" i="25"/>
  <c r="G467" i="25"/>
  <c r="G468" i="25"/>
  <c r="G469" i="25"/>
  <c r="G470" i="25"/>
  <c r="G471" i="25"/>
  <c r="G472" i="25"/>
  <c r="G473" i="25"/>
  <c r="G474" i="25"/>
  <c r="G475" i="25"/>
  <c r="G476" i="25"/>
  <c r="G477" i="25"/>
  <c r="G478" i="25"/>
  <c r="G479" i="25"/>
  <c r="G480" i="25"/>
  <c r="G481" i="25"/>
  <c r="G482" i="25"/>
  <c r="G483" i="25"/>
  <c r="G484" i="25"/>
  <c r="G485" i="25"/>
  <c r="G486" i="25"/>
  <c r="G487" i="25"/>
  <c r="G488" i="25"/>
  <c r="G489" i="25"/>
  <c r="G490" i="25"/>
  <c r="G491" i="25"/>
  <c r="G492" i="25"/>
  <c r="G493" i="25"/>
  <c r="G494" i="25"/>
  <c r="G495" i="25"/>
  <c r="G496" i="25"/>
  <c r="G497" i="25"/>
  <c r="G498" i="25"/>
  <c r="G499" i="25"/>
  <c r="G500" i="25"/>
  <c r="G501" i="25"/>
  <c r="G502" i="25"/>
  <c r="G503" i="25"/>
  <c r="G504" i="25"/>
  <c r="G505" i="25"/>
  <c r="G506" i="25"/>
  <c r="G507" i="25"/>
  <c r="G508" i="25"/>
  <c r="G509" i="25"/>
  <c r="G510" i="25"/>
  <c r="G511" i="25"/>
  <c r="G512" i="25"/>
  <c r="G513" i="25"/>
  <c r="G514" i="25"/>
  <c r="G515" i="25"/>
  <c r="G516" i="25"/>
  <c r="G517" i="25"/>
  <c r="G518" i="25"/>
  <c r="G519" i="25"/>
  <c r="G520" i="25"/>
  <c r="G521" i="25"/>
  <c r="G522" i="25"/>
  <c r="G523" i="25"/>
  <c r="G524" i="25"/>
  <c r="G525" i="25"/>
  <c r="G526" i="25"/>
  <c r="G527" i="25"/>
  <c r="G528" i="25"/>
  <c r="G529" i="25"/>
  <c r="G530" i="25"/>
  <c r="G531" i="25"/>
  <c r="G532" i="25"/>
  <c r="G533" i="25"/>
  <c r="G534" i="25"/>
  <c r="G535" i="25"/>
  <c r="G536" i="25"/>
  <c r="G537" i="25"/>
  <c r="G538" i="25"/>
  <c r="G539" i="25"/>
  <c r="G540" i="25"/>
  <c r="G541" i="25"/>
  <c r="G542" i="25"/>
  <c r="G543" i="25"/>
  <c r="G544" i="25"/>
  <c r="G545" i="25"/>
  <c r="G546" i="25"/>
  <c r="G547" i="25"/>
  <c r="G548" i="25"/>
  <c r="G549" i="25"/>
  <c r="G550" i="25"/>
  <c r="G551" i="25"/>
  <c r="G552" i="25"/>
  <c r="G553" i="25"/>
  <c r="G554" i="25"/>
  <c r="G555" i="25"/>
  <c r="G556" i="25"/>
  <c r="G557" i="25"/>
  <c r="G558" i="25"/>
  <c r="G559" i="25"/>
  <c r="G560" i="25"/>
  <c r="G561" i="25"/>
  <c r="G562" i="25"/>
  <c r="G563" i="25"/>
  <c r="G564" i="25"/>
  <c r="G565" i="25"/>
  <c r="G566" i="25"/>
  <c r="G567" i="25"/>
  <c r="G568" i="25"/>
  <c r="G569" i="25"/>
  <c r="G570" i="25"/>
  <c r="G571" i="25"/>
  <c r="G572" i="25"/>
  <c r="G573" i="25"/>
  <c r="G574" i="25"/>
  <c r="G575" i="25"/>
  <c r="G576" i="25"/>
  <c r="G577" i="25"/>
  <c r="G578" i="25"/>
  <c r="G579" i="25"/>
  <c r="G580" i="25"/>
  <c r="G581" i="25"/>
  <c r="G582" i="25"/>
  <c r="G583" i="25"/>
  <c r="G584" i="25"/>
  <c r="G585" i="25"/>
  <c r="G586" i="25"/>
  <c r="G587" i="25"/>
  <c r="G588" i="25"/>
  <c r="G589" i="25"/>
  <c r="G590" i="25"/>
  <c r="G591" i="25"/>
  <c r="G592" i="25"/>
  <c r="G593" i="25"/>
  <c r="G594" i="25"/>
  <c r="G595" i="25"/>
  <c r="G596" i="25"/>
  <c r="G597" i="25"/>
  <c r="G598" i="25"/>
  <c r="G599" i="25"/>
  <c r="G600" i="25"/>
  <c r="G601" i="25"/>
  <c r="G602" i="25"/>
  <c r="G603" i="25"/>
  <c r="G604" i="25"/>
  <c r="G605" i="25"/>
  <c r="G606" i="25"/>
  <c r="G607" i="25"/>
  <c r="G608" i="25"/>
  <c r="G609" i="25"/>
  <c r="G610" i="25"/>
  <c r="G611" i="25"/>
  <c r="G612" i="25"/>
  <c r="G613" i="25"/>
  <c r="G614" i="25"/>
  <c r="G615" i="25"/>
  <c r="G616" i="25"/>
  <c r="G617" i="25"/>
  <c r="G618" i="25"/>
  <c r="G619" i="25"/>
  <c r="G620" i="25"/>
  <c r="G621" i="25"/>
  <c r="G622" i="25"/>
  <c r="G623" i="25"/>
  <c r="G624" i="25"/>
  <c r="G625" i="25"/>
  <c r="G626" i="25"/>
  <c r="G627" i="25"/>
  <c r="G628" i="25"/>
  <c r="G629" i="25"/>
  <c r="G630" i="25"/>
  <c r="G631" i="25"/>
  <c r="G632" i="25"/>
  <c r="G633" i="25"/>
  <c r="G634" i="25"/>
  <c r="G635" i="25"/>
  <c r="G636" i="25"/>
  <c r="G637" i="25"/>
  <c r="G638" i="25"/>
  <c r="G639" i="25"/>
  <c r="G640" i="25"/>
  <c r="G641" i="25"/>
  <c r="G642" i="25"/>
  <c r="G643" i="25"/>
  <c r="G644" i="25"/>
  <c r="G645" i="25"/>
  <c r="G646" i="25"/>
  <c r="G647" i="25"/>
  <c r="G648" i="25"/>
  <c r="G649" i="25"/>
  <c r="G650" i="25"/>
  <c r="G651" i="25"/>
  <c r="G652" i="25"/>
  <c r="G653" i="25"/>
  <c r="G654" i="25"/>
  <c r="G655" i="25"/>
  <c r="G656" i="25"/>
  <c r="G657" i="25"/>
  <c r="G658" i="25"/>
  <c r="G659" i="25"/>
  <c r="G660" i="25"/>
  <c r="G661" i="25"/>
  <c r="G662" i="25"/>
  <c r="G663" i="25"/>
  <c r="G664" i="25"/>
  <c r="G665" i="25"/>
  <c r="G666" i="25"/>
  <c r="G667" i="25"/>
  <c r="G668" i="25"/>
  <c r="G669" i="25"/>
  <c r="G670" i="25"/>
  <c r="G671" i="25"/>
  <c r="G672" i="25"/>
  <c r="G673" i="25"/>
  <c r="G674" i="25"/>
  <c r="G675" i="25"/>
  <c r="G676" i="25"/>
  <c r="G677" i="25"/>
  <c r="G678" i="25"/>
  <c r="G679" i="25"/>
  <c r="G680" i="25"/>
  <c r="G681" i="25"/>
  <c r="G682" i="25"/>
  <c r="G683" i="25"/>
  <c r="G684" i="25"/>
  <c r="G685" i="25"/>
  <c r="G686" i="25"/>
  <c r="G687" i="25"/>
  <c r="G688" i="25"/>
  <c r="G689" i="25"/>
  <c r="G690" i="25"/>
  <c r="G691" i="25"/>
  <c r="G692" i="25"/>
  <c r="G693" i="25"/>
  <c r="G694" i="25"/>
  <c r="G695" i="25"/>
  <c r="G696" i="25"/>
  <c r="G697" i="25"/>
  <c r="G698" i="25"/>
  <c r="G699" i="25"/>
  <c r="G700" i="25"/>
  <c r="G701" i="25"/>
  <c r="G702" i="25"/>
  <c r="G703" i="25"/>
  <c r="G704" i="25"/>
  <c r="G705" i="25"/>
  <c r="G706" i="25"/>
  <c r="G707" i="25"/>
  <c r="G708" i="25"/>
  <c r="G709" i="25"/>
  <c r="G710" i="25"/>
  <c r="G711" i="25"/>
  <c r="G712" i="25"/>
  <c r="G713" i="25"/>
  <c r="G714" i="25"/>
  <c r="G715" i="25"/>
  <c r="G716" i="25"/>
  <c r="G717" i="25"/>
  <c r="G718" i="25"/>
  <c r="G719" i="25"/>
  <c r="G720" i="25"/>
  <c r="G721" i="25"/>
  <c r="G722" i="25"/>
  <c r="G723" i="25"/>
  <c r="G724" i="25"/>
  <c r="G725" i="25"/>
  <c r="G726" i="25"/>
  <c r="G727" i="25"/>
  <c r="G728" i="25"/>
  <c r="G729" i="25"/>
  <c r="G730" i="25"/>
  <c r="G731" i="25"/>
  <c r="G732" i="25"/>
  <c r="G733" i="25"/>
  <c r="G734" i="25"/>
  <c r="G735" i="25"/>
  <c r="G736" i="25"/>
  <c r="G737" i="25"/>
  <c r="G738" i="25"/>
  <c r="G739" i="25"/>
  <c r="G740" i="25"/>
  <c r="G741" i="25"/>
  <c r="G742" i="25"/>
  <c r="G743" i="25"/>
  <c r="G744" i="25"/>
  <c r="G745" i="25"/>
  <c r="G746" i="25"/>
  <c r="G747" i="25"/>
  <c r="G748" i="25"/>
  <c r="G749" i="25"/>
  <c r="G750" i="25"/>
  <c r="G751" i="25"/>
  <c r="G752" i="25"/>
  <c r="G753" i="25"/>
  <c r="G754" i="25"/>
  <c r="G755" i="25"/>
  <c r="G756" i="25"/>
  <c r="G757" i="25"/>
  <c r="G758" i="25"/>
  <c r="G759" i="25"/>
  <c r="G760" i="25"/>
  <c r="G761" i="25"/>
  <c r="G762" i="25"/>
  <c r="G763" i="25"/>
  <c r="G764" i="25"/>
  <c r="G765" i="25"/>
  <c r="G766" i="25"/>
  <c r="G767" i="25"/>
  <c r="G768" i="25"/>
  <c r="G769" i="25"/>
  <c r="G770" i="25"/>
  <c r="G771" i="25"/>
  <c r="G772" i="25"/>
  <c r="G773" i="25"/>
  <c r="G774" i="25"/>
  <c r="G775" i="25"/>
  <c r="G776" i="25"/>
  <c r="G777" i="25"/>
  <c r="G778" i="25"/>
  <c r="G779" i="25"/>
  <c r="G780" i="25"/>
  <c r="G781" i="25"/>
  <c r="G782" i="25"/>
  <c r="G783" i="25"/>
  <c r="G784" i="25"/>
  <c r="G785" i="25"/>
  <c r="G786" i="25"/>
  <c r="G787" i="25"/>
  <c r="G788" i="25"/>
  <c r="G789" i="25"/>
  <c r="G790" i="25"/>
  <c r="G791" i="25"/>
  <c r="G792" i="25"/>
  <c r="G793" i="25"/>
  <c r="G794" i="25"/>
  <c r="G795" i="25"/>
  <c r="G796" i="25"/>
  <c r="G797" i="25"/>
  <c r="G798" i="25"/>
  <c r="G799" i="25"/>
  <c r="G800" i="25"/>
  <c r="G801" i="25"/>
  <c r="G802" i="25"/>
  <c r="G803" i="25"/>
  <c r="G804" i="25"/>
  <c r="G805" i="25"/>
  <c r="G806" i="25"/>
  <c r="G807" i="25"/>
  <c r="G808" i="25"/>
  <c r="G809" i="25"/>
  <c r="G810" i="25"/>
  <c r="G811" i="25"/>
  <c r="G812" i="25"/>
  <c r="G813" i="25"/>
  <c r="G814" i="25"/>
  <c r="G815" i="25"/>
  <c r="G816" i="25"/>
  <c r="G817" i="25"/>
  <c r="G818" i="25"/>
  <c r="G819" i="25"/>
  <c r="G820" i="25"/>
  <c r="G821" i="25"/>
  <c r="G822" i="25"/>
  <c r="G823" i="25"/>
  <c r="G824" i="25"/>
  <c r="G825" i="25"/>
  <c r="G826" i="25"/>
  <c r="G827" i="25"/>
  <c r="G828" i="25"/>
  <c r="G829" i="25"/>
  <c r="G830" i="25"/>
  <c r="G831" i="25"/>
  <c r="G832" i="25"/>
  <c r="G833" i="25"/>
  <c r="G834" i="25"/>
  <c r="G835" i="25"/>
  <c r="G836" i="25"/>
  <c r="G837" i="25"/>
  <c r="G838" i="25"/>
  <c r="G839" i="25"/>
  <c r="G840" i="25"/>
  <c r="G841" i="25"/>
  <c r="G842" i="25"/>
  <c r="G843" i="25"/>
  <c r="G844" i="25"/>
  <c r="G845" i="25"/>
  <c r="G846" i="25"/>
  <c r="G847" i="25"/>
  <c r="G848" i="25"/>
  <c r="G849" i="25"/>
  <c r="G850" i="25"/>
  <c r="G851" i="25"/>
  <c r="G852" i="25"/>
  <c r="G853" i="25"/>
  <c r="G854" i="25"/>
  <c r="G855" i="25"/>
  <c r="G856" i="25"/>
  <c r="G857" i="25"/>
  <c r="G858" i="25"/>
  <c r="G859" i="25"/>
  <c r="G860" i="25"/>
  <c r="G861" i="25"/>
  <c r="G862" i="25"/>
  <c r="G863" i="25"/>
  <c r="G864" i="25"/>
  <c r="G865" i="25"/>
  <c r="G866" i="25"/>
  <c r="G867" i="25"/>
  <c r="G868" i="25"/>
  <c r="G869" i="25"/>
  <c r="G870" i="25"/>
  <c r="G871" i="25"/>
  <c r="G872" i="25"/>
  <c r="G873" i="25"/>
  <c r="G874" i="25"/>
  <c r="G875" i="25"/>
  <c r="G876" i="25"/>
  <c r="G877" i="25"/>
  <c r="G878" i="25"/>
  <c r="G879" i="25"/>
  <c r="G880" i="25"/>
  <c r="G881" i="25"/>
  <c r="G882" i="25"/>
  <c r="G883" i="25"/>
  <c r="G884" i="25"/>
  <c r="G885" i="25"/>
  <c r="G886" i="25"/>
  <c r="G887" i="25"/>
  <c r="G888" i="25"/>
  <c r="G889" i="25"/>
  <c r="G890" i="25"/>
  <c r="G891" i="25"/>
  <c r="G892" i="25"/>
  <c r="G893" i="25"/>
  <c r="G894" i="25"/>
  <c r="G895" i="25"/>
  <c r="G896" i="25"/>
  <c r="G897" i="25"/>
  <c r="G898" i="25"/>
  <c r="G899" i="25"/>
  <c r="G900" i="25"/>
  <c r="G901" i="25"/>
  <c r="G902" i="25"/>
  <c r="G903" i="25"/>
  <c r="G904" i="25"/>
  <c r="G905" i="25"/>
  <c r="G906" i="25"/>
  <c r="G907" i="25"/>
  <c r="G908" i="25"/>
  <c r="G909" i="25"/>
  <c r="G910" i="25"/>
  <c r="G911" i="25"/>
  <c r="G912" i="25"/>
  <c r="G913" i="25"/>
  <c r="G914" i="25"/>
  <c r="G915" i="25"/>
  <c r="G916" i="25"/>
  <c r="G917" i="25"/>
  <c r="G918" i="25"/>
  <c r="G919" i="25"/>
  <c r="G920" i="25"/>
  <c r="G921" i="25"/>
  <c r="G922" i="25"/>
  <c r="G923" i="25"/>
  <c r="G924" i="25"/>
  <c r="G925" i="25"/>
  <c r="G926" i="25"/>
  <c r="G927" i="25"/>
  <c r="G928" i="25"/>
  <c r="G929" i="25"/>
  <c r="G930" i="25"/>
  <c r="G931" i="25"/>
  <c r="G932" i="25"/>
  <c r="G933" i="25"/>
  <c r="G934" i="25"/>
  <c r="G935" i="25"/>
  <c r="G936" i="25"/>
  <c r="G937" i="25"/>
  <c r="G938" i="25"/>
  <c r="G939" i="25"/>
  <c r="G940" i="25"/>
  <c r="G941" i="25"/>
  <c r="G942" i="25"/>
  <c r="G943" i="25"/>
  <c r="G944" i="25"/>
  <c r="G945" i="25"/>
  <c r="G946" i="25"/>
  <c r="G947" i="25"/>
  <c r="G948" i="25"/>
  <c r="G949" i="25"/>
  <c r="G950" i="25"/>
  <c r="G951" i="25"/>
  <c r="G952" i="25"/>
  <c r="G953" i="25"/>
  <c r="G954" i="25"/>
  <c r="G955" i="25"/>
  <c r="G956" i="25"/>
  <c r="G957" i="25"/>
  <c r="G958" i="25"/>
  <c r="G959" i="25"/>
  <c r="G960" i="25"/>
  <c r="G961" i="25"/>
  <c r="G962" i="25"/>
  <c r="G963" i="25"/>
  <c r="G964" i="25"/>
  <c r="G965" i="25"/>
  <c r="G966" i="25"/>
  <c r="G967" i="25"/>
  <c r="G968" i="25"/>
  <c r="G969" i="25"/>
  <c r="G970" i="25"/>
  <c r="G971" i="25"/>
  <c r="G972" i="25"/>
  <c r="G973" i="25"/>
  <c r="G974" i="25"/>
  <c r="G975" i="25"/>
  <c r="G976" i="25"/>
  <c r="G977" i="25"/>
  <c r="G978" i="25"/>
  <c r="G979" i="25"/>
  <c r="G980" i="25"/>
  <c r="G981" i="25"/>
  <c r="G982" i="25"/>
  <c r="G983" i="25"/>
  <c r="G984" i="25"/>
  <c r="G985" i="25"/>
  <c r="G986" i="25"/>
  <c r="G987" i="25"/>
  <c r="G988" i="25"/>
  <c r="G989" i="25"/>
  <c r="G990" i="25"/>
  <c r="G991" i="25"/>
  <c r="G992" i="25"/>
  <c r="G993" i="25"/>
  <c r="G994" i="25"/>
  <c r="G995" i="25"/>
  <c r="G996" i="25"/>
  <c r="G997" i="25"/>
  <c r="G998" i="25"/>
  <c r="G999" i="25"/>
  <c r="G1000" i="25"/>
  <c r="G1001" i="25"/>
  <c r="G1002" i="25"/>
  <c r="G1003" i="25"/>
  <c r="G1004" i="25"/>
  <c r="G1005" i="25"/>
  <c r="G1006" i="25"/>
  <c r="G1007" i="25"/>
  <c r="G1008" i="25"/>
  <c r="G1009" i="25"/>
  <c r="G1010" i="25"/>
  <c r="G1011" i="25"/>
  <c r="G1012" i="25"/>
  <c r="G1013" i="25"/>
  <c r="G1014" i="25"/>
  <c r="G1015" i="25"/>
  <c r="G1016" i="25"/>
  <c r="G1017" i="25"/>
  <c r="G1018" i="25"/>
  <c r="G1019" i="25"/>
  <c r="G1020" i="25"/>
  <c r="G1021" i="25"/>
  <c r="G1022" i="25"/>
  <c r="G1023" i="25"/>
  <c r="G1024" i="25"/>
  <c r="G1025" i="25"/>
  <c r="G1026" i="25"/>
  <c r="G1027" i="25"/>
  <c r="G1028" i="25"/>
  <c r="G1029" i="25"/>
  <c r="G1030" i="25"/>
  <c r="G1031" i="25"/>
  <c r="G1032" i="25"/>
  <c r="G1033" i="25"/>
  <c r="G1034" i="25"/>
  <c r="G1035" i="25"/>
  <c r="G1036" i="25"/>
  <c r="G1037" i="25"/>
  <c r="G1038" i="25"/>
  <c r="G1039" i="25"/>
  <c r="G1040" i="25"/>
  <c r="G1041" i="25"/>
  <c r="G1042" i="25"/>
  <c r="G1043" i="25"/>
  <c r="G1044" i="25"/>
  <c r="G1045" i="25"/>
  <c r="G1046" i="25"/>
  <c r="G1047" i="25"/>
  <c r="G1048" i="25"/>
  <c r="G1049" i="25"/>
  <c r="G1050" i="25"/>
  <c r="G1051" i="25"/>
  <c r="G1052" i="25"/>
  <c r="G1053" i="25"/>
  <c r="G1054" i="25"/>
  <c r="G1055" i="25"/>
  <c r="G1056" i="25"/>
  <c r="G1057" i="25"/>
  <c r="G1058" i="25"/>
  <c r="G1059" i="25"/>
  <c r="G1060" i="25"/>
  <c r="G1061" i="25"/>
  <c r="G1062" i="25"/>
  <c r="G1063" i="25"/>
  <c r="G1064" i="25"/>
  <c r="G1065" i="25"/>
  <c r="G1066" i="25"/>
  <c r="G1067" i="25"/>
  <c r="G1068" i="25"/>
  <c r="G1069" i="25"/>
  <c r="G1070" i="25"/>
  <c r="G1071" i="25"/>
  <c r="G1072" i="25"/>
  <c r="G1073" i="25"/>
  <c r="G1074" i="25"/>
  <c r="G1075" i="25"/>
  <c r="G1076" i="25"/>
  <c r="G1077" i="25"/>
  <c r="G1078" i="25"/>
  <c r="G1079" i="25"/>
  <c r="G1080" i="25"/>
  <c r="G1081" i="25"/>
  <c r="G1082" i="25"/>
  <c r="G1083" i="25"/>
  <c r="G1084" i="25"/>
  <c r="G1085" i="25"/>
  <c r="G1086" i="25"/>
  <c r="G1087" i="25"/>
  <c r="G1088" i="25"/>
  <c r="G1089" i="25"/>
  <c r="G1090" i="25"/>
  <c r="G1091" i="25"/>
  <c r="G1092" i="25"/>
  <c r="G1093" i="25"/>
  <c r="G1094" i="25"/>
  <c r="G1095" i="25"/>
  <c r="G1096" i="25"/>
  <c r="G1097" i="25"/>
  <c r="G1098" i="25"/>
  <c r="G1099" i="25"/>
  <c r="G1100" i="25"/>
  <c r="G1101" i="25"/>
  <c r="G1102" i="25"/>
  <c r="G1103" i="25"/>
  <c r="G1104" i="25"/>
  <c r="G1105" i="25"/>
  <c r="G1106" i="25"/>
  <c r="G1107" i="25"/>
  <c r="G1108" i="25"/>
  <c r="G1109" i="25"/>
  <c r="G1110" i="25"/>
  <c r="G1111" i="25"/>
  <c r="G1112" i="25"/>
  <c r="G1113" i="25"/>
  <c r="G1114" i="25"/>
  <c r="G1115" i="25"/>
  <c r="G1116" i="25"/>
  <c r="G1117" i="25"/>
  <c r="G1118" i="25"/>
  <c r="G1119" i="25"/>
  <c r="G1120" i="25"/>
  <c r="G1121" i="25"/>
  <c r="G1122" i="25"/>
  <c r="G1123" i="25"/>
  <c r="G1124" i="25"/>
  <c r="G1125" i="25"/>
  <c r="G1126" i="25"/>
  <c r="G1127" i="25"/>
  <c r="G1128" i="25"/>
  <c r="G1129" i="25"/>
  <c r="G1130" i="25"/>
  <c r="G1131" i="25"/>
  <c r="G1132" i="25"/>
  <c r="G1133" i="25"/>
  <c r="G1134" i="25"/>
  <c r="G1135" i="25"/>
  <c r="G1136" i="25"/>
  <c r="G1137" i="25"/>
  <c r="G1138" i="25"/>
  <c r="G1139" i="25"/>
  <c r="G1140" i="25"/>
  <c r="G1141" i="25"/>
  <c r="G1142" i="25"/>
  <c r="G1143" i="25"/>
  <c r="G1144" i="25"/>
  <c r="G1145" i="25"/>
  <c r="G1146" i="25"/>
  <c r="G1147" i="25"/>
  <c r="G1148" i="25"/>
  <c r="G1149" i="25"/>
  <c r="G1150" i="25"/>
  <c r="G1151" i="25"/>
  <c r="G1152" i="25"/>
  <c r="G1153" i="25"/>
  <c r="G1154" i="25"/>
  <c r="G1155" i="25"/>
  <c r="G1156" i="25"/>
  <c r="G1157" i="25"/>
  <c r="G1158" i="25"/>
  <c r="G1159" i="25"/>
  <c r="G1160" i="25"/>
  <c r="G1161" i="25"/>
  <c r="G1162" i="25"/>
  <c r="G1163" i="25"/>
  <c r="G1164" i="25"/>
  <c r="G1165" i="25"/>
  <c r="G1166" i="25"/>
  <c r="G1167" i="25"/>
  <c r="G1168" i="25"/>
  <c r="G1169" i="25"/>
  <c r="G1170" i="25"/>
  <c r="G1171" i="25"/>
  <c r="G1172" i="25"/>
  <c r="G1173" i="25"/>
  <c r="G1174" i="25"/>
  <c r="G1175" i="25"/>
  <c r="G1176" i="25"/>
  <c r="G1177" i="25"/>
  <c r="G1178" i="25"/>
  <c r="G1179" i="25"/>
  <c r="G1180" i="25"/>
  <c r="G1181" i="25"/>
  <c r="G1182" i="25"/>
  <c r="G1183" i="25"/>
  <c r="G1184" i="25"/>
  <c r="G1185" i="25"/>
  <c r="G1186" i="25"/>
  <c r="G1187" i="25"/>
  <c r="G1188" i="25"/>
  <c r="G1189" i="25"/>
  <c r="G1190" i="25"/>
  <c r="G1191" i="25"/>
  <c r="G1192" i="25"/>
  <c r="G1193" i="25"/>
  <c r="G1194" i="25"/>
  <c r="G1195" i="25"/>
  <c r="G1196" i="25"/>
  <c r="G1197" i="25"/>
  <c r="G1198" i="25"/>
  <c r="G1199" i="25"/>
  <c r="G1200" i="25"/>
  <c r="G1201" i="25"/>
  <c r="G1202" i="25"/>
  <c r="G1203" i="25"/>
  <c r="G1204" i="25"/>
  <c r="G1205" i="25"/>
  <c r="G1206" i="25"/>
  <c r="G1207" i="25"/>
  <c r="G1208" i="25"/>
  <c r="G1209" i="25"/>
  <c r="G1210" i="25"/>
  <c r="G1211" i="25"/>
  <c r="G1212" i="25"/>
  <c r="G1213" i="25"/>
  <c r="G1214" i="25"/>
  <c r="G1215" i="25"/>
  <c r="G1216" i="25"/>
  <c r="G1217" i="25"/>
  <c r="G1218" i="25"/>
  <c r="G1219" i="25"/>
  <c r="G1220" i="25"/>
  <c r="G1221" i="25"/>
  <c r="G1222" i="25"/>
  <c r="G1223" i="25"/>
  <c r="G1224" i="25"/>
  <c r="G1225" i="25"/>
  <c r="G1226" i="25"/>
  <c r="G1227" i="25"/>
  <c r="G1228" i="25"/>
  <c r="G1229" i="25"/>
  <c r="G1230" i="25"/>
  <c r="G1231" i="25"/>
  <c r="G1232" i="25"/>
  <c r="G1233" i="25"/>
  <c r="G1234" i="25"/>
  <c r="G1235" i="25"/>
  <c r="G1236" i="25"/>
  <c r="G1237" i="25"/>
  <c r="G1238" i="25"/>
  <c r="G1239" i="25"/>
  <c r="G1240" i="25"/>
  <c r="G1241" i="25"/>
  <c r="G1242" i="25"/>
  <c r="G1243" i="25"/>
  <c r="G1244" i="25"/>
  <c r="G1245" i="25"/>
  <c r="G1246" i="25"/>
  <c r="G1247" i="25"/>
  <c r="G1248" i="25"/>
  <c r="G1249" i="25"/>
  <c r="G1250" i="25"/>
  <c r="G1251" i="25"/>
  <c r="G1252" i="25"/>
  <c r="G1253" i="25"/>
  <c r="G1254" i="25"/>
  <c r="G1255" i="25"/>
  <c r="G1256" i="25"/>
  <c r="G1257" i="25"/>
  <c r="G1258" i="25"/>
  <c r="G1259" i="25"/>
  <c r="G1260" i="25"/>
  <c r="G1261" i="25"/>
  <c r="G1262" i="25"/>
  <c r="G1263" i="25"/>
  <c r="G1264" i="25"/>
  <c r="G1265" i="25"/>
  <c r="G1266" i="25"/>
  <c r="G1267" i="25"/>
  <c r="G1268" i="25"/>
  <c r="G1269" i="25"/>
  <c r="G1270" i="25"/>
  <c r="G1271" i="25"/>
  <c r="G1272" i="25"/>
  <c r="G1273" i="25"/>
  <c r="G1274" i="25"/>
  <c r="G1275" i="25"/>
  <c r="G1276" i="25"/>
  <c r="G1277" i="25"/>
  <c r="G1278" i="25"/>
  <c r="G1279" i="25"/>
  <c r="G1280" i="25"/>
  <c r="G1281" i="25"/>
  <c r="G1282" i="25"/>
  <c r="G1283" i="25"/>
  <c r="G1284" i="25"/>
  <c r="G1285" i="25"/>
  <c r="G1286" i="25"/>
  <c r="G1287" i="25"/>
  <c r="G1288" i="25"/>
  <c r="G1289" i="25"/>
  <c r="G1290" i="25"/>
  <c r="G1291" i="25"/>
  <c r="G1292" i="25"/>
  <c r="G1293" i="25"/>
  <c r="G1294" i="25"/>
  <c r="G1295" i="25"/>
  <c r="G1296" i="25"/>
  <c r="G1297" i="25"/>
  <c r="G1298" i="25"/>
  <c r="G1299" i="25"/>
  <c r="G1300" i="25"/>
  <c r="G1301" i="25"/>
  <c r="G1302" i="25"/>
  <c r="G1303" i="25"/>
  <c r="G1304" i="25"/>
  <c r="G1305" i="25"/>
  <c r="G1306" i="25"/>
  <c r="G1307" i="25"/>
  <c r="G1308" i="25"/>
  <c r="G1309" i="25"/>
  <c r="G1310" i="25"/>
  <c r="G1311" i="25"/>
  <c r="G1312" i="25"/>
  <c r="G1313" i="25"/>
  <c r="G1314" i="25"/>
  <c r="G1315" i="25"/>
  <c r="G1316" i="25"/>
  <c r="G1317" i="25"/>
  <c r="G1318" i="25"/>
  <c r="G1319" i="25"/>
  <c r="G1320" i="25"/>
  <c r="G1321" i="25"/>
  <c r="G1322" i="25"/>
  <c r="G1323" i="25"/>
  <c r="G1324" i="25"/>
  <c r="G1325" i="25"/>
  <c r="G1326" i="25"/>
  <c r="G1327" i="25"/>
  <c r="G1328" i="25"/>
  <c r="G1329" i="25"/>
  <c r="G1330" i="25"/>
  <c r="G1331" i="25"/>
  <c r="G1332" i="25"/>
  <c r="G1333" i="25"/>
  <c r="G1334" i="25"/>
  <c r="G1335" i="25"/>
  <c r="G1336" i="25"/>
  <c r="G1337" i="25"/>
  <c r="G1338" i="25"/>
  <c r="G1339" i="25"/>
  <c r="G1340" i="25"/>
  <c r="G1341" i="25"/>
  <c r="G1342" i="25"/>
  <c r="G1343" i="25"/>
  <c r="G1344" i="25"/>
  <c r="G1345" i="25"/>
  <c r="G1346" i="25"/>
  <c r="G1347" i="25"/>
  <c r="G1348" i="25"/>
  <c r="G1349" i="25"/>
  <c r="G1350" i="25"/>
  <c r="G1351" i="25"/>
  <c r="G1352" i="25"/>
  <c r="G1353" i="25"/>
  <c r="G1354" i="25"/>
  <c r="G1355" i="25"/>
  <c r="G1356" i="25"/>
  <c r="G1357" i="25"/>
  <c r="G1358" i="25"/>
  <c r="G1359" i="25"/>
  <c r="G1360" i="25"/>
  <c r="G1361" i="25"/>
  <c r="G1362" i="25"/>
  <c r="G1363" i="25"/>
  <c r="G1364" i="25"/>
  <c r="G1365" i="25"/>
  <c r="G1366" i="25"/>
  <c r="G1367" i="25"/>
  <c r="G1368" i="25"/>
  <c r="G1369" i="25"/>
  <c r="G1370" i="25"/>
  <c r="G1371" i="25"/>
  <c r="G1372" i="25"/>
  <c r="G1373" i="25"/>
  <c r="G1374" i="25"/>
  <c r="G1375" i="25"/>
  <c r="G1376" i="25"/>
  <c r="G1377" i="25"/>
  <c r="G1378" i="25"/>
  <c r="G1379" i="25"/>
  <c r="G1380" i="25"/>
  <c r="G1381" i="25"/>
  <c r="G1382" i="25"/>
  <c r="G1383" i="25"/>
  <c r="G1384" i="25"/>
  <c r="G1385" i="25"/>
  <c r="G1386" i="25"/>
  <c r="G1387" i="25"/>
  <c r="G1388" i="25"/>
  <c r="G1389" i="25"/>
  <c r="G1390" i="25"/>
  <c r="G1391" i="25"/>
  <c r="G1392" i="25"/>
  <c r="G1393" i="25"/>
  <c r="G1394" i="25"/>
  <c r="G1395" i="25"/>
  <c r="G1396" i="25"/>
  <c r="G1397" i="25"/>
  <c r="G1398" i="25"/>
  <c r="G1399" i="25"/>
  <c r="G1400" i="25"/>
  <c r="G1401" i="25"/>
  <c r="G1402" i="25"/>
  <c r="G1403" i="25"/>
  <c r="G1404" i="25"/>
  <c r="G1405" i="25"/>
  <c r="G1406" i="25"/>
  <c r="G1407" i="25"/>
  <c r="G1408" i="25"/>
  <c r="G1409" i="25"/>
  <c r="G1410" i="25"/>
  <c r="G1411" i="25"/>
  <c r="G1412" i="25"/>
  <c r="G1413" i="25"/>
  <c r="G1414" i="25"/>
  <c r="G1415" i="25"/>
  <c r="G1416" i="25"/>
  <c r="G1417" i="25"/>
  <c r="G1418" i="25"/>
  <c r="G1419" i="25"/>
  <c r="G1420" i="25"/>
  <c r="G1421" i="25"/>
  <c r="G1422" i="25"/>
  <c r="G1423" i="25"/>
  <c r="G1424" i="25"/>
  <c r="G1425" i="25"/>
  <c r="G1426" i="25"/>
  <c r="G1427" i="25"/>
  <c r="G1428" i="25"/>
  <c r="G1429" i="25"/>
  <c r="G1430" i="25"/>
  <c r="G1431" i="25"/>
  <c r="G1432" i="25"/>
  <c r="G1433" i="25"/>
  <c r="G1434" i="25"/>
  <c r="G1435" i="25"/>
  <c r="G1436" i="25"/>
  <c r="G1437" i="25"/>
  <c r="G1438" i="25"/>
  <c r="G1439" i="25"/>
  <c r="G1440" i="25"/>
  <c r="G1441" i="25"/>
  <c r="G1442" i="25"/>
  <c r="G1443" i="25"/>
  <c r="G1444" i="25"/>
  <c r="G1445" i="25"/>
  <c r="G1446" i="25"/>
  <c r="G1447" i="25"/>
  <c r="G1448" i="25"/>
  <c r="G1449" i="25"/>
  <c r="G1450" i="25"/>
  <c r="G1451" i="25"/>
  <c r="G1452" i="25"/>
  <c r="G1453" i="25"/>
  <c r="G1454" i="25"/>
  <c r="G1455" i="25"/>
  <c r="G1456" i="25"/>
  <c r="G1457" i="25"/>
  <c r="G1458" i="25"/>
  <c r="G1459" i="25"/>
  <c r="G1460" i="25"/>
  <c r="G1461" i="25"/>
  <c r="G1462" i="25"/>
  <c r="G1463" i="25"/>
  <c r="G1464" i="25"/>
  <c r="G1465" i="25"/>
  <c r="G1466" i="25"/>
  <c r="G1467" i="25"/>
  <c r="G1468" i="25"/>
  <c r="G1469" i="25"/>
  <c r="G1470" i="25"/>
  <c r="G1471" i="25"/>
  <c r="G1472" i="25"/>
  <c r="G1473" i="25"/>
  <c r="G1474" i="25"/>
  <c r="G1475" i="25"/>
  <c r="G1476" i="25"/>
  <c r="G1477" i="25"/>
  <c r="G1478" i="25"/>
  <c r="G1479" i="25"/>
  <c r="G1480" i="25"/>
  <c r="G1481" i="25"/>
  <c r="G1482" i="25"/>
  <c r="G1483" i="25"/>
  <c r="G1484" i="25"/>
  <c r="G1485" i="25"/>
  <c r="G1486" i="25"/>
  <c r="G1487" i="25"/>
  <c r="G1488" i="25"/>
  <c r="G1489" i="25"/>
  <c r="G1490" i="25"/>
  <c r="G1491" i="25"/>
  <c r="G1492" i="25"/>
  <c r="G1493" i="25"/>
  <c r="G1494" i="25"/>
  <c r="G1495" i="25"/>
  <c r="G1496" i="25"/>
  <c r="G1497" i="25"/>
  <c r="G1498" i="25"/>
  <c r="G1499" i="25"/>
  <c r="G1500" i="25"/>
  <c r="G1501" i="25"/>
  <c r="G1502" i="25"/>
  <c r="G1503" i="25"/>
  <c r="G1504" i="25"/>
  <c r="G1505" i="25"/>
  <c r="G1506" i="25"/>
  <c r="G1507" i="25"/>
  <c r="G1508" i="25"/>
  <c r="G1509" i="25"/>
  <c r="G1510" i="25"/>
  <c r="G1511" i="25"/>
  <c r="G1512" i="25"/>
  <c r="G1513" i="25"/>
  <c r="G1514" i="25"/>
  <c r="G1515" i="25"/>
  <c r="G1516" i="25"/>
  <c r="G1517" i="25"/>
  <c r="G1518" i="25"/>
  <c r="G1519" i="25"/>
  <c r="G1520" i="25"/>
  <c r="G1521" i="25"/>
  <c r="G1522" i="25"/>
  <c r="G1523" i="25"/>
  <c r="G1524" i="25"/>
  <c r="G1525" i="25"/>
  <c r="G1526" i="25"/>
  <c r="G1527" i="25"/>
  <c r="G1528" i="25"/>
  <c r="G1529" i="25"/>
  <c r="G1530" i="25"/>
  <c r="G1531" i="25"/>
  <c r="G1532" i="25"/>
  <c r="G1533" i="25"/>
  <c r="G1534" i="25"/>
  <c r="G1535" i="25"/>
  <c r="G1536" i="25"/>
  <c r="G1537" i="25"/>
  <c r="G1538" i="25"/>
  <c r="G1539" i="25"/>
  <c r="G1540" i="25"/>
  <c r="G1541" i="25"/>
  <c r="G1542" i="25"/>
  <c r="G1543" i="25"/>
  <c r="G1544" i="25"/>
  <c r="G1545" i="25"/>
  <c r="G1546" i="25"/>
  <c r="G1547" i="25"/>
  <c r="G1548" i="25"/>
  <c r="G1549" i="25"/>
  <c r="G1550" i="25"/>
  <c r="G1551" i="25"/>
  <c r="G1552" i="25"/>
  <c r="G1553" i="25"/>
  <c r="G1554" i="25"/>
  <c r="G1555" i="25"/>
  <c r="G1556" i="25"/>
  <c r="G1557" i="25"/>
  <c r="G1558" i="25"/>
  <c r="G1559" i="25"/>
  <c r="G1560" i="25"/>
  <c r="G1561" i="25"/>
  <c r="G1562" i="25"/>
  <c r="G1563" i="25"/>
  <c r="G1564" i="25"/>
  <c r="G1565" i="25"/>
  <c r="G1566" i="25"/>
  <c r="G1567" i="25"/>
  <c r="G1568" i="25"/>
  <c r="G1569" i="25"/>
  <c r="G1570" i="25"/>
  <c r="G1571" i="25"/>
  <c r="G1572" i="25"/>
  <c r="G1573" i="25"/>
  <c r="G1574" i="25"/>
  <c r="G1575" i="25"/>
  <c r="G1576" i="25"/>
  <c r="G1577" i="25"/>
  <c r="G1578" i="25"/>
  <c r="G1579" i="25"/>
  <c r="G1580" i="25"/>
  <c r="G1581" i="25"/>
  <c r="G1582" i="25"/>
  <c r="G1583" i="25"/>
  <c r="G1584" i="25"/>
  <c r="G1585" i="25"/>
  <c r="G1586" i="25"/>
  <c r="G1587" i="25"/>
  <c r="G1588" i="25"/>
  <c r="G1589" i="25"/>
  <c r="G1590" i="25"/>
  <c r="G1591" i="25"/>
  <c r="G1592" i="25"/>
  <c r="G1593" i="25"/>
  <c r="G1594" i="25"/>
  <c r="G1595" i="25"/>
  <c r="G1596" i="25"/>
  <c r="G1597" i="25"/>
  <c r="G1598" i="25"/>
  <c r="G1599" i="25"/>
  <c r="G1600" i="25"/>
  <c r="G1601" i="25"/>
  <c r="G1602" i="25"/>
  <c r="G1603" i="25"/>
  <c r="G1604" i="25"/>
  <c r="G1605" i="25"/>
  <c r="G1606" i="25"/>
  <c r="G1607" i="25"/>
  <c r="G1608" i="25"/>
  <c r="G1609" i="25"/>
  <c r="G1610" i="25"/>
  <c r="G1611" i="25"/>
  <c r="G1612" i="25"/>
  <c r="G1613" i="25"/>
  <c r="G1614" i="25"/>
  <c r="G1615" i="25"/>
  <c r="G1616" i="25"/>
  <c r="G1617" i="25"/>
  <c r="G1618" i="25"/>
  <c r="G1619" i="25"/>
  <c r="G1620" i="25"/>
  <c r="G1621" i="25"/>
  <c r="G1622" i="25"/>
  <c r="G1623" i="25"/>
  <c r="G1624" i="25"/>
  <c r="G1625" i="25"/>
  <c r="G1626" i="25"/>
  <c r="G1627" i="25"/>
  <c r="G1628" i="25"/>
  <c r="G1629" i="25"/>
  <c r="G1630" i="25"/>
  <c r="G1631" i="25"/>
  <c r="G1632" i="25"/>
  <c r="G1633" i="25"/>
  <c r="G1634" i="25"/>
  <c r="G1635" i="25"/>
  <c r="G1636" i="25"/>
  <c r="G1637" i="25"/>
  <c r="G1638" i="25"/>
  <c r="G1639" i="25"/>
  <c r="G1640" i="25"/>
  <c r="G1641" i="25"/>
  <c r="G1642" i="25"/>
  <c r="G1643" i="25"/>
  <c r="G1644" i="25"/>
  <c r="G1645" i="25"/>
  <c r="G1646" i="25"/>
  <c r="G1647" i="25"/>
  <c r="G1648" i="25"/>
  <c r="G1649" i="25"/>
  <c r="G1650" i="25"/>
  <c r="G1651" i="25"/>
  <c r="G1652" i="25"/>
  <c r="G1653" i="25"/>
  <c r="G1654" i="25"/>
  <c r="G1655" i="25"/>
  <c r="G1656" i="25"/>
  <c r="G1657" i="25"/>
  <c r="G1658" i="25"/>
  <c r="G1659" i="25"/>
  <c r="G1660" i="25"/>
  <c r="G1661" i="25"/>
  <c r="G1662" i="25"/>
  <c r="G1663" i="25"/>
  <c r="G1664" i="25"/>
  <c r="G1665" i="25"/>
  <c r="G1666" i="25"/>
  <c r="G1667" i="25"/>
  <c r="G1668" i="25"/>
  <c r="G1669" i="25"/>
  <c r="G1670" i="25"/>
  <c r="G1671" i="25"/>
  <c r="G1672" i="25"/>
  <c r="G1673" i="25"/>
  <c r="G1674" i="25"/>
  <c r="G1675" i="25"/>
  <c r="G1676" i="25"/>
  <c r="G1677" i="25"/>
  <c r="G1678" i="25"/>
  <c r="G1679" i="25"/>
  <c r="G1680" i="25"/>
  <c r="G1681" i="25"/>
  <c r="G1682" i="25"/>
  <c r="G1683" i="25"/>
  <c r="G1684" i="25"/>
  <c r="G1685" i="25"/>
  <c r="G1686" i="25"/>
  <c r="G1687" i="25"/>
  <c r="G1688" i="25"/>
  <c r="G1689" i="25"/>
  <c r="G1690" i="25"/>
  <c r="G1691" i="25"/>
  <c r="G1692" i="25"/>
  <c r="G1693" i="25"/>
  <c r="G1694" i="25"/>
  <c r="G1695" i="25"/>
  <c r="G1696" i="25"/>
  <c r="G1697" i="25"/>
  <c r="G1698" i="25"/>
  <c r="G1699" i="25"/>
  <c r="G1700" i="25"/>
  <c r="G1701" i="25"/>
  <c r="G1702" i="25"/>
  <c r="G1703" i="25"/>
  <c r="G1704" i="25"/>
  <c r="G1705" i="25"/>
  <c r="G1706" i="25"/>
  <c r="G1707" i="25"/>
  <c r="G1708" i="25"/>
  <c r="G1709" i="25"/>
  <c r="G1710" i="25"/>
  <c r="G1711" i="25"/>
  <c r="G1712" i="25"/>
  <c r="G1713" i="25"/>
  <c r="G1714" i="25"/>
  <c r="G1715" i="25"/>
  <c r="G1716" i="25"/>
  <c r="G1717" i="25"/>
  <c r="G1718" i="25"/>
  <c r="G1719" i="25"/>
  <c r="G1720" i="25"/>
  <c r="G1721" i="25"/>
  <c r="G1722" i="25"/>
  <c r="G1723" i="25"/>
  <c r="G1724" i="25"/>
  <c r="G1725" i="25"/>
  <c r="G1726" i="25"/>
  <c r="G1727" i="25"/>
  <c r="G1728" i="25"/>
  <c r="G1729" i="25"/>
  <c r="G1730" i="25"/>
  <c r="G1731" i="25"/>
  <c r="G1732" i="25"/>
  <c r="G1733" i="25"/>
  <c r="G1734" i="25"/>
  <c r="G1735" i="25"/>
  <c r="G1736" i="25"/>
  <c r="G1737" i="25"/>
  <c r="G1738" i="25"/>
  <c r="G1739" i="25"/>
  <c r="G1740" i="25"/>
  <c r="G1741" i="25"/>
  <c r="G1742" i="25"/>
  <c r="G1743" i="25"/>
  <c r="G1744" i="25"/>
  <c r="G1745" i="25"/>
  <c r="G1746" i="25"/>
  <c r="G1747" i="25"/>
  <c r="G1748" i="25"/>
  <c r="G1749" i="25"/>
  <c r="G1750" i="25"/>
  <c r="G1751" i="25"/>
  <c r="G1752" i="25"/>
  <c r="G1753" i="25"/>
  <c r="G1754" i="25"/>
  <c r="G1755" i="25"/>
  <c r="G1756" i="25"/>
  <c r="G1757" i="25"/>
  <c r="G1758" i="25"/>
  <c r="G1759" i="25"/>
  <c r="G1760" i="25"/>
  <c r="G1761" i="25"/>
  <c r="G1762" i="25"/>
  <c r="G1763" i="25"/>
  <c r="G1764" i="25"/>
  <c r="G1765" i="25"/>
  <c r="G1766" i="25"/>
  <c r="G1767" i="25"/>
  <c r="G1768" i="25"/>
  <c r="G1769" i="25"/>
  <c r="G1770" i="25"/>
  <c r="G1771" i="25"/>
  <c r="G1772" i="25"/>
  <c r="G1773" i="25"/>
  <c r="G1774" i="25"/>
  <c r="G1775" i="25"/>
  <c r="G1776" i="25"/>
  <c r="G1777" i="25"/>
  <c r="G1778" i="25"/>
  <c r="G1779" i="25"/>
  <c r="G1780" i="25"/>
  <c r="G1781" i="25"/>
  <c r="G1782" i="25"/>
  <c r="G1783" i="25"/>
  <c r="G1784" i="25"/>
  <c r="G1785" i="25"/>
  <c r="G1786" i="25"/>
  <c r="G1787" i="25"/>
  <c r="G1788" i="25"/>
  <c r="G1789" i="25"/>
  <c r="G1790" i="25"/>
  <c r="G1791" i="25"/>
  <c r="G1792" i="25"/>
  <c r="G1793" i="25"/>
  <c r="G1794" i="25"/>
  <c r="G1795" i="25"/>
  <c r="G1796" i="25"/>
  <c r="G1797" i="25"/>
  <c r="G1798" i="25"/>
  <c r="G1799" i="25"/>
  <c r="G1800" i="25"/>
  <c r="G1801" i="25"/>
  <c r="G1802" i="25"/>
  <c r="G1803" i="25"/>
  <c r="G1804" i="25"/>
  <c r="G1805" i="25"/>
  <c r="G1806" i="25"/>
  <c r="G1807" i="25"/>
  <c r="G1808" i="25"/>
  <c r="G1809" i="25"/>
  <c r="G1810" i="25"/>
  <c r="G1811" i="25"/>
  <c r="G1812" i="25"/>
  <c r="G1813" i="25"/>
  <c r="G1814" i="25"/>
  <c r="G1815" i="25"/>
  <c r="G1816" i="25"/>
  <c r="G1817" i="25"/>
  <c r="G1818" i="25"/>
  <c r="G1819" i="25"/>
  <c r="G1820" i="25"/>
  <c r="G1821" i="25"/>
  <c r="G1822" i="25"/>
  <c r="G1823" i="25"/>
  <c r="G1824" i="25"/>
  <c r="G1825" i="25"/>
  <c r="G1826" i="25"/>
  <c r="G1827" i="25"/>
  <c r="G1828" i="25"/>
  <c r="G1829" i="25"/>
  <c r="G1830" i="25"/>
  <c r="G1831" i="25"/>
  <c r="G1832" i="25"/>
  <c r="G1833" i="25"/>
  <c r="G1834" i="25"/>
  <c r="G1835" i="25"/>
  <c r="G1836" i="25"/>
  <c r="G1837" i="25"/>
  <c r="G1838" i="25"/>
  <c r="G1839" i="25"/>
  <c r="G1840" i="25"/>
  <c r="G1841" i="25"/>
  <c r="G1842" i="25"/>
  <c r="G1843" i="25"/>
  <c r="G1844" i="25"/>
  <c r="G1845" i="25"/>
  <c r="G1846" i="25"/>
  <c r="G1847" i="25"/>
  <c r="G1848" i="25"/>
  <c r="G1849" i="25"/>
  <c r="G1850" i="25"/>
  <c r="G1851" i="25"/>
  <c r="G1852" i="25"/>
  <c r="G1853" i="25"/>
  <c r="G1854" i="25"/>
  <c r="G1855" i="25"/>
  <c r="G1856" i="25"/>
  <c r="G1857" i="25"/>
  <c r="G1858" i="25"/>
  <c r="G1859" i="25"/>
  <c r="G1860" i="25"/>
  <c r="G1861" i="25"/>
  <c r="G1862" i="25"/>
  <c r="G1863" i="25"/>
  <c r="G1864" i="25"/>
  <c r="G1865" i="25"/>
  <c r="G1866" i="25"/>
  <c r="G1867" i="25"/>
  <c r="G1868" i="25"/>
  <c r="G1869" i="25"/>
  <c r="G1870" i="25"/>
  <c r="G1871" i="25"/>
  <c r="G1872" i="25"/>
  <c r="G1873" i="25"/>
  <c r="G1874" i="25"/>
  <c r="G1875" i="25"/>
  <c r="G1876" i="25"/>
  <c r="G1877" i="25"/>
  <c r="G1878" i="25"/>
  <c r="G1879" i="25"/>
  <c r="G1880" i="25"/>
  <c r="G1881" i="25"/>
  <c r="G1882" i="25"/>
  <c r="G1883" i="25"/>
  <c r="G1884" i="25"/>
  <c r="G1885" i="25"/>
  <c r="G1886" i="25"/>
  <c r="G1887" i="25"/>
  <c r="G1888" i="25"/>
  <c r="G1889" i="25"/>
  <c r="G1890" i="25"/>
  <c r="G1891" i="25"/>
  <c r="G1892" i="25"/>
  <c r="G1893" i="25"/>
  <c r="G1894" i="25"/>
  <c r="G1895" i="25"/>
  <c r="G1896" i="25"/>
  <c r="G1897" i="25"/>
  <c r="G1898" i="25"/>
  <c r="G1899" i="25"/>
  <c r="G1900" i="25"/>
  <c r="G1901" i="25"/>
  <c r="G1902" i="25"/>
  <c r="G1903" i="25"/>
  <c r="G1904" i="25"/>
  <c r="G1905" i="25"/>
  <c r="G1906" i="25"/>
  <c r="G1907" i="25"/>
  <c r="G1908" i="25"/>
  <c r="G1909" i="25"/>
  <c r="G1910" i="25"/>
  <c r="G1911" i="25"/>
  <c r="G1912" i="25"/>
  <c r="G1913" i="25"/>
  <c r="G1914" i="25"/>
  <c r="G1915" i="25"/>
  <c r="G1916" i="25"/>
  <c r="G1917" i="25"/>
  <c r="G1918" i="25"/>
  <c r="G1919" i="25"/>
  <c r="G1920" i="25"/>
  <c r="G1921" i="25"/>
  <c r="G1922" i="25"/>
  <c r="G1923" i="25"/>
  <c r="G1924" i="25"/>
  <c r="G1925" i="25"/>
  <c r="G1926" i="25"/>
  <c r="G1927" i="25"/>
  <c r="G1928" i="25"/>
  <c r="G1929" i="25"/>
  <c r="G1930" i="25"/>
  <c r="G1931" i="25"/>
  <c r="G1932" i="25"/>
  <c r="G1933" i="25"/>
  <c r="G1934" i="25"/>
  <c r="G1935" i="25"/>
  <c r="G1936" i="25"/>
  <c r="G1937" i="25"/>
  <c r="G1938" i="25"/>
  <c r="G1939" i="25"/>
  <c r="G1940" i="25"/>
  <c r="G1941" i="25"/>
  <c r="G1942" i="25"/>
  <c r="G1943" i="25"/>
  <c r="G1944" i="25"/>
  <c r="G1945" i="25"/>
  <c r="G1946" i="25"/>
  <c r="G1947" i="25"/>
  <c r="G1948" i="25"/>
  <c r="G1949" i="25"/>
  <c r="G1950" i="25"/>
  <c r="G1951" i="25"/>
  <c r="G1952" i="25"/>
  <c r="G1953" i="25"/>
  <c r="G1954" i="25"/>
  <c r="G1955" i="25"/>
  <c r="G1956" i="25"/>
  <c r="G1957" i="25"/>
  <c r="G1958" i="25"/>
  <c r="G1959" i="25"/>
  <c r="G1960" i="25"/>
  <c r="G1961" i="25"/>
  <c r="G1962" i="25"/>
  <c r="G1963" i="25"/>
  <c r="G1964" i="25"/>
  <c r="G1965" i="25"/>
  <c r="G1966" i="25"/>
  <c r="G1967" i="25"/>
  <c r="G1968" i="25"/>
  <c r="G1969" i="25"/>
  <c r="G1970" i="25"/>
  <c r="G1971" i="25"/>
  <c r="G1972" i="25"/>
  <c r="G1973" i="25"/>
  <c r="G1974" i="25"/>
  <c r="G1975" i="25"/>
  <c r="G1976" i="25"/>
  <c r="G1977" i="25"/>
  <c r="G1978" i="25"/>
  <c r="G1979" i="25"/>
  <c r="G1980" i="25"/>
  <c r="G1981" i="25"/>
  <c r="G1982" i="25"/>
  <c r="G1983" i="25"/>
  <c r="G1984" i="25"/>
  <c r="G1985" i="25"/>
  <c r="G1986" i="25"/>
  <c r="G1987" i="25"/>
  <c r="G1988" i="25"/>
  <c r="G1989" i="25"/>
  <c r="G1990" i="25"/>
  <c r="G1991" i="25"/>
  <c r="G1992" i="25"/>
  <c r="G1993" i="25"/>
  <c r="G1994" i="25"/>
  <c r="G1995" i="25"/>
  <c r="G1996" i="25"/>
  <c r="G1997" i="25"/>
  <c r="G1998" i="25"/>
  <c r="G1999" i="25"/>
  <c r="G2000" i="25"/>
  <c r="G2001" i="25"/>
  <c r="G2002" i="25"/>
  <c r="G2003" i="25"/>
  <c r="G2004" i="25"/>
  <c r="G2005" i="25"/>
  <c r="G2006" i="25"/>
  <c r="G2007" i="25"/>
  <c r="G2008" i="25"/>
  <c r="G2009" i="25"/>
  <c r="G2010" i="25"/>
  <c r="G2011" i="25"/>
  <c r="G2012" i="25"/>
  <c r="G2013" i="25"/>
  <c r="G2014" i="25"/>
  <c r="G2015" i="25"/>
  <c r="G2016" i="25"/>
  <c r="G2017" i="25"/>
  <c r="G2018" i="25"/>
  <c r="G2019" i="25"/>
  <c r="G2020" i="25"/>
  <c r="G2021" i="25"/>
  <c r="G2022" i="25"/>
  <c r="G2023" i="25"/>
  <c r="G2024" i="25"/>
  <c r="G2025" i="25"/>
  <c r="G2026" i="25"/>
  <c r="G2027" i="25"/>
  <c r="G2028" i="25"/>
  <c r="G2029" i="25"/>
  <c r="G2030" i="25"/>
  <c r="G2031" i="25"/>
  <c r="G2032" i="25"/>
  <c r="G2033" i="25"/>
  <c r="G2034" i="25"/>
  <c r="G2035" i="25"/>
  <c r="G2036" i="25"/>
  <c r="G2037" i="25"/>
  <c r="G2038" i="25"/>
  <c r="G2039" i="25"/>
  <c r="G2040" i="25"/>
  <c r="G2041" i="25"/>
  <c r="G2042" i="25"/>
  <c r="G2043" i="25"/>
  <c r="G2044" i="25"/>
  <c r="G2045" i="25"/>
  <c r="G2046" i="25"/>
  <c r="G2047" i="25"/>
  <c r="G2048" i="25"/>
  <c r="G2049" i="25"/>
  <c r="G2050" i="25"/>
  <c r="G2051" i="25"/>
  <c r="G2052" i="25"/>
  <c r="G2053" i="25"/>
  <c r="G2054" i="25"/>
  <c r="G2055" i="25"/>
  <c r="G2056" i="25"/>
  <c r="G2057" i="25"/>
  <c r="G2058" i="25"/>
  <c r="G2059" i="25"/>
  <c r="G2060" i="25"/>
  <c r="G2061" i="25"/>
  <c r="G2062" i="25"/>
  <c r="G2063" i="25"/>
  <c r="G2064" i="25"/>
  <c r="G2065" i="25"/>
  <c r="G2066" i="25"/>
  <c r="G2067" i="25"/>
  <c r="G2068" i="25"/>
  <c r="G2069" i="25"/>
  <c r="G2070" i="25"/>
  <c r="G2071" i="25"/>
  <c r="G2072" i="25"/>
  <c r="G2073" i="25"/>
  <c r="G2074" i="25"/>
  <c r="G2075" i="25"/>
  <c r="G2076" i="25"/>
  <c r="G2077" i="25"/>
  <c r="G2078" i="25"/>
  <c r="G2079" i="25"/>
  <c r="G2080" i="25"/>
  <c r="G2081" i="25"/>
  <c r="G2082" i="25"/>
  <c r="G2083" i="25"/>
  <c r="G2084" i="25"/>
  <c r="G2085" i="25"/>
  <c r="G2086" i="25"/>
  <c r="G2087" i="25"/>
  <c r="G2088" i="25"/>
  <c r="G2089" i="25"/>
  <c r="G2090" i="25"/>
  <c r="G2091" i="25"/>
  <c r="G2092" i="25"/>
  <c r="G2093" i="25"/>
  <c r="G2094" i="25"/>
  <c r="G2095" i="25"/>
  <c r="G2096" i="25"/>
  <c r="G2097" i="25"/>
  <c r="G2098" i="25"/>
  <c r="G2099" i="25"/>
  <c r="G2100" i="25"/>
  <c r="G2101" i="25"/>
  <c r="G2102" i="25"/>
  <c r="G2103" i="25"/>
  <c r="G2104" i="25"/>
  <c r="G2105" i="25"/>
  <c r="G2106" i="25"/>
  <c r="G2107" i="25"/>
  <c r="G2108" i="25"/>
  <c r="G2109" i="25"/>
  <c r="G2110" i="25"/>
  <c r="G2111" i="25"/>
  <c r="G2112" i="25"/>
  <c r="G2113" i="25"/>
  <c r="G2114" i="25"/>
  <c r="G2115" i="25"/>
  <c r="G2116" i="25"/>
  <c r="G2117" i="25"/>
  <c r="G2118" i="25"/>
  <c r="G2119" i="25"/>
  <c r="G2120" i="25"/>
  <c r="G2121" i="25"/>
  <c r="G2122" i="25"/>
  <c r="G2123" i="25"/>
  <c r="G2124" i="25"/>
  <c r="G2125" i="25"/>
  <c r="G2126" i="25"/>
  <c r="G2127" i="25"/>
  <c r="G2128" i="25"/>
  <c r="G2129" i="25"/>
  <c r="G2130" i="25"/>
  <c r="G2131" i="25"/>
  <c r="G2132" i="25"/>
  <c r="G2133" i="25"/>
  <c r="G2134" i="25"/>
  <c r="G2135" i="25"/>
  <c r="G2136" i="25"/>
  <c r="G2137" i="25"/>
  <c r="G2138" i="25"/>
  <c r="G2139" i="25"/>
  <c r="G2140" i="25"/>
  <c r="G2141" i="25"/>
  <c r="G2142" i="25"/>
  <c r="G2143" i="25"/>
  <c r="G2144" i="25"/>
  <c r="G2145" i="25"/>
  <c r="G2146" i="25"/>
  <c r="G2147" i="25"/>
  <c r="G2148" i="25"/>
  <c r="G2149" i="25"/>
  <c r="G2150" i="25"/>
  <c r="G2151" i="25"/>
  <c r="G2152" i="25"/>
  <c r="G2153" i="25"/>
  <c r="G2154" i="25"/>
  <c r="G2155" i="25"/>
  <c r="G2156" i="25"/>
  <c r="G2157" i="25"/>
  <c r="G2158" i="25"/>
  <c r="G2159" i="25"/>
  <c r="G2160" i="25"/>
  <c r="G2161" i="25"/>
  <c r="G2162" i="25"/>
  <c r="G2163" i="25"/>
  <c r="G2164" i="25"/>
  <c r="G2165" i="25"/>
  <c r="G2166" i="25"/>
  <c r="G2167" i="25"/>
  <c r="G2168" i="25"/>
  <c r="G2169" i="25"/>
  <c r="G2170" i="25"/>
  <c r="G2171" i="25"/>
  <c r="G2172" i="25"/>
  <c r="G2173" i="25"/>
  <c r="G2174" i="25"/>
  <c r="G2175" i="25"/>
  <c r="G2176" i="25"/>
  <c r="G2177" i="25"/>
  <c r="G2178" i="25"/>
  <c r="G2179" i="25"/>
  <c r="G2180" i="25"/>
  <c r="G2181" i="25"/>
  <c r="G2182" i="25"/>
  <c r="G2183" i="25"/>
  <c r="G2184" i="25"/>
  <c r="G2185" i="25"/>
  <c r="G2186" i="25"/>
  <c r="G2187" i="25"/>
  <c r="G2188" i="25"/>
  <c r="G2189" i="25"/>
  <c r="G2190" i="25"/>
  <c r="G2191" i="25"/>
  <c r="G2192" i="25"/>
  <c r="G2193" i="25"/>
  <c r="G2194" i="25"/>
  <c r="G2195" i="25"/>
  <c r="G2196" i="25"/>
  <c r="G2197" i="25"/>
  <c r="G2198" i="25"/>
  <c r="G2199" i="25"/>
  <c r="G2200" i="25"/>
  <c r="G2201" i="25"/>
  <c r="G2202" i="25"/>
  <c r="G2203" i="25"/>
  <c r="G2204" i="25"/>
  <c r="G2205" i="25"/>
  <c r="G2206" i="25"/>
  <c r="G2207" i="25"/>
  <c r="G2208" i="25"/>
  <c r="G2209" i="25"/>
  <c r="G2210" i="25"/>
  <c r="G2211" i="25"/>
  <c r="G2212" i="25"/>
  <c r="G2213" i="25"/>
  <c r="G2214" i="25"/>
  <c r="G2215" i="25"/>
  <c r="G2216" i="25"/>
  <c r="G2217" i="25"/>
  <c r="G2218" i="25"/>
  <c r="G2219" i="25"/>
  <c r="G2220" i="25"/>
  <c r="G2221" i="25"/>
  <c r="G2222" i="25"/>
  <c r="G2223" i="25"/>
  <c r="G2224" i="25"/>
  <c r="G2225" i="25"/>
  <c r="G2226" i="25"/>
  <c r="G2227" i="25"/>
  <c r="G2228" i="25"/>
  <c r="G2229" i="25"/>
  <c r="G2230" i="25"/>
  <c r="G2231" i="25"/>
  <c r="G2232" i="25"/>
  <c r="G2233" i="25"/>
  <c r="G2234" i="25"/>
  <c r="G2235" i="25"/>
  <c r="G2236" i="25"/>
  <c r="G2237" i="25"/>
  <c r="G2238" i="25"/>
  <c r="G2239" i="25"/>
  <c r="G2240" i="25"/>
  <c r="G2241" i="25"/>
  <c r="G2242" i="25"/>
  <c r="G2243" i="25"/>
  <c r="G2244" i="25"/>
  <c r="G2245" i="25"/>
  <c r="G2246" i="25"/>
  <c r="G2247" i="25"/>
  <c r="G2248" i="25"/>
  <c r="G2249" i="25"/>
  <c r="G2250" i="25"/>
  <c r="G2251" i="25"/>
  <c r="G2252" i="25"/>
  <c r="G2253" i="25"/>
  <c r="G2254" i="25"/>
  <c r="G2255" i="25"/>
  <c r="G2256" i="25"/>
  <c r="G2257" i="25"/>
  <c r="G2258" i="25"/>
  <c r="G2259" i="25"/>
  <c r="G2260" i="25"/>
  <c r="G2261" i="25"/>
  <c r="G2262" i="25"/>
  <c r="G2263" i="25"/>
  <c r="G2264" i="25"/>
  <c r="G2265" i="25"/>
  <c r="G2266" i="25"/>
  <c r="G2267" i="25"/>
  <c r="G2268" i="25"/>
  <c r="G2269" i="25"/>
  <c r="G2270" i="25"/>
  <c r="G2271" i="25"/>
  <c r="G2272" i="25"/>
  <c r="G2273" i="25"/>
  <c r="G2274" i="25"/>
  <c r="G2275" i="25"/>
  <c r="G2276" i="25"/>
  <c r="G2277" i="25"/>
  <c r="G2278" i="25"/>
  <c r="G2279" i="25"/>
  <c r="G2280" i="25"/>
  <c r="G2281" i="25"/>
  <c r="G2282" i="25"/>
  <c r="G2283" i="25"/>
  <c r="G2284" i="25"/>
  <c r="G2285" i="25"/>
  <c r="G2286" i="25"/>
  <c r="G2287" i="25"/>
  <c r="G2288" i="25"/>
  <c r="G2289" i="25"/>
  <c r="G2290" i="25"/>
  <c r="G2291" i="25"/>
  <c r="G2292" i="25"/>
  <c r="G2293" i="25"/>
  <c r="G2294" i="25"/>
  <c r="G2295" i="25"/>
  <c r="G2296" i="25"/>
  <c r="G2297" i="25"/>
  <c r="G2298" i="25"/>
  <c r="G2299" i="25"/>
  <c r="G2300" i="25"/>
  <c r="G2301" i="25"/>
  <c r="G2302" i="25"/>
  <c r="G2303" i="25"/>
  <c r="G2304" i="25"/>
  <c r="G2305" i="25"/>
  <c r="G2306" i="25"/>
  <c r="G2307" i="25"/>
  <c r="G2308" i="25"/>
  <c r="G2309" i="25"/>
  <c r="G2310" i="25"/>
  <c r="G2311" i="25"/>
  <c r="G2312" i="25"/>
  <c r="G2313" i="25"/>
  <c r="G2314" i="25"/>
  <c r="G2315" i="25"/>
  <c r="G2316" i="25"/>
  <c r="G2317" i="25"/>
  <c r="G2318" i="25"/>
  <c r="G2319" i="25"/>
  <c r="G2320" i="25"/>
  <c r="G2321" i="25"/>
  <c r="G2322" i="25"/>
  <c r="G2323" i="25"/>
  <c r="G2324" i="25"/>
  <c r="G2325" i="25"/>
  <c r="G2326" i="25"/>
  <c r="G2327" i="25"/>
  <c r="G2328" i="25"/>
  <c r="G2329" i="25"/>
  <c r="G2330" i="25"/>
  <c r="G2331" i="25"/>
  <c r="G2332" i="25"/>
  <c r="G2333" i="25"/>
  <c r="G2334" i="25"/>
  <c r="G2335" i="25"/>
  <c r="G2336" i="25"/>
  <c r="G2337" i="25"/>
  <c r="G2338" i="25"/>
  <c r="G2339" i="25"/>
  <c r="G2340" i="25"/>
  <c r="G2341" i="25"/>
  <c r="G2342" i="25"/>
  <c r="G2343" i="25"/>
  <c r="G2344" i="25"/>
  <c r="G2345" i="25"/>
  <c r="G2346" i="25"/>
  <c r="G2347" i="25"/>
  <c r="G2348" i="25"/>
  <c r="G2349" i="25"/>
  <c r="G2350" i="25"/>
  <c r="G2351" i="25"/>
  <c r="G2352" i="25"/>
  <c r="G2353" i="25"/>
  <c r="G2354" i="25"/>
  <c r="G2355" i="25"/>
  <c r="G2356" i="25"/>
  <c r="G2357" i="25"/>
  <c r="G2358" i="25"/>
  <c r="G2359" i="25"/>
  <c r="G2360" i="25"/>
  <c r="G2361" i="25"/>
  <c r="G2362" i="25"/>
  <c r="G2363" i="25"/>
  <c r="G2364" i="25"/>
  <c r="G2365" i="25"/>
  <c r="G2366" i="25"/>
  <c r="G2367" i="25"/>
  <c r="G2368" i="25"/>
  <c r="G2369" i="25"/>
  <c r="G2370" i="25"/>
  <c r="G2371" i="25"/>
  <c r="G2372" i="25"/>
  <c r="G2373" i="25"/>
  <c r="G2374" i="25"/>
  <c r="G2375" i="25"/>
  <c r="G2376" i="25"/>
  <c r="G2377" i="25"/>
  <c r="G2378" i="25"/>
  <c r="G2379" i="25"/>
  <c r="G2380" i="25"/>
  <c r="G2381" i="25"/>
  <c r="G2382" i="25"/>
  <c r="G2383" i="25"/>
  <c r="G2384" i="25"/>
  <c r="G2385" i="25"/>
  <c r="G2386" i="25"/>
  <c r="G2387" i="25"/>
  <c r="G2388" i="25"/>
  <c r="G2389" i="25"/>
  <c r="G2390" i="25"/>
  <c r="G2391" i="25"/>
  <c r="G2392" i="25"/>
  <c r="G2393" i="25"/>
  <c r="G2394" i="25"/>
  <c r="G2395" i="25"/>
  <c r="G2396" i="25"/>
  <c r="G2397" i="25"/>
  <c r="G2398" i="25"/>
  <c r="G2399" i="25"/>
  <c r="G2400" i="25"/>
  <c r="G2401" i="25"/>
  <c r="G2402" i="25"/>
  <c r="G2403" i="25"/>
  <c r="G2404" i="25"/>
  <c r="G2405" i="25"/>
  <c r="G2406" i="25"/>
  <c r="G2407" i="25"/>
  <c r="G2408" i="25"/>
  <c r="G2409" i="25"/>
  <c r="G2410" i="25"/>
  <c r="G2411" i="25"/>
  <c r="G2412" i="25"/>
  <c r="G2413" i="25"/>
  <c r="G2414" i="25"/>
  <c r="G2415" i="25"/>
  <c r="G2416" i="25"/>
  <c r="G2417" i="25"/>
  <c r="G2418" i="25"/>
  <c r="G2419" i="25"/>
  <c r="G2420" i="25"/>
  <c r="G2421" i="25"/>
  <c r="G2422" i="25"/>
  <c r="G2423" i="25"/>
  <c r="G2424" i="25"/>
  <c r="G2425" i="25"/>
  <c r="G2426" i="25"/>
  <c r="G2427" i="25"/>
  <c r="G2428" i="25"/>
  <c r="G2429" i="25"/>
  <c r="G2430" i="25"/>
  <c r="G2431" i="25"/>
  <c r="G2432" i="25"/>
  <c r="G2433" i="25"/>
  <c r="G2434" i="25"/>
  <c r="G2435" i="25"/>
  <c r="G2436" i="25"/>
  <c r="G2437" i="25"/>
  <c r="G2438" i="25"/>
  <c r="G2439" i="25"/>
  <c r="G2440" i="25"/>
  <c r="G2441" i="25"/>
  <c r="G2442" i="25"/>
  <c r="G2443" i="25"/>
  <c r="G2444" i="25"/>
  <c r="G2445" i="25"/>
  <c r="G2446" i="25"/>
  <c r="G2447" i="25"/>
  <c r="G2448" i="25"/>
  <c r="G2449" i="25"/>
  <c r="G2450" i="25"/>
  <c r="G2451" i="25"/>
  <c r="G2452" i="25"/>
  <c r="G2453" i="25"/>
  <c r="G2454" i="25"/>
  <c r="G2455" i="25"/>
  <c r="G2456" i="25"/>
  <c r="G2457" i="25"/>
  <c r="G2458" i="25"/>
  <c r="G2459" i="25"/>
  <c r="G2460" i="25"/>
  <c r="G2461" i="25"/>
  <c r="G2462" i="25"/>
  <c r="G2463" i="25"/>
  <c r="G2464" i="25"/>
  <c r="G2465" i="25"/>
  <c r="G2466" i="25"/>
  <c r="G2467" i="25"/>
  <c r="G2468" i="25"/>
  <c r="G2469" i="25"/>
  <c r="G2470" i="25"/>
  <c r="G2471" i="25"/>
  <c r="G2472" i="25"/>
  <c r="G2473" i="25"/>
  <c r="G2474" i="25"/>
  <c r="G2475" i="25"/>
  <c r="G2476" i="25"/>
  <c r="G2477" i="25"/>
  <c r="G2478" i="25"/>
  <c r="G2479" i="25"/>
  <c r="G2480" i="25"/>
  <c r="G2481" i="25"/>
  <c r="G2482" i="25"/>
  <c r="G2483" i="25"/>
  <c r="G2484" i="25"/>
  <c r="G2485" i="25"/>
  <c r="G2486" i="25"/>
  <c r="G2487" i="25"/>
  <c r="G2488" i="25"/>
  <c r="G2489" i="25"/>
  <c r="G2490" i="25"/>
  <c r="G2491" i="25"/>
  <c r="G2492" i="25"/>
  <c r="G2493" i="25"/>
  <c r="G2494" i="25"/>
  <c r="G2495" i="25"/>
  <c r="G2496" i="25"/>
  <c r="G2497" i="25"/>
  <c r="G2498" i="25"/>
  <c r="G2499" i="25"/>
  <c r="G2500" i="25"/>
  <c r="G2501" i="25"/>
  <c r="G2502" i="25"/>
  <c r="G2503" i="25"/>
  <c r="G2504" i="25"/>
  <c r="G2505" i="25"/>
  <c r="G2506" i="25"/>
  <c r="G2507" i="25"/>
  <c r="G2508" i="25"/>
  <c r="G2509" i="25"/>
  <c r="G2510" i="25"/>
  <c r="G2511" i="25"/>
  <c r="G2512" i="25"/>
  <c r="G2513" i="25"/>
  <c r="G2514" i="25"/>
  <c r="G2515" i="25"/>
  <c r="G2516" i="25"/>
  <c r="G2517" i="25"/>
  <c r="G2518" i="25"/>
  <c r="G2519" i="25"/>
  <c r="G2520" i="25"/>
  <c r="G2521" i="25"/>
  <c r="G2522" i="25"/>
  <c r="G2523" i="25"/>
  <c r="G2524" i="25"/>
  <c r="G2525" i="25"/>
  <c r="G2526" i="25"/>
  <c r="G2527" i="25"/>
  <c r="G2528" i="25"/>
  <c r="G2529" i="25"/>
  <c r="G2530" i="25"/>
  <c r="G2531" i="25"/>
  <c r="G2532" i="25"/>
  <c r="G2533" i="25"/>
  <c r="G2534" i="25"/>
  <c r="G2535" i="25"/>
  <c r="G2536" i="25"/>
  <c r="G2537" i="25"/>
  <c r="G2538" i="25"/>
  <c r="G2539" i="25"/>
  <c r="G2540" i="25"/>
  <c r="G2541" i="25"/>
  <c r="G2542" i="25"/>
  <c r="G2543" i="25"/>
  <c r="G2544" i="25"/>
  <c r="G2545" i="25"/>
  <c r="G2546" i="25"/>
  <c r="G2547" i="25"/>
  <c r="G2548" i="25"/>
  <c r="G2549" i="25"/>
  <c r="G2550" i="25"/>
  <c r="G2551" i="25"/>
  <c r="G2552" i="25"/>
  <c r="G2553" i="25"/>
  <c r="G2554" i="25"/>
  <c r="G2555" i="25"/>
  <c r="G2556" i="25"/>
  <c r="G2557" i="25"/>
  <c r="G2558" i="25"/>
  <c r="G2559" i="25"/>
  <c r="G2560" i="25"/>
  <c r="G2561" i="25"/>
  <c r="G2562" i="25"/>
  <c r="G2563" i="25"/>
  <c r="G2564" i="25"/>
  <c r="G2565" i="25"/>
  <c r="G2566" i="25"/>
  <c r="G2567" i="25"/>
  <c r="G2568" i="25"/>
  <c r="G2569" i="25"/>
  <c r="G2570" i="25"/>
  <c r="G2571" i="25"/>
  <c r="G2572" i="25"/>
  <c r="G2573" i="25"/>
  <c r="G2574" i="25"/>
  <c r="G2575" i="25"/>
  <c r="G2576" i="25"/>
  <c r="G2577" i="25"/>
  <c r="G2578" i="25"/>
  <c r="G2579" i="25"/>
  <c r="G2580" i="25"/>
  <c r="G2581" i="25"/>
  <c r="G2582" i="25"/>
  <c r="G2583" i="25"/>
  <c r="G2584" i="25"/>
  <c r="G2585" i="25"/>
  <c r="G2586" i="25"/>
  <c r="G2587" i="25"/>
  <c r="G2588" i="25"/>
  <c r="G2589" i="25"/>
  <c r="G2590" i="25"/>
  <c r="G2591" i="25"/>
  <c r="G2592" i="25"/>
  <c r="G2593" i="25"/>
  <c r="G2594" i="25"/>
  <c r="G2595" i="25"/>
  <c r="G2596" i="25"/>
  <c r="G2597" i="25"/>
  <c r="G2598" i="25"/>
  <c r="G2599" i="25"/>
  <c r="G2600" i="25"/>
  <c r="G2601" i="25"/>
  <c r="G2602" i="25"/>
  <c r="G2603" i="25"/>
  <c r="G2604" i="25"/>
  <c r="G2605" i="25"/>
  <c r="G2606" i="25"/>
  <c r="G2607" i="25"/>
  <c r="G2608" i="25"/>
  <c r="G2609" i="25"/>
  <c r="G2610" i="25"/>
  <c r="G2611" i="25"/>
  <c r="G2612" i="25"/>
  <c r="G2613" i="25"/>
  <c r="G2614" i="25"/>
  <c r="G2615" i="25"/>
  <c r="G2616" i="25"/>
  <c r="G2617" i="25"/>
  <c r="G2618" i="25"/>
  <c r="G2619" i="25"/>
  <c r="G2620" i="25"/>
  <c r="G2621" i="25"/>
  <c r="G2622" i="25"/>
  <c r="G2623" i="25"/>
  <c r="G2624" i="25"/>
  <c r="G2625" i="25"/>
  <c r="G2626" i="25"/>
  <c r="G2627" i="25"/>
  <c r="G2628" i="25"/>
  <c r="G2629" i="25"/>
  <c r="G2630" i="25"/>
  <c r="G2631" i="25"/>
  <c r="G2632" i="25"/>
  <c r="G2633" i="25"/>
  <c r="G2634" i="25"/>
  <c r="G2635" i="25"/>
  <c r="G2636" i="25"/>
  <c r="G2637" i="25"/>
  <c r="G2638" i="25"/>
  <c r="G2639" i="25"/>
  <c r="G2640" i="25"/>
  <c r="G2641" i="25"/>
  <c r="G2642" i="25"/>
  <c r="G2643" i="25"/>
  <c r="G2644" i="25"/>
  <c r="G2645" i="25"/>
  <c r="G2646" i="25"/>
  <c r="G2647" i="25"/>
  <c r="G2648" i="25"/>
  <c r="G2649" i="25"/>
  <c r="G2650" i="25"/>
  <c r="G2651" i="25"/>
  <c r="G2652" i="25"/>
  <c r="G2653" i="25"/>
  <c r="G2654" i="25"/>
  <c r="G2655" i="25"/>
  <c r="G2656" i="25"/>
  <c r="G2657" i="25"/>
  <c r="G2658" i="25"/>
  <c r="G2659" i="25"/>
  <c r="G2660" i="25"/>
  <c r="G2661" i="25"/>
  <c r="G2662" i="25"/>
  <c r="G2663" i="25"/>
  <c r="G2664" i="25"/>
  <c r="G2665" i="25"/>
  <c r="G2666" i="25"/>
  <c r="G2667" i="25"/>
  <c r="G2668" i="25"/>
  <c r="G2669" i="25"/>
  <c r="G2670" i="25"/>
  <c r="G2671" i="25"/>
  <c r="G2672" i="25"/>
  <c r="G2673" i="25"/>
  <c r="G2674" i="25"/>
  <c r="G2675" i="25"/>
  <c r="G2676" i="25"/>
  <c r="G2677" i="25"/>
  <c r="G2678" i="25"/>
  <c r="G2679" i="25"/>
  <c r="G2680" i="25"/>
  <c r="G2681" i="25"/>
  <c r="G2682" i="25"/>
  <c r="G2683" i="25"/>
  <c r="G2684" i="25"/>
  <c r="G2685" i="25"/>
  <c r="G2686" i="25"/>
  <c r="G2687" i="25"/>
  <c r="G2688" i="25"/>
  <c r="G2689" i="25"/>
  <c r="G2690" i="25"/>
  <c r="G2691" i="25"/>
  <c r="G2692" i="25"/>
  <c r="G2693" i="25"/>
  <c r="G2694" i="25"/>
  <c r="G2695" i="25"/>
  <c r="G2696" i="25"/>
  <c r="G2697" i="25"/>
  <c r="G2698" i="25"/>
  <c r="G2699" i="25"/>
  <c r="G2700" i="25"/>
  <c r="G2701" i="25"/>
  <c r="G2702" i="25"/>
  <c r="G2703" i="25"/>
  <c r="G2704" i="25"/>
  <c r="G2705" i="25"/>
  <c r="G2706" i="25"/>
  <c r="G2707" i="25"/>
  <c r="G2708" i="25"/>
  <c r="G2709" i="25"/>
  <c r="G2710" i="25"/>
  <c r="G2711" i="25"/>
  <c r="G2712" i="25"/>
  <c r="G2713" i="25"/>
  <c r="G2714" i="25"/>
  <c r="G2715" i="25"/>
  <c r="G2716" i="25"/>
  <c r="G2717" i="25"/>
  <c r="G2718" i="25"/>
  <c r="G2719" i="25"/>
  <c r="G2720" i="25"/>
  <c r="G2721" i="25"/>
  <c r="G2722" i="25"/>
  <c r="G2723" i="25"/>
  <c r="G2724" i="25"/>
  <c r="G2725" i="25"/>
  <c r="G2726" i="25"/>
  <c r="G2727" i="25"/>
  <c r="G2728" i="25"/>
  <c r="G2729" i="25"/>
  <c r="G2730" i="25"/>
  <c r="G2731" i="25"/>
  <c r="G2732" i="25"/>
  <c r="G2733" i="25"/>
  <c r="G2734" i="25"/>
  <c r="G2735" i="25"/>
  <c r="G2736" i="25"/>
  <c r="G2737" i="25"/>
  <c r="G2738" i="25"/>
  <c r="G2739" i="25"/>
  <c r="G2740" i="25"/>
  <c r="G2741" i="25"/>
  <c r="G2742" i="25"/>
  <c r="G2743" i="25"/>
  <c r="G2744" i="25"/>
  <c r="G2745" i="25"/>
  <c r="G2746" i="25"/>
  <c r="G2747" i="25"/>
  <c r="G2748" i="25"/>
  <c r="G2749" i="25"/>
  <c r="G2750" i="25"/>
  <c r="G2751" i="25"/>
  <c r="G2752" i="25"/>
  <c r="G2753" i="25"/>
  <c r="G2754" i="25"/>
  <c r="G2755" i="25"/>
  <c r="G2756" i="25"/>
  <c r="G2757" i="25"/>
  <c r="G2758" i="25"/>
  <c r="G2759" i="25"/>
  <c r="G2760" i="25"/>
  <c r="G2761" i="25"/>
  <c r="G2762" i="25"/>
  <c r="G2763" i="25"/>
  <c r="G2764" i="25"/>
  <c r="G2765" i="25"/>
  <c r="G2766" i="25"/>
  <c r="G2767" i="25"/>
  <c r="G2768" i="25"/>
  <c r="G2769" i="25"/>
  <c r="G2770" i="25"/>
  <c r="G2771" i="25"/>
  <c r="G2772" i="25"/>
  <c r="G2773" i="25"/>
  <c r="G2774" i="25"/>
  <c r="G2775" i="25"/>
  <c r="G2776" i="25"/>
  <c r="G2777" i="25"/>
  <c r="G2778" i="25"/>
  <c r="G2779" i="25"/>
  <c r="G2780" i="25"/>
  <c r="G2781" i="25"/>
  <c r="G2782" i="25"/>
  <c r="G2783" i="25"/>
  <c r="G2784" i="25"/>
  <c r="G2785" i="25"/>
  <c r="G2786" i="25"/>
  <c r="G2787" i="25"/>
  <c r="G2788" i="25"/>
  <c r="G2789" i="25"/>
  <c r="G2790" i="25"/>
  <c r="G2791" i="25"/>
  <c r="G2792" i="25"/>
  <c r="G2793" i="25"/>
  <c r="G2794" i="25"/>
  <c r="G2795" i="25"/>
  <c r="G2796" i="25"/>
  <c r="G2797" i="25"/>
  <c r="G2798" i="25"/>
  <c r="G2799" i="25"/>
  <c r="G2800" i="25"/>
  <c r="G2801" i="25"/>
  <c r="G2802" i="25"/>
  <c r="G2803" i="25"/>
  <c r="G2804" i="25"/>
  <c r="G2805" i="25"/>
  <c r="G2806" i="25"/>
  <c r="G2807" i="25"/>
  <c r="G2808" i="25"/>
  <c r="G2809" i="25"/>
  <c r="G2810" i="25"/>
  <c r="G2811" i="25"/>
  <c r="G2812" i="25"/>
  <c r="G2813" i="25"/>
  <c r="G2814" i="25"/>
  <c r="G2815" i="25"/>
  <c r="G2816" i="25"/>
  <c r="G2817" i="25"/>
  <c r="G2818" i="25"/>
  <c r="G2819" i="25"/>
  <c r="G2820" i="25"/>
  <c r="G2821" i="25"/>
  <c r="G2822" i="25"/>
  <c r="G2823" i="25"/>
  <c r="G2824" i="25"/>
  <c r="G2825" i="25"/>
  <c r="G2826" i="25"/>
  <c r="G2827" i="25"/>
  <c r="G2828" i="25"/>
  <c r="G2829" i="25"/>
  <c r="G2830" i="25"/>
  <c r="G2831" i="25"/>
  <c r="G2832" i="25"/>
  <c r="G2833" i="25"/>
  <c r="G2834" i="25"/>
  <c r="G2835" i="25"/>
  <c r="G2836" i="25"/>
  <c r="G2837" i="25"/>
  <c r="G2838" i="25"/>
  <c r="G2839" i="25"/>
  <c r="G2840" i="25"/>
  <c r="G2841" i="25"/>
  <c r="G2842" i="25"/>
  <c r="G2843" i="25"/>
  <c r="G2844" i="25"/>
  <c r="G2845" i="25"/>
  <c r="G2846" i="25"/>
  <c r="G2847" i="25"/>
  <c r="G2848" i="25"/>
  <c r="G2849" i="25"/>
  <c r="G2850" i="25"/>
  <c r="G2851" i="25"/>
  <c r="G2852" i="25"/>
  <c r="G2853" i="25"/>
  <c r="G2854" i="25"/>
  <c r="G2855" i="25"/>
  <c r="G2856" i="25"/>
  <c r="G2857" i="25"/>
  <c r="G2858" i="25"/>
  <c r="G2859" i="25"/>
  <c r="G2860" i="25"/>
  <c r="G2861" i="25"/>
  <c r="G2862" i="25"/>
  <c r="G2863" i="25"/>
  <c r="G2864" i="25"/>
  <c r="G2865" i="25"/>
  <c r="G2866" i="25"/>
  <c r="G2867" i="25"/>
  <c r="G2868" i="25"/>
  <c r="G2869" i="25"/>
  <c r="G2870" i="25"/>
  <c r="G2871" i="25"/>
  <c r="G2872" i="25"/>
  <c r="G2873" i="25"/>
  <c r="G2874" i="25"/>
  <c r="G2875" i="25"/>
  <c r="G2876" i="25"/>
  <c r="G2877" i="25"/>
  <c r="G2878" i="25"/>
  <c r="G2879" i="25"/>
  <c r="G2880" i="25"/>
  <c r="G2881" i="25"/>
  <c r="G2882" i="25"/>
  <c r="G2883" i="25"/>
  <c r="G2884" i="25"/>
  <c r="G2885" i="25"/>
  <c r="G2886" i="25"/>
  <c r="G2887" i="25"/>
  <c r="G2888" i="25"/>
  <c r="G2889" i="25"/>
  <c r="G2890" i="25"/>
  <c r="G2891" i="25"/>
  <c r="G2892" i="25"/>
  <c r="G2893" i="25"/>
  <c r="G2894" i="25"/>
  <c r="G2895" i="25"/>
  <c r="G2896" i="25"/>
  <c r="G2897" i="25"/>
  <c r="G2898" i="25"/>
  <c r="G2899" i="25"/>
  <c r="G2900" i="25"/>
  <c r="G2901" i="25"/>
  <c r="G2902" i="25"/>
  <c r="G2903" i="25"/>
  <c r="G2904" i="25"/>
  <c r="G2905" i="25"/>
  <c r="G2906" i="25"/>
  <c r="G2907" i="25"/>
  <c r="G2908" i="25"/>
  <c r="G2909" i="25"/>
  <c r="G2910" i="25"/>
  <c r="G2911" i="25"/>
  <c r="G2912" i="25"/>
  <c r="G2913" i="25"/>
  <c r="G2914" i="25"/>
  <c r="G2915" i="25"/>
  <c r="G2916" i="25"/>
  <c r="G2917" i="25"/>
  <c r="G2918" i="25"/>
  <c r="G2919" i="25"/>
  <c r="G2920" i="25"/>
  <c r="G2921" i="25"/>
  <c r="G2922" i="25"/>
  <c r="G2923" i="25"/>
  <c r="G2924" i="25"/>
  <c r="G2925" i="25"/>
  <c r="G2926" i="25"/>
  <c r="G2927" i="25"/>
  <c r="G2928" i="25"/>
  <c r="G2929" i="25"/>
  <c r="G2930" i="25"/>
  <c r="G2931" i="25"/>
  <c r="G2932" i="25"/>
  <c r="G2933" i="25"/>
  <c r="G2934" i="25"/>
  <c r="G2935" i="25"/>
  <c r="G2936" i="25"/>
  <c r="G2937" i="25"/>
  <c r="G2938" i="25"/>
  <c r="G2939" i="25"/>
  <c r="G2940" i="25"/>
  <c r="G2941" i="25"/>
  <c r="G2942" i="25"/>
  <c r="G2943" i="25"/>
  <c r="G2944" i="25"/>
  <c r="G2945" i="25"/>
  <c r="G2946" i="25"/>
  <c r="G2947" i="25"/>
  <c r="G2948" i="25"/>
  <c r="G2949" i="25"/>
  <c r="G2950" i="25"/>
  <c r="G2951" i="25"/>
  <c r="G2952" i="25"/>
  <c r="G2953" i="25"/>
  <c r="G2954" i="25"/>
  <c r="G2955" i="25"/>
  <c r="G2956" i="25"/>
  <c r="G2957" i="25"/>
  <c r="G2958" i="25"/>
  <c r="G2959" i="25"/>
  <c r="G2960" i="25"/>
  <c r="G2961" i="25"/>
  <c r="G2962" i="25"/>
  <c r="G2963" i="25"/>
  <c r="G2964" i="25"/>
  <c r="G2965" i="25"/>
  <c r="G2966" i="25"/>
  <c r="G2967" i="25"/>
  <c r="G2968" i="25"/>
  <c r="G2969" i="25"/>
  <c r="G2970" i="25"/>
  <c r="G2971" i="25"/>
  <c r="G2972" i="25"/>
  <c r="G2973" i="25"/>
  <c r="G2974" i="25"/>
  <c r="G2975" i="25"/>
  <c r="G2976" i="25"/>
  <c r="G2977" i="25"/>
  <c r="G2978" i="25"/>
  <c r="G2979" i="25"/>
  <c r="G2980" i="25"/>
  <c r="G2981" i="25"/>
  <c r="G2982" i="25"/>
  <c r="G2983" i="25"/>
  <c r="G2984" i="25"/>
  <c r="G2985" i="25"/>
  <c r="G2986" i="25"/>
  <c r="G2987" i="25"/>
  <c r="G2988" i="25"/>
  <c r="G2989" i="25"/>
  <c r="G2990" i="25"/>
  <c r="G2991" i="25"/>
  <c r="G2992" i="25"/>
  <c r="G2993" i="25"/>
  <c r="G2994" i="25"/>
  <c r="G2995" i="25"/>
  <c r="G2996" i="25"/>
  <c r="G2997" i="25"/>
  <c r="G2998" i="25"/>
  <c r="G2999" i="25"/>
  <c r="G3000" i="25"/>
  <c r="G3001" i="25"/>
  <c r="G3002" i="25"/>
  <c r="G3003" i="25"/>
  <c r="G3004" i="25"/>
  <c r="G3005" i="25"/>
  <c r="G3006" i="25"/>
  <c r="G3007" i="25"/>
  <c r="G3008" i="25"/>
  <c r="G3009" i="25"/>
  <c r="G3010" i="25"/>
  <c r="G3011" i="25"/>
  <c r="G3012" i="25"/>
  <c r="G3013" i="25"/>
  <c r="G3014" i="25"/>
  <c r="G3015" i="25"/>
  <c r="G3016" i="25"/>
  <c r="G3017" i="25"/>
  <c r="G3018" i="25"/>
  <c r="G3019" i="25"/>
  <c r="G3020" i="25"/>
  <c r="G3021" i="25"/>
  <c r="G3022" i="25"/>
  <c r="G3023" i="25"/>
  <c r="G3024" i="25"/>
  <c r="G3025" i="25"/>
  <c r="G3026" i="25"/>
  <c r="G3027" i="25"/>
  <c r="G3028" i="25"/>
  <c r="G3029" i="25"/>
  <c r="G3030" i="25"/>
  <c r="G3031" i="25"/>
  <c r="G3032" i="25"/>
  <c r="G3033" i="25"/>
  <c r="G3034" i="25"/>
  <c r="G3035" i="25"/>
  <c r="G3036" i="25"/>
  <c r="G3037" i="25"/>
  <c r="G3038" i="25"/>
  <c r="G3039" i="25"/>
  <c r="G3040" i="25"/>
  <c r="G3041" i="25"/>
  <c r="G3042" i="25"/>
  <c r="G3043" i="25"/>
  <c r="G3044" i="25"/>
  <c r="G3045" i="25"/>
  <c r="G3046" i="25"/>
  <c r="G3047" i="25"/>
  <c r="G3048" i="25"/>
  <c r="G3049" i="25"/>
  <c r="G3050" i="25"/>
  <c r="G3051" i="25"/>
  <c r="G3052" i="25"/>
  <c r="G3053" i="25"/>
  <c r="G3054" i="25"/>
  <c r="G3055" i="25"/>
  <c r="G3056" i="25"/>
  <c r="G3057" i="25"/>
  <c r="G3058" i="25"/>
  <c r="G3059" i="25"/>
  <c r="G3060" i="25"/>
  <c r="G3061" i="25"/>
  <c r="G3062" i="25"/>
  <c r="G3063" i="25"/>
  <c r="G3064" i="25"/>
  <c r="G3065" i="25"/>
  <c r="G3066" i="25"/>
  <c r="G3067" i="25"/>
  <c r="G3068" i="25"/>
  <c r="G3069" i="25"/>
  <c r="G3070" i="25"/>
  <c r="G3071" i="25"/>
  <c r="G3072" i="25"/>
  <c r="G3073" i="25"/>
  <c r="G3074" i="25"/>
  <c r="G3075" i="25"/>
  <c r="G3076" i="25"/>
  <c r="G3077" i="25"/>
  <c r="G3078" i="25"/>
  <c r="G3079" i="25"/>
  <c r="G3080" i="25"/>
  <c r="G3081" i="25"/>
  <c r="G3082" i="25"/>
  <c r="G3083" i="25"/>
  <c r="G3084" i="25"/>
  <c r="G3085" i="25"/>
  <c r="G3086" i="25"/>
  <c r="G3087" i="25"/>
  <c r="G3088" i="25"/>
  <c r="G3089" i="25"/>
  <c r="G3090" i="25"/>
  <c r="G3091" i="25"/>
  <c r="G3092" i="25"/>
  <c r="G3093" i="25"/>
  <c r="G3094" i="25"/>
  <c r="G3095" i="25"/>
  <c r="G3096" i="25"/>
  <c r="G3097" i="25"/>
  <c r="G3098" i="25"/>
  <c r="G3099" i="25"/>
  <c r="G3100" i="25"/>
  <c r="G3101" i="25"/>
  <c r="G3102" i="25"/>
  <c r="G3103" i="25"/>
  <c r="G3104" i="25"/>
  <c r="G3105" i="25"/>
  <c r="G3106" i="25"/>
  <c r="G3107" i="25"/>
  <c r="G3108" i="25"/>
  <c r="G3109" i="25"/>
  <c r="G3110" i="25"/>
  <c r="G3111" i="25"/>
  <c r="G3112" i="25"/>
  <c r="G3113" i="25"/>
  <c r="G3114" i="25"/>
  <c r="G3115" i="25"/>
  <c r="G3116" i="25"/>
  <c r="G3117" i="25"/>
  <c r="G3118" i="25"/>
  <c r="G3119" i="25"/>
  <c r="G3120" i="25"/>
  <c r="G3121" i="25"/>
  <c r="G3122" i="25"/>
  <c r="G3123" i="25"/>
  <c r="G3124" i="25"/>
  <c r="G3125" i="25"/>
  <c r="G3126" i="25"/>
  <c r="G3127" i="25"/>
  <c r="G3128" i="25"/>
  <c r="G3129" i="25"/>
  <c r="G3130" i="25"/>
  <c r="G3131" i="25"/>
  <c r="G3132" i="25"/>
  <c r="G3133" i="25"/>
  <c r="G3134" i="25"/>
  <c r="G3135" i="25"/>
  <c r="G3136" i="25"/>
  <c r="G3137" i="25"/>
  <c r="G3138" i="25"/>
  <c r="G3139" i="25"/>
  <c r="G3140" i="25"/>
  <c r="G3141" i="25"/>
  <c r="G3142" i="25"/>
  <c r="G3143" i="25"/>
  <c r="G3144" i="25"/>
  <c r="G3145" i="25"/>
  <c r="G3146" i="25"/>
  <c r="G3147" i="25"/>
  <c r="G3148" i="25"/>
  <c r="G3149" i="25"/>
  <c r="G3150" i="25"/>
  <c r="G3151" i="25"/>
  <c r="G3152" i="25"/>
  <c r="G3153" i="25"/>
  <c r="G3154" i="25"/>
  <c r="G3155" i="25"/>
  <c r="G3156" i="25"/>
  <c r="G3157" i="25"/>
  <c r="G3158" i="25"/>
  <c r="G3159" i="25"/>
  <c r="G3160" i="25"/>
  <c r="G3161" i="25"/>
  <c r="G3162" i="25"/>
  <c r="G3163" i="25"/>
  <c r="G3164" i="25"/>
  <c r="G3165" i="25"/>
  <c r="G3166" i="25"/>
  <c r="G3167" i="25"/>
  <c r="G3168" i="25"/>
  <c r="G3169" i="25"/>
  <c r="G3170" i="25"/>
  <c r="G3171" i="25"/>
  <c r="G3172" i="25"/>
  <c r="G3173" i="25"/>
  <c r="G3174" i="25"/>
  <c r="G3175" i="25"/>
  <c r="G3176" i="25"/>
  <c r="G3177" i="25"/>
  <c r="G3178" i="25"/>
  <c r="G3179" i="25"/>
  <c r="G3180" i="25"/>
  <c r="G3181" i="25"/>
  <c r="G3182" i="25"/>
  <c r="G3183" i="25"/>
  <c r="G3184" i="25"/>
  <c r="G3185" i="25"/>
  <c r="G3186" i="25"/>
  <c r="G3187" i="25"/>
  <c r="G3188" i="25"/>
  <c r="G3189" i="25"/>
  <c r="G3190" i="25"/>
  <c r="G3191" i="25"/>
  <c r="G3192" i="25"/>
  <c r="G3193" i="25"/>
  <c r="G3194" i="25"/>
  <c r="G3195" i="25"/>
  <c r="G3196" i="25"/>
  <c r="G3197" i="25"/>
  <c r="G3198" i="25"/>
  <c r="G3199" i="25"/>
  <c r="G3200" i="25"/>
  <c r="G3201" i="25"/>
  <c r="G3202" i="25"/>
  <c r="G3203" i="25"/>
  <c r="G3204" i="25"/>
  <c r="G3205" i="25"/>
  <c r="G3206" i="25"/>
  <c r="G3207" i="25"/>
  <c r="G3208" i="25"/>
  <c r="G3209" i="25"/>
  <c r="G3210" i="25"/>
  <c r="G3211" i="25"/>
  <c r="G3212" i="25"/>
  <c r="G3213" i="25"/>
  <c r="G3214" i="25"/>
  <c r="G3215" i="25"/>
  <c r="G3216" i="25"/>
  <c r="G3217" i="25"/>
  <c r="G3218" i="25"/>
  <c r="G3219" i="25"/>
  <c r="G3220" i="25"/>
  <c r="G3221" i="25"/>
  <c r="G3222" i="25"/>
  <c r="G3223" i="25"/>
  <c r="G3224" i="25"/>
  <c r="G3225" i="25"/>
  <c r="G3226" i="25"/>
  <c r="G3227" i="25"/>
  <c r="G3228" i="25"/>
  <c r="G3229" i="25"/>
  <c r="G3230" i="25"/>
  <c r="G3231" i="25"/>
  <c r="G3232" i="25"/>
  <c r="G3233" i="25"/>
  <c r="G3234" i="25"/>
  <c r="G3235" i="25"/>
  <c r="G3236" i="25"/>
  <c r="G3237" i="25"/>
  <c r="G3238" i="25"/>
  <c r="G3239" i="25"/>
  <c r="G3240" i="25"/>
  <c r="G3241" i="25"/>
  <c r="G3242" i="25"/>
  <c r="G3243" i="25"/>
  <c r="G3244" i="25"/>
  <c r="G3245" i="25"/>
  <c r="G3246" i="25"/>
  <c r="G3247" i="25"/>
  <c r="G3248" i="25"/>
  <c r="G3249" i="25"/>
  <c r="G3250" i="25"/>
  <c r="G3251" i="25"/>
  <c r="G3252" i="25"/>
  <c r="G3253" i="25"/>
  <c r="G3254" i="25"/>
  <c r="G3255" i="25"/>
  <c r="G3256" i="25"/>
  <c r="G3257" i="25"/>
  <c r="G3258" i="25"/>
  <c r="G3259" i="25"/>
  <c r="G3260" i="25"/>
  <c r="G3261" i="25"/>
  <c r="G3262" i="25"/>
  <c r="G3263" i="25"/>
  <c r="G3264" i="25"/>
  <c r="G3265" i="25"/>
  <c r="G3266" i="25"/>
  <c r="G3267" i="25"/>
  <c r="G3268" i="25"/>
  <c r="G3269" i="25"/>
  <c r="G3270" i="25"/>
  <c r="G3271" i="25"/>
  <c r="G3272" i="25"/>
  <c r="G3273" i="25"/>
  <c r="G3274" i="25"/>
  <c r="G3275" i="25"/>
  <c r="G3276" i="25"/>
  <c r="G3277" i="25"/>
  <c r="G3278" i="25"/>
  <c r="G3279" i="25"/>
  <c r="G3280" i="25"/>
  <c r="G3281" i="25"/>
  <c r="G3282" i="25"/>
  <c r="G3283" i="25"/>
  <c r="G3284" i="25"/>
  <c r="G3285" i="25"/>
  <c r="G3286" i="25"/>
  <c r="G3287" i="25"/>
  <c r="G3288" i="25"/>
  <c r="G3289" i="25"/>
  <c r="G3290" i="25"/>
  <c r="G3291" i="25"/>
  <c r="G3292" i="25"/>
  <c r="G3293" i="25"/>
  <c r="G3294" i="25"/>
  <c r="G3295" i="25"/>
  <c r="G3296" i="25"/>
  <c r="G3297" i="25"/>
  <c r="G3298" i="25"/>
  <c r="G3299" i="25"/>
  <c r="G3300" i="25"/>
  <c r="G3301" i="25"/>
  <c r="G3302" i="25"/>
  <c r="G3303" i="25"/>
  <c r="G3304" i="25"/>
  <c r="G3305" i="25"/>
  <c r="G3306" i="25"/>
  <c r="G3307" i="25"/>
  <c r="G3308" i="25"/>
  <c r="G3309" i="25"/>
  <c r="G3310" i="25"/>
  <c r="G3311" i="25"/>
  <c r="G3312" i="25"/>
  <c r="G3313" i="25"/>
  <c r="G3314" i="25"/>
  <c r="G3315" i="25"/>
  <c r="G3316" i="25"/>
  <c r="G3317" i="25"/>
  <c r="G3318" i="25"/>
  <c r="G3319" i="25"/>
  <c r="G3320" i="25"/>
  <c r="G3321" i="25"/>
  <c r="G3322" i="25"/>
  <c r="G3323" i="25"/>
  <c r="G3324" i="25"/>
  <c r="G3325" i="25"/>
  <c r="G3326" i="25"/>
  <c r="G3327" i="25"/>
  <c r="G3328" i="25"/>
  <c r="G3329" i="25"/>
  <c r="G3330" i="25"/>
  <c r="G3331" i="25"/>
  <c r="G3332" i="25"/>
  <c r="G3333" i="25"/>
  <c r="G3334" i="25"/>
  <c r="G3335" i="25"/>
  <c r="G3336" i="25"/>
  <c r="G3337" i="25"/>
  <c r="G3338" i="25"/>
  <c r="G3339" i="25"/>
  <c r="G3340" i="25"/>
  <c r="G3341" i="25"/>
  <c r="G3342" i="25"/>
  <c r="G3343" i="25"/>
  <c r="G3344" i="25"/>
  <c r="G3345" i="25"/>
  <c r="G3346" i="25"/>
  <c r="G3347" i="25"/>
  <c r="G3348" i="25"/>
  <c r="G3349" i="25"/>
  <c r="G3350" i="25"/>
  <c r="G3351" i="25"/>
  <c r="G3352" i="25"/>
  <c r="G3353" i="25"/>
  <c r="G3354" i="25"/>
  <c r="G3355" i="25"/>
  <c r="G3356" i="25"/>
  <c r="G3357" i="25"/>
  <c r="G3358" i="25"/>
  <c r="G3359" i="25"/>
  <c r="G3360" i="25"/>
  <c r="G3361" i="25"/>
  <c r="G3362" i="25"/>
  <c r="G3363" i="25"/>
  <c r="G3364" i="25"/>
  <c r="G3365" i="25"/>
  <c r="G3366" i="25"/>
  <c r="G3367" i="25"/>
  <c r="G3368" i="25"/>
  <c r="G3369" i="25"/>
  <c r="G3370" i="25"/>
  <c r="G3371" i="25"/>
  <c r="G3372" i="25"/>
  <c r="G3373" i="25"/>
  <c r="G3374" i="25"/>
  <c r="G3375" i="25"/>
  <c r="G3376" i="25"/>
  <c r="G3377" i="25"/>
  <c r="G3378" i="25"/>
  <c r="G3379" i="25"/>
  <c r="G3380" i="25"/>
  <c r="G3381" i="25"/>
  <c r="G3382" i="25"/>
  <c r="G3383" i="25"/>
  <c r="G3384" i="25"/>
  <c r="G3385" i="25"/>
  <c r="G3386" i="25"/>
  <c r="G3387" i="25"/>
  <c r="G3388" i="25"/>
  <c r="G3389" i="25"/>
  <c r="G3390" i="25"/>
  <c r="G3391" i="25"/>
  <c r="G3392" i="25"/>
  <c r="G3393" i="25"/>
  <c r="G3394" i="25"/>
  <c r="G3395" i="25"/>
  <c r="G3396" i="25"/>
  <c r="G3397" i="25"/>
  <c r="G3398" i="25"/>
  <c r="G3399" i="25"/>
  <c r="G3400" i="25"/>
  <c r="G3401" i="25"/>
  <c r="G3402" i="25"/>
  <c r="G3403" i="25"/>
  <c r="G3404" i="25"/>
  <c r="G3405" i="25"/>
  <c r="G3406" i="25"/>
  <c r="G3407" i="25"/>
  <c r="G3408" i="25"/>
  <c r="G3409" i="25"/>
  <c r="G3410" i="25"/>
  <c r="G3411" i="25"/>
  <c r="G3412" i="25"/>
  <c r="G3413" i="25"/>
  <c r="G3414" i="25"/>
  <c r="G3415" i="25"/>
  <c r="G3416" i="25"/>
  <c r="G3417" i="25"/>
  <c r="G3418" i="25"/>
  <c r="G3419" i="25"/>
  <c r="G3420" i="25"/>
  <c r="G3421" i="25"/>
  <c r="G3422" i="25"/>
  <c r="G3423" i="25"/>
  <c r="G3424" i="25"/>
  <c r="G3425" i="25"/>
  <c r="G3426" i="25"/>
  <c r="G3427" i="25"/>
  <c r="G3428" i="25"/>
  <c r="G3429" i="25"/>
  <c r="G3430" i="25"/>
  <c r="G3431" i="25"/>
  <c r="G3432" i="25"/>
  <c r="G3433" i="25"/>
  <c r="G3434" i="25"/>
  <c r="G3435" i="25"/>
  <c r="G3436" i="25"/>
  <c r="G3437" i="25"/>
  <c r="G3438" i="25"/>
  <c r="G3439" i="25"/>
  <c r="G3440" i="25"/>
  <c r="G3441" i="25"/>
  <c r="G3442" i="25"/>
  <c r="G3443" i="25"/>
  <c r="G3444" i="25"/>
  <c r="G3445" i="25"/>
  <c r="G3446" i="25"/>
  <c r="G3447" i="25"/>
  <c r="G3448" i="25"/>
  <c r="G3449" i="25"/>
  <c r="G3450" i="25"/>
  <c r="G3451" i="25"/>
  <c r="G3452" i="25"/>
  <c r="G3453" i="25"/>
  <c r="G3454" i="25"/>
  <c r="G3455" i="25"/>
  <c r="G3456" i="25"/>
  <c r="G3457" i="25"/>
  <c r="G3458" i="25"/>
  <c r="G3459" i="25"/>
  <c r="G3460" i="25"/>
  <c r="G3461" i="25"/>
  <c r="G3462" i="25"/>
  <c r="G3463" i="25"/>
  <c r="G3464" i="25"/>
  <c r="G3465" i="25"/>
  <c r="G3466" i="25"/>
  <c r="G3467" i="25"/>
  <c r="G3468" i="25"/>
  <c r="G3469" i="25"/>
  <c r="G3470" i="25"/>
  <c r="G3471" i="25"/>
  <c r="G3472" i="25"/>
  <c r="G3473" i="25"/>
  <c r="G3474" i="25"/>
  <c r="G3475" i="25"/>
  <c r="G3476" i="25"/>
  <c r="G3477" i="25"/>
  <c r="G3478" i="25"/>
  <c r="G3479" i="25"/>
  <c r="G3480" i="25"/>
  <c r="G3481" i="25"/>
  <c r="G3482" i="25"/>
  <c r="G3483" i="25"/>
  <c r="G3484" i="25"/>
  <c r="G3485" i="25"/>
  <c r="G3486" i="25"/>
  <c r="G3487" i="25"/>
  <c r="G3488" i="25"/>
  <c r="G3489" i="25"/>
  <c r="G3490" i="25"/>
  <c r="G3491" i="25"/>
  <c r="G3492" i="25"/>
  <c r="G3493" i="25"/>
  <c r="G3494" i="25"/>
  <c r="G3495" i="25"/>
  <c r="G3496" i="25"/>
  <c r="G3497" i="25"/>
  <c r="G3498" i="25"/>
  <c r="G3499" i="25"/>
  <c r="G3500" i="25"/>
  <c r="G3501" i="25"/>
  <c r="G3502" i="25"/>
  <c r="G3503" i="25"/>
  <c r="G3504" i="25"/>
  <c r="G3505" i="25"/>
  <c r="G3506" i="25"/>
  <c r="G3507" i="25"/>
  <c r="G3508" i="25"/>
  <c r="G3509" i="25"/>
  <c r="G3510" i="25"/>
  <c r="G3511" i="25"/>
  <c r="G3512" i="25"/>
  <c r="G3513" i="25"/>
  <c r="G3514" i="25"/>
  <c r="G3515" i="25"/>
  <c r="G3516" i="25"/>
  <c r="G3517" i="25"/>
  <c r="G3518" i="25"/>
  <c r="G3519" i="25"/>
  <c r="G3520" i="25"/>
  <c r="G3521" i="25"/>
  <c r="G3522" i="25"/>
  <c r="G3523" i="25"/>
  <c r="G3524" i="25"/>
  <c r="G3525" i="25"/>
  <c r="G3526" i="25"/>
  <c r="G3527" i="25"/>
  <c r="G3528" i="25"/>
  <c r="G3529" i="25"/>
  <c r="G3530" i="25"/>
  <c r="G3531" i="25"/>
  <c r="G3532" i="25"/>
  <c r="G3533" i="25"/>
  <c r="G3534" i="25"/>
  <c r="G3535" i="25"/>
  <c r="G3536" i="25"/>
  <c r="G3537" i="25"/>
  <c r="G3538" i="25"/>
  <c r="G3539" i="25"/>
  <c r="G3540" i="25"/>
  <c r="G3541" i="25"/>
  <c r="G3542" i="25"/>
  <c r="G3543" i="25"/>
  <c r="G3544" i="25"/>
  <c r="G3545" i="25"/>
  <c r="G3546" i="25"/>
  <c r="G3547" i="25"/>
  <c r="G3548" i="25"/>
  <c r="G3549" i="25"/>
  <c r="G3550" i="25"/>
  <c r="G3551" i="25"/>
  <c r="G3552" i="25"/>
  <c r="G3553" i="25"/>
  <c r="G3554" i="25"/>
  <c r="G3555" i="25"/>
  <c r="G3556" i="25"/>
  <c r="G3557" i="25"/>
  <c r="G3558" i="25"/>
  <c r="G3559" i="25"/>
  <c r="G3560" i="25"/>
  <c r="G3561" i="25"/>
  <c r="G3562" i="25"/>
  <c r="G3563" i="25"/>
  <c r="G3564" i="25"/>
  <c r="G3565" i="25"/>
  <c r="G3566" i="25"/>
  <c r="G3567" i="25"/>
  <c r="G3568" i="25"/>
  <c r="G3569" i="25"/>
  <c r="G3570" i="25"/>
  <c r="G3571" i="25"/>
  <c r="G3572" i="25"/>
  <c r="G3573" i="25"/>
  <c r="G3574" i="25"/>
  <c r="G3575" i="25"/>
  <c r="G3576" i="25"/>
  <c r="G3577" i="25"/>
  <c r="G3578" i="25"/>
  <c r="G3579" i="25"/>
  <c r="G3580" i="25"/>
  <c r="G3581" i="25"/>
  <c r="G3582" i="25"/>
  <c r="G3583" i="25"/>
  <c r="G3584" i="25"/>
  <c r="G3585" i="25"/>
  <c r="G3586" i="25"/>
  <c r="G3587" i="25"/>
  <c r="G3588" i="25"/>
  <c r="G3589" i="25"/>
  <c r="G3590" i="25"/>
  <c r="G3591" i="25"/>
  <c r="G3592" i="25"/>
  <c r="G3593" i="25"/>
  <c r="G3594" i="25"/>
  <c r="G3595" i="25"/>
  <c r="G3596" i="25"/>
  <c r="G3597" i="25"/>
  <c r="G3598" i="25"/>
  <c r="G3599" i="25"/>
  <c r="G3600" i="25"/>
  <c r="G3601" i="25"/>
  <c r="G3602" i="25"/>
  <c r="G3603" i="25"/>
  <c r="G3604" i="25"/>
  <c r="G3605" i="25"/>
  <c r="G3606" i="25"/>
  <c r="G3607" i="25"/>
  <c r="G3608" i="25"/>
  <c r="G3609" i="25"/>
  <c r="G3610" i="25"/>
  <c r="G3611" i="25"/>
  <c r="G3612" i="25"/>
  <c r="G3613" i="25"/>
  <c r="G3614" i="25"/>
  <c r="G3615" i="25"/>
  <c r="G3616" i="25"/>
  <c r="G3617" i="25"/>
  <c r="G3618" i="25"/>
  <c r="G3619" i="25"/>
  <c r="G3620" i="25"/>
  <c r="G3621" i="25"/>
  <c r="G3622" i="25"/>
  <c r="G3623" i="25"/>
  <c r="G3624" i="25"/>
  <c r="G3625" i="25"/>
  <c r="G3626" i="25"/>
  <c r="G3627" i="25"/>
  <c r="G3628" i="25"/>
  <c r="G3629" i="25"/>
  <c r="G3630" i="25"/>
  <c r="G3631" i="25"/>
  <c r="G3632" i="25"/>
  <c r="G3633" i="25"/>
  <c r="G3634" i="25"/>
  <c r="G3635" i="25"/>
  <c r="G3636" i="25"/>
  <c r="G3637" i="25"/>
  <c r="G3638" i="25"/>
  <c r="G3639" i="25"/>
  <c r="G3640" i="25"/>
  <c r="G3641" i="25"/>
  <c r="G3642" i="25"/>
  <c r="G3643" i="25"/>
  <c r="G3644" i="25"/>
  <c r="G3645" i="25"/>
  <c r="G3646" i="25"/>
  <c r="G3647" i="25"/>
  <c r="G3648" i="25"/>
  <c r="G3649" i="25"/>
  <c r="G3650" i="25"/>
  <c r="G3651" i="25"/>
  <c r="G3652" i="25"/>
  <c r="G3653" i="25"/>
  <c r="G3654" i="25"/>
  <c r="G3655" i="25"/>
  <c r="G3656" i="25"/>
  <c r="G3657" i="25"/>
  <c r="G3658" i="25"/>
  <c r="G3659" i="25"/>
  <c r="G3660" i="25"/>
  <c r="G3661" i="25"/>
  <c r="G3662" i="25"/>
  <c r="G3663" i="25"/>
  <c r="G3664" i="25"/>
  <c r="G3665" i="25"/>
  <c r="G3666" i="25"/>
  <c r="G3667" i="25"/>
  <c r="G3668" i="25"/>
  <c r="G3669" i="25"/>
  <c r="G3670" i="25"/>
  <c r="G3671" i="25"/>
  <c r="G3672" i="25"/>
  <c r="G3673" i="25"/>
  <c r="G3674" i="25"/>
  <c r="G3675" i="25"/>
  <c r="G3676" i="25"/>
  <c r="G3677" i="25"/>
  <c r="G3678" i="25"/>
  <c r="G3679" i="25"/>
  <c r="G3680" i="25"/>
  <c r="G3681" i="25"/>
  <c r="G3682" i="25"/>
  <c r="G3683" i="25"/>
  <c r="G3684" i="25"/>
  <c r="G3685" i="25"/>
  <c r="G3686" i="25"/>
  <c r="G3687" i="25"/>
  <c r="G3688" i="25"/>
  <c r="G3689" i="25"/>
  <c r="G3690" i="25"/>
  <c r="G3691" i="25"/>
  <c r="G3692" i="25"/>
  <c r="G3693" i="25"/>
  <c r="G3694" i="25"/>
  <c r="G3695" i="25"/>
  <c r="G3696" i="25"/>
  <c r="G3697" i="25"/>
  <c r="G3698" i="25"/>
  <c r="G3699" i="25"/>
  <c r="G3700" i="25"/>
  <c r="G3701" i="25"/>
  <c r="G3702" i="25"/>
  <c r="G3703" i="25"/>
  <c r="G3704" i="25"/>
  <c r="G3705" i="25"/>
  <c r="G3706" i="25"/>
  <c r="G3707" i="25"/>
  <c r="G3708" i="25"/>
  <c r="G3709" i="25"/>
  <c r="G3710" i="25"/>
  <c r="G3711" i="25"/>
  <c r="G3712" i="25"/>
  <c r="G3713" i="25"/>
  <c r="G3714" i="25"/>
  <c r="G3715" i="25"/>
  <c r="G3716" i="25"/>
  <c r="G3717" i="25"/>
  <c r="G3718" i="25"/>
  <c r="G3719" i="25"/>
  <c r="G3720" i="25"/>
  <c r="G3721" i="25"/>
  <c r="G3722" i="25"/>
  <c r="G3723" i="25"/>
  <c r="G3724" i="25"/>
  <c r="G3725" i="25"/>
  <c r="G3726" i="25"/>
  <c r="G3727" i="25"/>
  <c r="G3728" i="25"/>
  <c r="G3729" i="25"/>
  <c r="G3730" i="25"/>
  <c r="G3731" i="25"/>
  <c r="G3732" i="25"/>
  <c r="G3733" i="25"/>
  <c r="G3734" i="25"/>
  <c r="G3735" i="25"/>
  <c r="G3736" i="25"/>
  <c r="G3737" i="25"/>
  <c r="G3738" i="25"/>
  <c r="G3739" i="25"/>
  <c r="G3740" i="25"/>
  <c r="G3741" i="25"/>
  <c r="G3742" i="25"/>
  <c r="G3743" i="25"/>
  <c r="G3744" i="25"/>
  <c r="G3745" i="25"/>
  <c r="G3746" i="25"/>
  <c r="G3747" i="25"/>
  <c r="G3748" i="25"/>
  <c r="G3749" i="25"/>
  <c r="G3750" i="25"/>
  <c r="G3751" i="25"/>
  <c r="G3752" i="25"/>
  <c r="G3753" i="25"/>
  <c r="G3754" i="25"/>
  <c r="G3755" i="25"/>
  <c r="G3756" i="25"/>
  <c r="G3757" i="25"/>
  <c r="G3758" i="25"/>
  <c r="G3759" i="25"/>
  <c r="G3760" i="25"/>
  <c r="G3761" i="25"/>
  <c r="G3762" i="25"/>
  <c r="G3763" i="25"/>
  <c r="G3764" i="25"/>
  <c r="G3765" i="25"/>
  <c r="G3766" i="25"/>
  <c r="G3767" i="25"/>
  <c r="G3768" i="25"/>
  <c r="G3769" i="25"/>
  <c r="G3770" i="25"/>
  <c r="G3771" i="25"/>
  <c r="G3772" i="25"/>
  <c r="G3773" i="25"/>
  <c r="G3774" i="25"/>
  <c r="G3775" i="25"/>
  <c r="G3776" i="25"/>
  <c r="G3777" i="25"/>
  <c r="G3778" i="25"/>
  <c r="G3779" i="25"/>
  <c r="G3780" i="25"/>
  <c r="G3781" i="25"/>
  <c r="G3782" i="25"/>
  <c r="G3783" i="25"/>
  <c r="G3784" i="25"/>
  <c r="G3785" i="25"/>
  <c r="G3786" i="25"/>
  <c r="G3787" i="25"/>
  <c r="G3788" i="25"/>
  <c r="G3789" i="25"/>
  <c r="G3790" i="25"/>
  <c r="G3791" i="25"/>
  <c r="G3792" i="25"/>
  <c r="G3793" i="25"/>
  <c r="G3794" i="25"/>
  <c r="G3795" i="25"/>
  <c r="G3796" i="25"/>
  <c r="G3797" i="25"/>
  <c r="G3798" i="25"/>
  <c r="G3799" i="25"/>
  <c r="G3800" i="25"/>
  <c r="G3801" i="25"/>
  <c r="G3802" i="25"/>
  <c r="G3803" i="25"/>
  <c r="G3804" i="25"/>
  <c r="G3805" i="25"/>
  <c r="G3806" i="25"/>
  <c r="G3807" i="25"/>
  <c r="G3808" i="25"/>
  <c r="G3809" i="25"/>
  <c r="G3810" i="25"/>
  <c r="G3811" i="25"/>
  <c r="G3812" i="25"/>
  <c r="G3813" i="25"/>
  <c r="G3814" i="25"/>
  <c r="G3815" i="25"/>
  <c r="G3816" i="25"/>
  <c r="G3817" i="25"/>
  <c r="G3818" i="25"/>
  <c r="G3819" i="25"/>
  <c r="G3820" i="25"/>
  <c r="G3821" i="25"/>
  <c r="G3822" i="25"/>
  <c r="G3823" i="25"/>
  <c r="G3824" i="25"/>
  <c r="G3825" i="25"/>
  <c r="G3826" i="25"/>
  <c r="G3827" i="25"/>
  <c r="G3828" i="25"/>
  <c r="G3829" i="25"/>
  <c r="G3830" i="25"/>
  <c r="G3831" i="25"/>
  <c r="G3832" i="25"/>
  <c r="G3833" i="25"/>
  <c r="G3834" i="25"/>
  <c r="G3835" i="25"/>
  <c r="G3836" i="25"/>
  <c r="G3837" i="25"/>
  <c r="G3838" i="25"/>
  <c r="G3839" i="25"/>
  <c r="G3840" i="25"/>
  <c r="G3841" i="25"/>
  <c r="G3842" i="25"/>
  <c r="G3843" i="25"/>
  <c r="G3844" i="25"/>
  <c r="G3845" i="25"/>
  <c r="G3846" i="25"/>
  <c r="G3847" i="25"/>
  <c r="G3848" i="25"/>
  <c r="G3849" i="25"/>
  <c r="G3850" i="25"/>
  <c r="G3851" i="25"/>
  <c r="G3852" i="25"/>
  <c r="G3853" i="25"/>
  <c r="G3854" i="25"/>
  <c r="G3855" i="25"/>
  <c r="G3856" i="25"/>
  <c r="G3857" i="25"/>
  <c r="G3858" i="25"/>
  <c r="G3859" i="25"/>
  <c r="G3860" i="25"/>
  <c r="G3861" i="25"/>
  <c r="G3862" i="25"/>
  <c r="G3863" i="25"/>
  <c r="G3864" i="25"/>
  <c r="G3865" i="25"/>
  <c r="G3866" i="25"/>
  <c r="G3867" i="25"/>
  <c r="G3868" i="25"/>
  <c r="G3869" i="25"/>
  <c r="G3870" i="25"/>
  <c r="G3871" i="25"/>
  <c r="G3872" i="25"/>
  <c r="G3873" i="25"/>
  <c r="G3874" i="25"/>
  <c r="G3875" i="25"/>
  <c r="G3876" i="25"/>
  <c r="G3877" i="25"/>
  <c r="G3878" i="25"/>
  <c r="G3879" i="25"/>
  <c r="G3880" i="25"/>
  <c r="G3881" i="25"/>
  <c r="G3882" i="25"/>
  <c r="G3883" i="25"/>
  <c r="G3884" i="25"/>
  <c r="G3885" i="25"/>
  <c r="G3886" i="25"/>
  <c r="G3887" i="25"/>
  <c r="G3888" i="25"/>
  <c r="G3889" i="25"/>
  <c r="G3890" i="25"/>
  <c r="G3891" i="25"/>
  <c r="G3892" i="25"/>
  <c r="G3893" i="25"/>
  <c r="G3894" i="25"/>
  <c r="G3895" i="25"/>
  <c r="G3896" i="25"/>
  <c r="G3897" i="25"/>
  <c r="G3898" i="25"/>
  <c r="G3899" i="25"/>
  <c r="G3900" i="25"/>
  <c r="G3901" i="25"/>
  <c r="G3902" i="25"/>
  <c r="G3903" i="25"/>
  <c r="G3904" i="25"/>
  <c r="G3905" i="25"/>
  <c r="G3906" i="25"/>
  <c r="G3907" i="25"/>
  <c r="G3908" i="25"/>
  <c r="G3909" i="25"/>
  <c r="G3910" i="25"/>
  <c r="G3911" i="25"/>
  <c r="G3912" i="25"/>
  <c r="G3913" i="25"/>
  <c r="G3914" i="25"/>
  <c r="G3915" i="25"/>
  <c r="G3916" i="25"/>
  <c r="G3917" i="25"/>
  <c r="G3918" i="25"/>
  <c r="G3919" i="25"/>
  <c r="G3920" i="25"/>
  <c r="G3921" i="25"/>
  <c r="G3922" i="25"/>
  <c r="G3923" i="25"/>
  <c r="G3924" i="25"/>
  <c r="G3925" i="25"/>
  <c r="G3926" i="25"/>
  <c r="G3927" i="25"/>
  <c r="G3928" i="25"/>
  <c r="G3929" i="25"/>
  <c r="G3930" i="25"/>
  <c r="G3931" i="25"/>
  <c r="G3932" i="25"/>
  <c r="G3933" i="25"/>
  <c r="G3934" i="25"/>
  <c r="G3935" i="25"/>
  <c r="G3936" i="25"/>
  <c r="G3937" i="25"/>
  <c r="G3938" i="25"/>
  <c r="G3939" i="25"/>
  <c r="G3940" i="25"/>
  <c r="G3941" i="25"/>
  <c r="G3942" i="25"/>
  <c r="G3943" i="25"/>
  <c r="G3944" i="25"/>
  <c r="G3945" i="25"/>
  <c r="G3946" i="25"/>
  <c r="G3947" i="25"/>
  <c r="G3948" i="25"/>
  <c r="G3949" i="25"/>
  <c r="G3950" i="25"/>
  <c r="G3951" i="25"/>
  <c r="G3952" i="25"/>
  <c r="G3953" i="25"/>
  <c r="G3954" i="25"/>
  <c r="G3955" i="25"/>
  <c r="G3956" i="25"/>
  <c r="G3957" i="25"/>
  <c r="G3958" i="25"/>
  <c r="G3959" i="25"/>
  <c r="G3960" i="25"/>
  <c r="G3961" i="25"/>
  <c r="G3962" i="25"/>
  <c r="G3963" i="25"/>
  <c r="G3964" i="25"/>
  <c r="G3965" i="25"/>
  <c r="G3966" i="25"/>
  <c r="G3967" i="25"/>
  <c r="G3968" i="25"/>
  <c r="G3969" i="25"/>
  <c r="G3970" i="25"/>
  <c r="G3971" i="25"/>
  <c r="G3972" i="25"/>
  <c r="G3973" i="25"/>
  <c r="G3974" i="25"/>
  <c r="G3975" i="25"/>
  <c r="G3976" i="25"/>
  <c r="G3977" i="25"/>
  <c r="G3978" i="25"/>
  <c r="G3979" i="25"/>
  <c r="G3980" i="25"/>
  <c r="G3981" i="25"/>
  <c r="G3982" i="25"/>
  <c r="G3983" i="25"/>
  <c r="G3984" i="25"/>
  <c r="G3985" i="25"/>
  <c r="G3986" i="25"/>
  <c r="G3987" i="25"/>
  <c r="G3988" i="25"/>
  <c r="G3989" i="25"/>
  <c r="G3990" i="25"/>
  <c r="G3991" i="25"/>
  <c r="G3992" i="25"/>
  <c r="G3993" i="25"/>
  <c r="G3994" i="25"/>
  <c r="G3995" i="25"/>
  <c r="G3996" i="25"/>
  <c r="G3997" i="25"/>
  <c r="G3998" i="25"/>
  <c r="G3999" i="25"/>
  <c r="G4000" i="25"/>
  <c r="G4001" i="25"/>
  <c r="G4002" i="25"/>
  <c r="G4003" i="25"/>
  <c r="G4004" i="25"/>
  <c r="G4005" i="25"/>
  <c r="G4006" i="25"/>
  <c r="G4007" i="25"/>
  <c r="G4008" i="25"/>
  <c r="G4009" i="25"/>
  <c r="G4010" i="25"/>
  <c r="G4011" i="25"/>
  <c r="G4012" i="25"/>
  <c r="G4013" i="25"/>
  <c r="G4014" i="25"/>
  <c r="G4015" i="25"/>
  <c r="G4016" i="25"/>
  <c r="G4017" i="25"/>
  <c r="G4018" i="25"/>
  <c r="G4019" i="25"/>
  <c r="G4020" i="25"/>
  <c r="G4021" i="25"/>
  <c r="G4022" i="25"/>
  <c r="G4023" i="25"/>
  <c r="G4024" i="25"/>
  <c r="G4025" i="25"/>
  <c r="G4026" i="25"/>
  <c r="G4027" i="25"/>
  <c r="G4028" i="25"/>
  <c r="G4029" i="25"/>
  <c r="G4030" i="25"/>
  <c r="G4031" i="25"/>
  <c r="G4032" i="25"/>
  <c r="G4033" i="25"/>
  <c r="G4034" i="25"/>
  <c r="G4035" i="25"/>
  <c r="G4036" i="25"/>
  <c r="G4037" i="25"/>
  <c r="G4038" i="25"/>
  <c r="G4039" i="25"/>
  <c r="G4040" i="25"/>
  <c r="G4041" i="25"/>
  <c r="G4042" i="25"/>
  <c r="G4043" i="25"/>
  <c r="G4044" i="25"/>
  <c r="G4045" i="25"/>
  <c r="G4046" i="25"/>
  <c r="G4047" i="25"/>
  <c r="G4048" i="25"/>
  <c r="G4049" i="25"/>
  <c r="G4050" i="25"/>
  <c r="G4051" i="25"/>
  <c r="G4052" i="25"/>
  <c r="G4053" i="25"/>
  <c r="G4054" i="25"/>
  <c r="G4055" i="25"/>
  <c r="G4056" i="25"/>
  <c r="G4057" i="25"/>
  <c r="G4058" i="25"/>
  <c r="G4059" i="25"/>
  <c r="G4060" i="25"/>
  <c r="G4061" i="25"/>
  <c r="G4062" i="25"/>
  <c r="G4063" i="25"/>
  <c r="G4064" i="25"/>
  <c r="G4065" i="25"/>
  <c r="G4066" i="25"/>
  <c r="G4067" i="25"/>
  <c r="G4068" i="25"/>
  <c r="G4069" i="25"/>
  <c r="G4070" i="25"/>
  <c r="G4071" i="25"/>
  <c r="G4072" i="25"/>
  <c r="G4073" i="25"/>
  <c r="G4074" i="25"/>
  <c r="G4075" i="25"/>
  <c r="G4076" i="25"/>
  <c r="G4077" i="25"/>
  <c r="G4078" i="25"/>
  <c r="G4079" i="25"/>
  <c r="G4080" i="25"/>
  <c r="G4081" i="25"/>
  <c r="G4082" i="25"/>
  <c r="G4083" i="25"/>
  <c r="G4084" i="25"/>
  <c r="G4085" i="25"/>
  <c r="G4086" i="25"/>
  <c r="G4087" i="25"/>
  <c r="G4088" i="25"/>
  <c r="G4089" i="25"/>
  <c r="G4090" i="25"/>
  <c r="G4091" i="25"/>
  <c r="G4092" i="25"/>
  <c r="G4093" i="25"/>
  <c r="G4094" i="25"/>
  <c r="G4095" i="25"/>
  <c r="G4096" i="25"/>
  <c r="G4097" i="25"/>
  <c r="G4098" i="25"/>
  <c r="G4099" i="25"/>
  <c r="G4100" i="25"/>
  <c r="G4101" i="25"/>
  <c r="G4102" i="25"/>
  <c r="G4103" i="25"/>
  <c r="G4104" i="25"/>
  <c r="G4105" i="25"/>
  <c r="G4106" i="25"/>
  <c r="G4107" i="25"/>
  <c r="G4108" i="25"/>
  <c r="G4109" i="25"/>
  <c r="G4110" i="25"/>
  <c r="G4111" i="25"/>
  <c r="G4112" i="25"/>
  <c r="G4113" i="25"/>
  <c r="G4114" i="25"/>
  <c r="G4115" i="25"/>
  <c r="G4116" i="25"/>
  <c r="G4117" i="25"/>
  <c r="G4118" i="25"/>
  <c r="G4119" i="25"/>
  <c r="G4120" i="25"/>
  <c r="G4121" i="25"/>
  <c r="G4122" i="25"/>
  <c r="G4123" i="25"/>
  <c r="G4124" i="25"/>
  <c r="G4125" i="25"/>
  <c r="G4126" i="25"/>
  <c r="G4127" i="25"/>
  <c r="G4128" i="25"/>
  <c r="G4129" i="25"/>
  <c r="G4130" i="25"/>
  <c r="G4131" i="25"/>
  <c r="G4132" i="25"/>
  <c r="G4133" i="25"/>
  <c r="G4134" i="25"/>
  <c r="G4135" i="25"/>
  <c r="G4136" i="25"/>
  <c r="G4137" i="25"/>
  <c r="G4138" i="25"/>
  <c r="G4139" i="25"/>
  <c r="G4140" i="25"/>
  <c r="G4141" i="25"/>
  <c r="G4142" i="25"/>
  <c r="G4143" i="25"/>
  <c r="G4144" i="25"/>
  <c r="G4145" i="25"/>
  <c r="G4146" i="25"/>
  <c r="G4147" i="25"/>
  <c r="G4148" i="25"/>
  <c r="G4149" i="25"/>
  <c r="G4150" i="25"/>
  <c r="G4151" i="25"/>
  <c r="G4152" i="25"/>
  <c r="G4153" i="25"/>
  <c r="G4154" i="25"/>
  <c r="G4155" i="25"/>
  <c r="G4156" i="25"/>
  <c r="G4157" i="25"/>
  <c r="G4158" i="25"/>
  <c r="G4159" i="25"/>
  <c r="G4160" i="25"/>
  <c r="G4161" i="25"/>
  <c r="G4162" i="25"/>
  <c r="G4163" i="25"/>
  <c r="G4164" i="25"/>
  <c r="G4165" i="25"/>
  <c r="G4166" i="25"/>
  <c r="G4167" i="25"/>
  <c r="G4168" i="25"/>
  <c r="G4169" i="25"/>
  <c r="G4170" i="25"/>
  <c r="G4171" i="25"/>
  <c r="G4172" i="25"/>
  <c r="G4173" i="25"/>
  <c r="G4174" i="25"/>
  <c r="G4175" i="25"/>
  <c r="G4176" i="25"/>
  <c r="G4177" i="25"/>
  <c r="G4178" i="25"/>
  <c r="G4179" i="25"/>
  <c r="G4180" i="25"/>
  <c r="G4181" i="25"/>
  <c r="G4182" i="25"/>
  <c r="G4183" i="25"/>
  <c r="G4184" i="25"/>
  <c r="G4185" i="25"/>
  <c r="G4186" i="25"/>
  <c r="G4187" i="25"/>
  <c r="G4188" i="25"/>
  <c r="G4189" i="25"/>
  <c r="G4190" i="25"/>
  <c r="G4191" i="25"/>
  <c r="G4192" i="25"/>
  <c r="G4193" i="25"/>
  <c r="G4194" i="25"/>
  <c r="G4195" i="25"/>
  <c r="G4196" i="25"/>
  <c r="G4197" i="25"/>
  <c r="G4198" i="25"/>
  <c r="G4199" i="25"/>
  <c r="G4200" i="25"/>
  <c r="G4201" i="25"/>
  <c r="G4202" i="25"/>
  <c r="G4203" i="25"/>
  <c r="G4204" i="25"/>
  <c r="G4205" i="25"/>
  <c r="G4206" i="25"/>
  <c r="G4207" i="25"/>
  <c r="G4208" i="25"/>
  <c r="G4209" i="25"/>
  <c r="G4210" i="25"/>
  <c r="G4211" i="25"/>
  <c r="G4212" i="25"/>
  <c r="G4213" i="25"/>
  <c r="G4214" i="25"/>
  <c r="G4215" i="25"/>
  <c r="G4216" i="25"/>
  <c r="G4217" i="25"/>
  <c r="G4218" i="25"/>
  <c r="G4219" i="25"/>
  <c r="G4220" i="25"/>
  <c r="G4221" i="25"/>
  <c r="G4222" i="25"/>
  <c r="G4223" i="25"/>
  <c r="G4224" i="25"/>
  <c r="G4225" i="25"/>
  <c r="G4226" i="25"/>
  <c r="G4227" i="25"/>
  <c r="G4228" i="25"/>
  <c r="G4229" i="25"/>
  <c r="G4230" i="25"/>
  <c r="G4231" i="25"/>
  <c r="G4232" i="25"/>
  <c r="G4233" i="25"/>
  <c r="G4234" i="25"/>
  <c r="G4235" i="25"/>
  <c r="G4236" i="25"/>
  <c r="G4237" i="25"/>
  <c r="G4238" i="25"/>
  <c r="G4239" i="25"/>
  <c r="G4240" i="25"/>
  <c r="G4241" i="25"/>
  <c r="G4242" i="25"/>
  <c r="G4243" i="25"/>
  <c r="G4244" i="25"/>
  <c r="G4245" i="25"/>
  <c r="G4246" i="25"/>
  <c r="G4247" i="25"/>
  <c r="G4248" i="25"/>
  <c r="G4249" i="25"/>
  <c r="G4250" i="25"/>
  <c r="G4251" i="25"/>
  <c r="G4252" i="25"/>
  <c r="G4253" i="25"/>
  <c r="G4254" i="25"/>
  <c r="G4255" i="25"/>
  <c r="G4256" i="25"/>
  <c r="G4257" i="25"/>
  <c r="G4258" i="25"/>
  <c r="G4259" i="25"/>
  <c r="G4260" i="25"/>
  <c r="G4261" i="25"/>
  <c r="G4262" i="25"/>
  <c r="G4263" i="25"/>
  <c r="G4264" i="25"/>
  <c r="G4265" i="25"/>
  <c r="G4266" i="25"/>
  <c r="G4267" i="25"/>
  <c r="G4268" i="25"/>
  <c r="G4269" i="25"/>
  <c r="G4270" i="25"/>
  <c r="G4271" i="25"/>
  <c r="G4272" i="25"/>
  <c r="G4273" i="25"/>
  <c r="G4274" i="25"/>
  <c r="G4275" i="25"/>
  <c r="G4276" i="25"/>
  <c r="G4277" i="25"/>
  <c r="G4278" i="25"/>
  <c r="G4279" i="25"/>
  <c r="G4280" i="25"/>
  <c r="G4281" i="25"/>
  <c r="G4282" i="25"/>
  <c r="G4283" i="25"/>
  <c r="G4284" i="25"/>
  <c r="G4285" i="25"/>
  <c r="G4286" i="25"/>
  <c r="G4287" i="25"/>
  <c r="G4288" i="25"/>
  <c r="G4289" i="25"/>
  <c r="G4290" i="25"/>
  <c r="G4291" i="25"/>
  <c r="G4292" i="25"/>
  <c r="G4293" i="25"/>
  <c r="G4294" i="25"/>
  <c r="G4295" i="25"/>
  <c r="G4296" i="25"/>
  <c r="G4297" i="25"/>
  <c r="G4298" i="25"/>
  <c r="G4299" i="25"/>
  <c r="G4300" i="25"/>
  <c r="G4301" i="25"/>
  <c r="G4302" i="25"/>
  <c r="G4303" i="25"/>
  <c r="G4304" i="25"/>
  <c r="G4305" i="25"/>
  <c r="G4306" i="25"/>
  <c r="G4307" i="25"/>
  <c r="G4308" i="25"/>
  <c r="G4309" i="25"/>
  <c r="G4310" i="25"/>
  <c r="G4311" i="25"/>
  <c r="G4312" i="25"/>
  <c r="G4313" i="25"/>
  <c r="G4314" i="25"/>
  <c r="G4315" i="25"/>
  <c r="G4316" i="25"/>
  <c r="G4317" i="25"/>
  <c r="G4318" i="25"/>
  <c r="G4319" i="25"/>
  <c r="G4320" i="25"/>
  <c r="G4321" i="25"/>
  <c r="G4322" i="25"/>
  <c r="G4323" i="25"/>
  <c r="G4324" i="25"/>
  <c r="G4325" i="25"/>
  <c r="G4326" i="25"/>
  <c r="G4327" i="25"/>
  <c r="G4328" i="25"/>
  <c r="G4329" i="25"/>
  <c r="G4330" i="25"/>
  <c r="G4331" i="25"/>
  <c r="G4332" i="25"/>
  <c r="G4333" i="25"/>
  <c r="G4334" i="25"/>
  <c r="G4335" i="25"/>
  <c r="G4336" i="25"/>
  <c r="G4337" i="25"/>
  <c r="G4338" i="25"/>
  <c r="G4339" i="25"/>
  <c r="G4340" i="25"/>
  <c r="G4341" i="25"/>
  <c r="G4342" i="25"/>
  <c r="G4343" i="25"/>
  <c r="G4344" i="25"/>
  <c r="G4345" i="25"/>
  <c r="G4346" i="25"/>
  <c r="G4347" i="25"/>
  <c r="G4348" i="25"/>
  <c r="G4349" i="25"/>
  <c r="G4350" i="25"/>
  <c r="G4351" i="25"/>
  <c r="G4352" i="25"/>
  <c r="G4353" i="25"/>
  <c r="G4354" i="25"/>
  <c r="G4355" i="25"/>
  <c r="G4356" i="25"/>
  <c r="G4357" i="25"/>
  <c r="G4358" i="25"/>
  <c r="G4359" i="25"/>
  <c r="G4360" i="25"/>
  <c r="G4361" i="25"/>
  <c r="G4362" i="25"/>
  <c r="G4363" i="25"/>
  <c r="G4364" i="25"/>
  <c r="G4365" i="25"/>
  <c r="G4366" i="25"/>
  <c r="G4367" i="25"/>
  <c r="G4368" i="25"/>
  <c r="G4369" i="25"/>
  <c r="G4370" i="25"/>
  <c r="G4371" i="25"/>
  <c r="G4372" i="25"/>
  <c r="G4373" i="25"/>
  <c r="G4374" i="25"/>
  <c r="G4375" i="25"/>
  <c r="G4376" i="25"/>
  <c r="G4377" i="25"/>
  <c r="G4378" i="25"/>
  <c r="G4379" i="25"/>
  <c r="G4380" i="25"/>
  <c r="G4381" i="25"/>
  <c r="G4382" i="25"/>
  <c r="G4383" i="25"/>
  <c r="G4384" i="25"/>
  <c r="G4385" i="25"/>
  <c r="G4386" i="25"/>
  <c r="G4387" i="25"/>
  <c r="G4388" i="25"/>
  <c r="G4389" i="25"/>
  <c r="G4390" i="25"/>
  <c r="G4391" i="25"/>
  <c r="G4392" i="25"/>
  <c r="G4393" i="25"/>
  <c r="G4394" i="25"/>
  <c r="G4395" i="25"/>
  <c r="G4396" i="25"/>
  <c r="G4397" i="25"/>
  <c r="G4398" i="25"/>
  <c r="G4399" i="25"/>
  <c r="G4400" i="25"/>
  <c r="G4401" i="25"/>
  <c r="G4402" i="25"/>
  <c r="G4403" i="25"/>
  <c r="G4404" i="25"/>
  <c r="G4405" i="25"/>
  <c r="G4406" i="25"/>
  <c r="G4407" i="25"/>
  <c r="G4408" i="25"/>
  <c r="G4409" i="25"/>
  <c r="G4410" i="25"/>
  <c r="G4411" i="25"/>
  <c r="G4412" i="25"/>
  <c r="G4413" i="25"/>
  <c r="G4414" i="25"/>
  <c r="G4415" i="25"/>
  <c r="G4416" i="25"/>
  <c r="G4417" i="25"/>
  <c r="G4418" i="25"/>
  <c r="G4419" i="25"/>
  <c r="G4420" i="25"/>
  <c r="G4421" i="25"/>
  <c r="G4422" i="25"/>
  <c r="G4423" i="25"/>
  <c r="G4424" i="25"/>
  <c r="G4425" i="25"/>
  <c r="G4426" i="25"/>
  <c r="G4427" i="25"/>
  <c r="G4428" i="25"/>
  <c r="G4429" i="25"/>
  <c r="G4430" i="25"/>
  <c r="G4431" i="25"/>
  <c r="G4432" i="25"/>
  <c r="G4433" i="25"/>
  <c r="G4434" i="25"/>
  <c r="G4435" i="25"/>
  <c r="G4436" i="25"/>
  <c r="G4437" i="25"/>
  <c r="G4438" i="25"/>
  <c r="G4439" i="25"/>
  <c r="G4440" i="25"/>
  <c r="G4441" i="25"/>
  <c r="G4442" i="25"/>
  <c r="G4443" i="25"/>
  <c r="G4444" i="25"/>
  <c r="G4445" i="25"/>
  <c r="G4446" i="25"/>
  <c r="G4447" i="25"/>
  <c r="G4448" i="25"/>
  <c r="G4449" i="25"/>
  <c r="G4450" i="25"/>
  <c r="G4451" i="25"/>
  <c r="G4452" i="25"/>
  <c r="G4453" i="25"/>
  <c r="G4454" i="25"/>
  <c r="G4455" i="25"/>
  <c r="G4456" i="25"/>
  <c r="G4457" i="25"/>
  <c r="G4458" i="25"/>
  <c r="G4459" i="25"/>
  <c r="G4460" i="25"/>
  <c r="G4461" i="25"/>
  <c r="G4462" i="25"/>
  <c r="G4463" i="25"/>
  <c r="G4464" i="25"/>
  <c r="G4465" i="25"/>
  <c r="G4466" i="25"/>
  <c r="G4467" i="25"/>
  <c r="G4468" i="25"/>
  <c r="G4469" i="25"/>
  <c r="G4470" i="25"/>
  <c r="G4471" i="25"/>
  <c r="G4472" i="25"/>
  <c r="G4473" i="25"/>
  <c r="G4474" i="25"/>
  <c r="G4475" i="25"/>
  <c r="G4476" i="25"/>
  <c r="G4477" i="25"/>
  <c r="G4478" i="25"/>
  <c r="G4479" i="25"/>
  <c r="G4480" i="25"/>
  <c r="G4481" i="25"/>
  <c r="G4482" i="25"/>
  <c r="G4483" i="25"/>
  <c r="G4484" i="25"/>
  <c r="G4485" i="25"/>
  <c r="G4486" i="25"/>
  <c r="G4487" i="25"/>
  <c r="G4488" i="25"/>
  <c r="G4489" i="25"/>
  <c r="G4490" i="25"/>
  <c r="G4491" i="25"/>
  <c r="G4492" i="25"/>
  <c r="G4493" i="25"/>
  <c r="G4494" i="25"/>
  <c r="G4495" i="25"/>
  <c r="G4496" i="25"/>
  <c r="G4497" i="25"/>
  <c r="G4498" i="25"/>
  <c r="G4499" i="25"/>
  <c r="G4500" i="25"/>
  <c r="G4501" i="25"/>
  <c r="G4502" i="25"/>
  <c r="G4503" i="25"/>
  <c r="G4504" i="25"/>
  <c r="G4505" i="25"/>
  <c r="G4506" i="25"/>
  <c r="G4507" i="25"/>
  <c r="G4508" i="25"/>
  <c r="G4509" i="25"/>
  <c r="G4510" i="25"/>
  <c r="G4511" i="25"/>
  <c r="G4512" i="25"/>
  <c r="G4513" i="25"/>
  <c r="G4514" i="25"/>
  <c r="G4515" i="25"/>
  <c r="G4516" i="25"/>
  <c r="G4517" i="25"/>
  <c r="G4518" i="25"/>
  <c r="G4519" i="25"/>
  <c r="G4520" i="25"/>
  <c r="G4521" i="25"/>
  <c r="G4522" i="25"/>
  <c r="G4523" i="25"/>
  <c r="G4524" i="25"/>
  <c r="G4525" i="25"/>
  <c r="G4526" i="25"/>
  <c r="G4527" i="25"/>
  <c r="G4528" i="25"/>
  <c r="G4529" i="25"/>
  <c r="G4530" i="25"/>
  <c r="G4531" i="25"/>
  <c r="G4532" i="25"/>
  <c r="G4533" i="25"/>
  <c r="G4534" i="25"/>
  <c r="G4535" i="25"/>
  <c r="G4536" i="25"/>
  <c r="G4537" i="25"/>
  <c r="G4538" i="25"/>
  <c r="G4539" i="25"/>
  <c r="G4540" i="25"/>
  <c r="G4541" i="25"/>
  <c r="G4542" i="25"/>
  <c r="G4543" i="25"/>
  <c r="G4544" i="25"/>
  <c r="G4545" i="25"/>
  <c r="G4546" i="25"/>
  <c r="G4547" i="25"/>
  <c r="G4548" i="25"/>
  <c r="G4549" i="25"/>
  <c r="G4550" i="25"/>
  <c r="G4551" i="25"/>
  <c r="G4552" i="25"/>
  <c r="G4553" i="25"/>
  <c r="G4554" i="25"/>
  <c r="G4555" i="25"/>
  <c r="G4556" i="25"/>
  <c r="G4557" i="25"/>
  <c r="G4558" i="25"/>
  <c r="G4559" i="25"/>
  <c r="G4560" i="25"/>
  <c r="G4561" i="25"/>
  <c r="G4562" i="25"/>
  <c r="G4563" i="25"/>
  <c r="G4564" i="25"/>
  <c r="G4565" i="25"/>
  <c r="G4566" i="25"/>
  <c r="G4567" i="25"/>
  <c r="G4568" i="25"/>
  <c r="G4569" i="25"/>
  <c r="G4570" i="25"/>
  <c r="G4571" i="25"/>
  <c r="G4572" i="25"/>
  <c r="G4573" i="25"/>
  <c r="G4574" i="25"/>
  <c r="G4575" i="25"/>
  <c r="G4576" i="25"/>
  <c r="G4577" i="25"/>
  <c r="G4578" i="25"/>
  <c r="G4579" i="25"/>
  <c r="G4580" i="25"/>
  <c r="G4581" i="25"/>
  <c r="G4582" i="25"/>
  <c r="G4583" i="25"/>
  <c r="G4584" i="25"/>
  <c r="G4585" i="25"/>
  <c r="G4586" i="25"/>
  <c r="G4587" i="25"/>
  <c r="G4588" i="25"/>
  <c r="G4589" i="25"/>
  <c r="G4590" i="25"/>
  <c r="G4591" i="25"/>
  <c r="G4592" i="25"/>
  <c r="G4593" i="25"/>
  <c r="G4594" i="25"/>
  <c r="G4595" i="25"/>
  <c r="G4596" i="25"/>
  <c r="G4597" i="25"/>
  <c r="G4598" i="25"/>
  <c r="G4599" i="25"/>
  <c r="G4600" i="25"/>
  <c r="G4601" i="25"/>
  <c r="G4602" i="25"/>
  <c r="G4603" i="25"/>
  <c r="G4604" i="25"/>
  <c r="G4605" i="25"/>
  <c r="G4606" i="25"/>
  <c r="G4607" i="25"/>
  <c r="G4608" i="25"/>
  <c r="G4609" i="25"/>
  <c r="G4610" i="25"/>
  <c r="G4611" i="25"/>
  <c r="G4612" i="25"/>
  <c r="G4613" i="25"/>
  <c r="G4614" i="25"/>
  <c r="G4615" i="25"/>
  <c r="G4616" i="25"/>
  <c r="G4617" i="25"/>
  <c r="G4618" i="25"/>
  <c r="G4619" i="25"/>
  <c r="G4620" i="25"/>
  <c r="G4621" i="25"/>
  <c r="G4622" i="25"/>
  <c r="G4623" i="25"/>
  <c r="G4624" i="25"/>
  <c r="G4625" i="25"/>
  <c r="G4626" i="25"/>
  <c r="G4627" i="25"/>
  <c r="G4628" i="25"/>
  <c r="G4629" i="25"/>
  <c r="G4630" i="25"/>
  <c r="G4631" i="25"/>
  <c r="G4632" i="25"/>
  <c r="G4633" i="25"/>
  <c r="G4634" i="25"/>
  <c r="G4635" i="25"/>
  <c r="G4636" i="25"/>
  <c r="G4637" i="25"/>
  <c r="G4638" i="25"/>
  <c r="G4639" i="25"/>
  <c r="G4640" i="25"/>
  <c r="G4641" i="25"/>
  <c r="G4642" i="25"/>
  <c r="G4643" i="25"/>
  <c r="G4644" i="25"/>
  <c r="G4645" i="25"/>
  <c r="G4646" i="25"/>
  <c r="G4647" i="25"/>
  <c r="G4648" i="25"/>
  <c r="G4649" i="25"/>
  <c r="G4650" i="25"/>
  <c r="G4651" i="25"/>
  <c r="G4652" i="25"/>
  <c r="G4653" i="25"/>
  <c r="G4654" i="25"/>
  <c r="G4655" i="25"/>
  <c r="G4656" i="25"/>
  <c r="G4657" i="25"/>
  <c r="G4658" i="25"/>
  <c r="G4659" i="25"/>
  <c r="G4660" i="25"/>
  <c r="G4661" i="25"/>
  <c r="G4662" i="25"/>
  <c r="G4663" i="25"/>
  <c r="G4664" i="25"/>
  <c r="G4665" i="25"/>
  <c r="G4666" i="25"/>
  <c r="G4667" i="25"/>
  <c r="G4668" i="25"/>
  <c r="G4669" i="25"/>
  <c r="G4670" i="25"/>
  <c r="G4671" i="25"/>
  <c r="G4672" i="25"/>
  <c r="G4673" i="25"/>
  <c r="G4674" i="25"/>
  <c r="G4675" i="25"/>
  <c r="G4676" i="25"/>
  <c r="G4677" i="25"/>
  <c r="G4678" i="25"/>
  <c r="G4679" i="25"/>
  <c r="G4680" i="25"/>
  <c r="G4681" i="25"/>
  <c r="G4682" i="25"/>
  <c r="G4683" i="25"/>
  <c r="G4684" i="25"/>
  <c r="G4685" i="25"/>
  <c r="G4686" i="25"/>
  <c r="G4687" i="25"/>
  <c r="G4688" i="25"/>
  <c r="G4689" i="25"/>
  <c r="G4690" i="25"/>
  <c r="G4691" i="25"/>
  <c r="G4692" i="25"/>
  <c r="G4693" i="25"/>
  <c r="G4694" i="25"/>
  <c r="G4695" i="25"/>
  <c r="G4696" i="25"/>
  <c r="G4697" i="25"/>
  <c r="G4698" i="25"/>
  <c r="G4699" i="25"/>
  <c r="G4700" i="25"/>
  <c r="G4701" i="25"/>
  <c r="G4702" i="25"/>
  <c r="G4703" i="25"/>
  <c r="G4704" i="25"/>
  <c r="G4705" i="25"/>
  <c r="G4706" i="25"/>
  <c r="G4707" i="25"/>
  <c r="G4708" i="25"/>
  <c r="G4709" i="25"/>
  <c r="G4710" i="25"/>
  <c r="G4711" i="25"/>
  <c r="G4712" i="25"/>
  <c r="G4713" i="25"/>
  <c r="G4714" i="25"/>
  <c r="G4715" i="25"/>
  <c r="G4716" i="25"/>
  <c r="G4717" i="25"/>
  <c r="G4718" i="25"/>
  <c r="G4719" i="25"/>
  <c r="G4720" i="25"/>
  <c r="G4721" i="25"/>
  <c r="G4722" i="25"/>
  <c r="G4723" i="25"/>
  <c r="G4724" i="25"/>
  <c r="G4725" i="25"/>
  <c r="G4726" i="25"/>
  <c r="G4727" i="25"/>
  <c r="G4728" i="25"/>
  <c r="G4729" i="25"/>
  <c r="G4730" i="25"/>
  <c r="G4731" i="25"/>
  <c r="G4732" i="25"/>
  <c r="G4733" i="25"/>
  <c r="G4734" i="25"/>
  <c r="G4735" i="25"/>
  <c r="G4736" i="25"/>
  <c r="G4737" i="25"/>
  <c r="G4738" i="25"/>
  <c r="G4739" i="25"/>
  <c r="G4740" i="25"/>
  <c r="G4741" i="25"/>
  <c r="G4742" i="25"/>
  <c r="G4743" i="25"/>
  <c r="G4744" i="25"/>
  <c r="G4745" i="25"/>
  <c r="G4746" i="25"/>
  <c r="G4747" i="25"/>
  <c r="G4748" i="25"/>
  <c r="G4749" i="25"/>
  <c r="G4750" i="25"/>
  <c r="G4751" i="25"/>
  <c r="G4752" i="25"/>
  <c r="G4753" i="25"/>
  <c r="G4754" i="25"/>
  <c r="G4755" i="25"/>
  <c r="G4756" i="25"/>
  <c r="G4757" i="25"/>
  <c r="G4758" i="25"/>
  <c r="G4759" i="25"/>
  <c r="G4760" i="25"/>
  <c r="G4761" i="25"/>
  <c r="G4762" i="25"/>
  <c r="G4763" i="25"/>
  <c r="G4764" i="25"/>
  <c r="G4765" i="25"/>
  <c r="G4766" i="25"/>
  <c r="G4767" i="25"/>
  <c r="G4768" i="25"/>
  <c r="G4769" i="25"/>
  <c r="G4770" i="25"/>
  <c r="G4771" i="25"/>
  <c r="G4772" i="25"/>
  <c r="G4773" i="25"/>
  <c r="G4774" i="25"/>
  <c r="G4775" i="25"/>
  <c r="G4776" i="25"/>
  <c r="G4777" i="25"/>
  <c r="G4778" i="25"/>
  <c r="G4779" i="25"/>
  <c r="G4780" i="25"/>
  <c r="G4781" i="25"/>
  <c r="G4782" i="25"/>
  <c r="G4783" i="25"/>
  <c r="G4784" i="25"/>
  <c r="G4785" i="25"/>
  <c r="G4786" i="25"/>
  <c r="G4787" i="25"/>
  <c r="G4788" i="25"/>
  <c r="G4789" i="25"/>
  <c r="G4790" i="25"/>
  <c r="G4791" i="25"/>
  <c r="G4792" i="25"/>
  <c r="G4793" i="25"/>
  <c r="G4794" i="25"/>
  <c r="G4795" i="25"/>
  <c r="G4796" i="25"/>
  <c r="G4797" i="25"/>
  <c r="G4798" i="25"/>
  <c r="G4799" i="25"/>
  <c r="G4800" i="25"/>
  <c r="G4801" i="25"/>
  <c r="G4802" i="25"/>
  <c r="G4803" i="25"/>
  <c r="G4804" i="25"/>
  <c r="G4805" i="25"/>
  <c r="G4806" i="25"/>
  <c r="G4807" i="25"/>
  <c r="G4808" i="25"/>
  <c r="G4809" i="25"/>
  <c r="G4810" i="25"/>
  <c r="G4811" i="25"/>
  <c r="G4812" i="25"/>
  <c r="G4813" i="25"/>
  <c r="G4814" i="25"/>
  <c r="G4815" i="25"/>
  <c r="G4816" i="25"/>
  <c r="G4817" i="25"/>
  <c r="G4818" i="25"/>
  <c r="G4819" i="25"/>
  <c r="G4820" i="25"/>
  <c r="G4821" i="25"/>
  <c r="G4822" i="25"/>
  <c r="G4823" i="25"/>
  <c r="G4824" i="25"/>
  <c r="G4825" i="25"/>
  <c r="G4826" i="25"/>
  <c r="G4827" i="25"/>
  <c r="G4828" i="25"/>
  <c r="G4829" i="25"/>
  <c r="G4830" i="25"/>
  <c r="G4831" i="25"/>
  <c r="G4832" i="25"/>
  <c r="G4833" i="25"/>
  <c r="G4834" i="25"/>
  <c r="G4835" i="25"/>
  <c r="G4836" i="25"/>
  <c r="G4837" i="25"/>
  <c r="G4838" i="25"/>
  <c r="G4839" i="25"/>
  <c r="G4840" i="25"/>
  <c r="G4841" i="25"/>
  <c r="G4842" i="25"/>
  <c r="G4843" i="25"/>
  <c r="G4844" i="25"/>
  <c r="G4845" i="25"/>
  <c r="G4846" i="25"/>
  <c r="G4847" i="25"/>
  <c r="G4848" i="25"/>
  <c r="G4849" i="25"/>
  <c r="G4850" i="25"/>
  <c r="G4851" i="25"/>
  <c r="G4852" i="25"/>
  <c r="G4853" i="25"/>
  <c r="G4854" i="25"/>
  <c r="G4855" i="25"/>
  <c r="G4856" i="25"/>
  <c r="G4857" i="25"/>
  <c r="G4858" i="25"/>
  <c r="G4859" i="25"/>
  <c r="G4860" i="25"/>
  <c r="G4861" i="25"/>
  <c r="G4862" i="25"/>
  <c r="G4863" i="25"/>
  <c r="G4864" i="25"/>
  <c r="G4865" i="25"/>
  <c r="G4866" i="25"/>
  <c r="G4867" i="25"/>
  <c r="G4868" i="25"/>
  <c r="G4869" i="25"/>
  <c r="G4870" i="25"/>
  <c r="G4871" i="25"/>
  <c r="G4872" i="25"/>
  <c r="G4873" i="25"/>
  <c r="G4874" i="25"/>
  <c r="G4875" i="25"/>
  <c r="G4876" i="25"/>
  <c r="G4877" i="25"/>
  <c r="G4878" i="25"/>
  <c r="G4879" i="25"/>
  <c r="G4880" i="25"/>
  <c r="G4881" i="25"/>
  <c r="G4882" i="25"/>
  <c r="G4883" i="25"/>
  <c r="G4884" i="25"/>
  <c r="G4885" i="25"/>
  <c r="G4886" i="25"/>
  <c r="G4887" i="25"/>
  <c r="G4888" i="25"/>
  <c r="G4889" i="25"/>
  <c r="G4890" i="25"/>
  <c r="G4891" i="25"/>
  <c r="G4892" i="25"/>
  <c r="G4893" i="25"/>
  <c r="G4894" i="25"/>
  <c r="G4895" i="25"/>
  <c r="G4896" i="25"/>
  <c r="G4897" i="25"/>
  <c r="G4898" i="25"/>
  <c r="G4899" i="25"/>
  <c r="G4900" i="25"/>
  <c r="G4901" i="25"/>
  <c r="G4902" i="25"/>
  <c r="G4903" i="25"/>
  <c r="G4904" i="25"/>
  <c r="G4905" i="25"/>
  <c r="G4906" i="25"/>
  <c r="G4907" i="25"/>
  <c r="G4908" i="25"/>
  <c r="G4909" i="25"/>
  <c r="G4910" i="25"/>
  <c r="G4911" i="25"/>
  <c r="G4912" i="25"/>
  <c r="G4913" i="25"/>
  <c r="G4914" i="25"/>
  <c r="G4915" i="25"/>
  <c r="G4916" i="25"/>
  <c r="G4917" i="25"/>
  <c r="G4918" i="25"/>
  <c r="G4919" i="25"/>
  <c r="G4920" i="25"/>
  <c r="G4921" i="25"/>
  <c r="G4922" i="25"/>
  <c r="G4923" i="25"/>
  <c r="G4924" i="25"/>
  <c r="G4925" i="25"/>
  <c r="G4926" i="25"/>
  <c r="G4927" i="25"/>
  <c r="G4928" i="25"/>
  <c r="G4929" i="25"/>
  <c r="G4930" i="25"/>
  <c r="G4931" i="25"/>
  <c r="G4932" i="25"/>
  <c r="G4933" i="25"/>
  <c r="G4934" i="25"/>
  <c r="G4935" i="25"/>
  <c r="G4936" i="25"/>
  <c r="G4937" i="25"/>
  <c r="G4938" i="25"/>
  <c r="G4939" i="25"/>
  <c r="G4940" i="25"/>
  <c r="G4941" i="25"/>
  <c r="G4942" i="25"/>
  <c r="G4943" i="25"/>
  <c r="G4944" i="25"/>
  <c r="G4945" i="25"/>
  <c r="G4946" i="25"/>
  <c r="G4947" i="25"/>
  <c r="G4948" i="25"/>
  <c r="G4949" i="25"/>
  <c r="G4950" i="25"/>
  <c r="G4951" i="25"/>
  <c r="G4952" i="25"/>
  <c r="G4953" i="25"/>
  <c r="G4954" i="25"/>
  <c r="G4955" i="25"/>
  <c r="G4956" i="25"/>
  <c r="G4957" i="25"/>
  <c r="G4958" i="25"/>
  <c r="G4959" i="25"/>
  <c r="G4960" i="25"/>
  <c r="G4961" i="25"/>
  <c r="G4962" i="25"/>
  <c r="G4963" i="25"/>
  <c r="G4964" i="25"/>
  <c r="G4965" i="25"/>
  <c r="G4966" i="25"/>
  <c r="G4967" i="25"/>
  <c r="G4968" i="25"/>
  <c r="G4969" i="25"/>
  <c r="G4970" i="25"/>
  <c r="G4971" i="25"/>
  <c r="G4972" i="25"/>
  <c r="G4973" i="25"/>
  <c r="G4974" i="25"/>
  <c r="G4975" i="25"/>
  <c r="G4976" i="25"/>
  <c r="G4977" i="25"/>
  <c r="G4978" i="25"/>
  <c r="G4979" i="25"/>
  <c r="G4980" i="25"/>
  <c r="G4981" i="25"/>
  <c r="G4982" i="25"/>
  <c r="G4983" i="25"/>
  <c r="G4984" i="25"/>
  <c r="G4985" i="25"/>
  <c r="G4986" i="25"/>
  <c r="G4987" i="25"/>
  <c r="G4988" i="25"/>
  <c r="G4989" i="25"/>
  <c r="G4990" i="25"/>
  <c r="G4991" i="25"/>
  <c r="G4992" i="25"/>
  <c r="G4993" i="25"/>
  <c r="G4994" i="25"/>
  <c r="G4995" i="25"/>
  <c r="G4996" i="25"/>
  <c r="G4997" i="25"/>
  <c r="G4998" i="25"/>
  <c r="G4999" i="25"/>
  <c r="G5000" i="25"/>
  <c r="G5001" i="25"/>
  <c r="G5002" i="25"/>
  <c r="G5003" i="25"/>
  <c r="G5004" i="25"/>
  <c r="G5005" i="25"/>
  <c r="G5006" i="25"/>
  <c r="G5007" i="25"/>
  <c r="G5008" i="25"/>
  <c r="G5009" i="25"/>
  <c r="G5010" i="25"/>
  <c r="G5011" i="25"/>
  <c r="G5012" i="25"/>
  <c r="G5013" i="25"/>
  <c r="G5014" i="25"/>
  <c r="G5015" i="25"/>
  <c r="G5016" i="25"/>
  <c r="G5017" i="25"/>
  <c r="G5018" i="25"/>
  <c r="G5019" i="25"/>
  <c r="G5020" i="25"/>
  <c r="G5021" i="25"/>
  <c r="G5022" i="25"/>
  <c r="G5023" i="25"/>
  <c r="G5024" i="25"/>
  <c r="G5025" i="25"/>
  <c r="G5026" i="25"/>
  <c r="G5027" i="25"/>
  <c r="G5028" i="25"/>
  <c r="G5029" i="25"/>
  <c r="G5030" i="25"/>
  <c r="G5031" i="25"/>
  <c r="G5032" i="25"/>
  <c r="G5033" i="25"/>
  <c r="G5034" i="25"/>
  <c r="G5035" i="25"/>
  <c r="G5036" i="25"/>
  <c r="G5037" i="25"/>
  <c r="G5038" i="25"/>
  <c r="G5039" i="25"/>
  <c r="G5040" i="25"/>
  <c r="G5041" i="25"/>
  <c r="G5042" i="25"/>
  <c r="G5043" i="25"/>
  <c r="G5044" i="25"/>
  <c r="G5045" i="25"/>
  <c r="G5046" i="25"/>
  <c r="G5047" i="25"/>
  <c r="G5048" i="25"/>
  <c r="G5049" i="25"/>
  <c r="G5050" i="25"/>
  <c r="G5051" i="25"/>
  <c r="G5052" i="25"/>
  <c r="G5053" i="25"/>
  <c r="G5054" i="25"/>
  <c r="G5055" i="25"/>
  <c r="G5056" i="25"/>
  <c r="G5057" i="25"/>
  <c r="G5058" i="25"/>
  <c r="G5059" i="25"/>
  <c r="G5060" i="25"/>
  <c r="G5061" i="25"/>
  <c r="G5062" i="25"/>
  <c r="G5063" i="25"/>
  <c r="G5064" i="25"/>
  <c r="G5065" i="25"/>
  <c r="G5066" i="25"/>
  <c r="G5067" i="25"/>
  <c r="G5068" i="25"/>
  <c r="G5069" i="25"/>
  <c r="G5070" i="25"/>
  <c r="G5071" i="25"/>
  <c r="G5072" i="25"/>
  <c r="G5073" i="25"/>
  <c r="G5074" i="25"/>
  <c r="G5075" i="25"/>
  <c r="G5076" i="25"/>
  <c r="G5077" i="25"/>
  <c r="G5078" i="25"/>
  <c r="G5079" i="25"/>
  <c r="G5080" i="25"/>
  <c r="G5081" i="25"/>
  <c r="G5082" i="25"/>
  <c r="G5083" i="25"/>
  <c r="G5084" i="25"/>
  <c r="G5085" i="25"/>
  <c r="G5086" i="25"/>
  <c r="G5087" i="25"/>
  <c r="G5088" i="25"/>
  <c r="G5089" i="25"/>
  <c r="G5090" i="25"/>
  <c r="G5091" i="25"/>
  <c r="G5092" i="25"/>
  <c r="G5093" i="25"/>
  <c r="G5094" i="25"/>
  <c r="G5095" i="25"/>
  <c r="G5096" i="25"/>
  <c r="G5097" i="25"/>
  <c r="G5098" i="25"/>
  <c r="G5099" i="25"/>
  <c r="G5100" i="25"/>
  <c r="G5101" i="25"/>
  <c r="G5102" i="25"/>
  <c r="G5103" i="25"/>
  <c r="G5104" i="25"/>
  <c r="G5105" i="25"/>
  <c r="G5106" i="25"/>
  <c r="G5107" i="25"/>
  <c r="G5108" i="25"/>
  <c r="G5109" i="25"/>
  <c r="G5110" i="25"/>
  <c r="G5111" i="25"/>
  <c r="G5112" i="25"/>
  <c r="G5113" i="25"/>
  <c r="G5114" i="25"/>
  <c r="G5115" i="25"/>
  <c r="G5116" i="25"/>
  <c r="G5117" i="25"/>
  <c r="G5118" i="25"/>
  <c r="G5119" i="25"/>
  <c r="G5120" i="25"/>
  <c r="G5121" i="25"/>
  <c r="G5122" i="25"/>
  <c r="G5123" i="25"/>
  <c r="G5124" i="25"/>
  <c r="G5125" i="25"/>
  <c r="G5126" i="25"/>
  <c r="G5127" i="25"/>
  <c r="G5128" i="25"/>
  <c r="G5129" i="25"/>
  <c r="G5130" i="25"/>
  <c r="G5131" i="25"/>
  <c r="G5132" i="25"/>
  <c r="G5133" i="25"/>
  <c r="G5134" i="25"/>
  <c r="G5135" i="25"/>
  <c r="G5136" i="25"/>
  <c r="G5137" i="25"/>
  <c r="G5138" i="25"/>
  <c r="G5139" i="25"/>
  <c r="G5140" i="25"/>
  <c r="G5141" i="25"/>
  <c r="G5142" i="25"/>
  <c r="G5143" i="25"/>
  <c r="G5144" i="25"/>
  <c r="G5145" i="25"/>
  <c r="G5146" i="25"/>
  <c r="G5147" i="25"/>
  <c r="G5148" i="25"/>
  <c r="G5149" i="25"/>
  <c r="G5150" i="25"/>
  <c r="G5151" i="25"/>
  <c r="G5152" i="25"/>
  <c r="G5153" i="25"/>
  <c r="G5154" i="25"/>
  <c r="G5155" i="25"/>
  <c r="G5156" i="25"/>
  <c r="G5157" i="25"/>
  <c r="G5158" i="25"/>
  <c r="G5159" i="25"/>
  <c r="G5160" i="25"/>
  <c r="G5161" i="25"/>
  <c r="G5162" i="25"/>
  <c r="G5163" i="25"/>
  <c r="G5164" i="25"/>
  <c r="G5165" i="25"/>
  <c r="G5166" i="25"/>
  <c r="G5167" i="25"/>
  <c r="G5168" i="25"/>
  <c r="G5169" i="25"/>
  <c r="G5170" i="25"/>
  <c r="G5171" i="25"/>
  <c r="G5172" i="25"/>
  <c r="G5173" i="25"/>
  <c r="G5174" i="25"/>
  <c r="G5175" i="25"/>
  <c r="G5176" i="25"/>
  <c r="G5177" i="25"/>
  <c r="G5178" i="25"/>
  <c r="G5179" i="25"/>
  <c r="G5180" i="25"/>
  <c r="G5181" i="25"/>
  <c r="G5182" i="25"/>
  <c r="G5183" i="25"/>
  <c r="G5184" i="25"/>
  <c r="G5185" i="25"/>
  <c r="G5186" i="25"/>
  <c r="G5187" i="25"/>
  <c r="G5188" i="25"/>
  <c r="G5189" i="25"/>
  <c r="G5190" i="25"/>
  <c r="G5191" i="25"/>
  <c r="G5192" i="25"/>
  <c r="G5193" i="25"/>
  <c r="G5194" i="25"/>
  <c r="G5195" i="25"/>
  <c r="G5196" i="25"/>
  <c r="G5197" i="25"/>
  <c r="G5198" i="25"/>
  <c r="G5199" i="25"/>
  <c r="G5200" i="25"/>
  <c r="G5201" i="25"/>
  <c r="G5202" i="25"/>
  <c r="G5203" i="25"/>
  <c r="G5204" i="25"/>
  <c r="G5205" i="25"/>
  <c r="G5206" i="25"/>
  <c r="G5207" i="25"/>
  <c r="G5208" i="25"/>
  <c r="G5209" i="25"/>
  <c r="G5210" i="25"/>
  <c r="G5211" i="25"/>
  <c r="G5212" i="25"/>
  <c r="G5213" i="25"/>
  <c r="G5214" i="25"/>
  <c r="G5215" i="25"/>
  <c r="G5216" i="25"/>
  <c r="G5217" i="25"/>
  <c r="G5218" i="25"/>
  <c r="G5219" i="25"/>
  <c r="G5220" i="25"/>
  <c r="G5221" i="25"/>
  <c r="G5222" i="25"/>
  <c r="G5223" i="25"/>
  <c r="G5224" i="25"/>
  <c r="G5225" i="25"/>
  <c r="G5226" i="25"/>
  <c r="G5227" i="25"/>
  <c r="G5228" i="25"/>
  <c r="G5229" i="25"/>
  <c r="G5230" i="25"/>
  <c r="G5231" i="25"/>
  <c r="G5232" i="25"/>
  <c r="G5233" i="25"/>
  <c r="G5234" i="25"/>
  <c r="G5235" i="25"/>
  <c r="G5236" i="25"/>
  <c r="G5237" i="25"/>
  <c r="G5238" i="25"/>
  <c r="G5239" i="25"/>
  <c r="G5240" i="25"/>
  <c r="G5241" i="25"/>
  <c r="G5242" i="25"/>
  <c r="G5243" i="25"/>
  <c r="G5244" i="25"/>
  <c r="G5245" i="25"/>
  <c r="G5246" i="25"/>
  <c r="G5247" i="25"/>
  <c r="G5248" i="25"/>
  <c r="G5249" i="25"/>
  <c r="G5250" i="25"/>
  <c r="G5251" i="25"/>
  <c r="G5252" i="25"/>
  <c r="G5253" i="25"/>
  <c r="G5254" i="25"/>
  <c r="G5255" i="25"/>
  <c r="G5256" i="25"/>
  <c r="G5257" i="25"/>
  <c r="G5258" i="25"/>
  <c r="G5259" i="25"/>
  <c r="G5260" i="25"/>
  <c r="G5261" i="25"/>
  <c r="G5262" i="25"/>
  <c r="G5263" i="25"/>
  <c r="G5264" i="25"/>
  <c r="G5265" i="25"/>
  <c r="G5266" i="25"/>
  <c r="G5267" i="25"/>
  <c r="G5268" i="25"/>
  <c r="G5269" i="25"/>
  <c r="G5270" i="25"/>
  <c r="G5271" i="25"/>
  <c r="G5272" i="25"/>
  <c r="G5273" i="25"/>
  <c r="G5274" i="25"/>
  <c r="G5275" i="25"/>
  <c r="G5276" i="25"/>
  <c r="G5277" i="25"/>
  <c r="G5278" i="25"/>
  <c r="G5279" i="25"/>
  <c r="G5280" i="25"/>
  <c r="G5281" i="25"/>
  <c r="G5282" i="25"/>
  <c r="G5283" i="25"/>
  <c r="G5284" i="25"/>
  <c r="G5285" i="25"/>
  <c r="G5286" i="25"/>
  <c r="G5287" i="25"/>
  <c r="G5288" i="25"/>
  <c r="G5289" i="25"/>
  <c r="G5290" i="25"/>
  <c r="G5291" i="25"/>
  <c r="G5292" i="25"/>
  <c r="G5293" i="25"/>
  <c r="G5294" i="25"/>
  <c r="G5295" i="25"/>
  <c r="G5296" i="25"/>
  <c r="G5297" i="25"/>
  <c r="G5298" i="25"/>
  <c r="G5299" i="25"/>
  <c r="G5300" i="25"/>
  <c r="G5301" i="25"/>
  <c r="G5302" i="25"/>
  <c r="G5303" i="25"/>
  <c r="G5304" i="25"/>
  <c r="G5305" i="25"/>
  <c r="G5306" i="25"/>
  <c r="G5307" i="25"/>
  <c r="G5308" i="25"/>
  <c r="G5309" i="25"/>
  <c r="G5310" i="25"/>
  <c r="G5311" i="25"/>
  <c r="G5312" i="25"/>
  <c r="G5313" i="25"/>
  <c r="G5314" i="25"/>
  <c r="G5315" i="25"/>
  <c r="G5316" i="25"/>
  <c r="G5317" i="25"/>
  <c r="G5318" i="25"/>
  <c r="G5319" i="25"/>
  <c r="G5320" i="25"/>
  <c r="G5321" i="25"/>
  <c r="G5322" i="25"/>
  <c r="G5323" i="25"/>
  <c r="G5324" i="25"/>
  <c r="G5325" i="25"/>
  <c r="G5326" i="25"/>
  <c r="G5327" i="25"/>
  <c r="G5328" i="25"/>
  <c r="G5329" i="25"/>
  <c r="G5330" i="25"/>
  <c r="G5331" i="25"/>
  <c r="G5332" i="25"/>
  <c r="G5333" i="25"/>
  <c r="G5334" i="25"/>
  <c r="G5335" i="25"/>
  <c r="G5336" i="25"/>
  <c r="G5337" i="25"/>
  <c r="G5338" i="25"/>
  <c r="G5339" i="25"/>
  <c r="G5340" i="25"/>
  <c r="G5341" i="25"/>
  <c r="G5342" i="25"/>
  <c r="G5343" i="25"/>
  <c r="G5344" i="25"/>
  <c r="G5345" i="25"/>
  <c r="G5346" i="25"/>
  <c r="G5347" i="25"/>
  <c r="G5348" i="25"/>
  <c r="G5349" i="25"/>
  <c r="G5350" i="25"/>
  <c r="G5351" i="25"/>
  <c r="G5352" i="25"/>
  <c r="G5353" i="25"/>
  <c r="G5354" i="25"/>
  <c r="G5355" i="25"/>
  <c r="G5356" i="25"/>
  <c r="G5357" i="25"/>
  <c r="G5358" i="25"/>
  <c r="G5359" i="25"/>
  <c r="G5360" i="25"/>
  <c r="G5361" i="25"/>
  <c r="G5362" i="25"/>
  <c r="G5363" i="25"/>
  <c r="G5364" i="25"/>
  <c r="G5365" i="25"/>
  <c r="G5366" i="25"/>
  <c r="G5367" i="25"/>
  <c r="G5368" i="25"/>
  <c r="G5369" i="25"/>
  <c r="G5370" i="25"/>
  <c r="G5371" i="25"/>
  <c r="G5372" i="25"/>
  <c r="G5373" i="25"/>
  <c r="G5374" i="25"/>
  <c r="G5375" i="25"/>
  <c r="G5376" i="25"/>
  <c r="G5377" i="25"/>
  <c r="G5378" i="25"/>
  <c r="G5379" i="25"/>
  <c r="G5380" i="25"/>
  <c r="G5381" i="25"/>
  <c r="G5382" i="25"/>
  <c r="G5383" i="25"/>
  <c r="G5384" i="25"/>
  <c r="G5385" i="25"/>
  <c r="G5386" i="25"/>
  <c r="G5387" i="25"/>
  <c r="G5388" i="25"/>
  <c r="G5389" i="25"/>
  <c r="G5390" i="25"/>
  <c r="G5391" i="25"/>
  <c r="G5392" i="25"/>
  <c r="G5393" i="25"/>
  <c r="G5394" i="25"/>
  <c r="G5395" i="25"/>
  <c r="G5396" i="25"/>
  <c r="G5397" i="25"/>
  <c r="G5398" i="25"/>
  <c r="G5399" i="25"/>
  <c r="G5400" i="25"/>
  <c r="G5401" i="25"/>
  <c r="G5402" i="25"/>
  <c r="G5403" i="25"/>
  <c r="G5404" i="25"/>
  <c r="G5405" i="25"/>
  <c r="G5406" i="25"/>
  <c r="G5407" i="25"/>
  <c r="G5408" i="25"/>
  <c r="G5409" i="25"/>
  <c r="G5410" i="25"/>
  <c r="G5411" i="25"/>
  <c r="G5412" i="25"/>
  <c r="G5413" i="25"/>
  <c r="G5414" i="25"/>
  <c r="G5415" i="25"/>
  <c r="G5416" i="25"/>
  <c r="G5417" i="25"/>
  <c r="G5418" i="25"/>
  <c r="G5419" i="25"/>
  <c r="G5420" i="25"/>
  <c r="G5421" i="25"/>
  <c r="G5422" i="25"/>
  <c r="G5423" i="25"/>
  <c r="G5424" i="25"/>
  <c r="G5425" i="25"/>
  <c r="G5426" i="25"/>
  <c r="G5427" i="25"/>
  <c r="G5428" i="25"/>
  <c r="G5429" i="25"/>
  <c r="G5430" i="25"/>
  <c r="G5431" i="25"/>
  <c r="G5432" i="25"/>
  <c r="G5433" i="25"/>
  <c r="G5434" i="25"/>
  <c r="G5435" i="25"/>
  <c r="G5436" i="25"/>
  <c r="G5437" i="25"/>
  <c r="G5438" i="25"/>
  <c r="G5439" i="25"/>
  <c r="G5440" i="25"/>
  <c r="G5441" i="25"/>
  <c r="G5442" i="25"/>
  <c r="G5443" i="25"/>
  <c r="G5444" i="25"/>
  <c r="G5445" i="25"/>
  <c r="G5446" i="25"/>
  <c r="G5447" i="25"/>
  <c r="G5448" i="25"/>
  <c r="G5449" i="25"/>
  <c r="G5450" i="25"/>
  <c r="G5451" i="25"/>
  <c r="G5452" i="25"/>
  <c r="G5453" i="25"/>
  <c r="G5454" i="25"/>
  <c r="G5455" i="25"/>
  <c r="G5456" i="25"/>
  <c r="G5457" i="25"/>
  <c r="G5458" i="25"/>
  <c r="G5459" i="25"/>
  <c r="G5460" i="25"/>
  <c r="G5461" i="25"/>
  <c r="G5462" i="25"/>
  <c r="G5463" i="25"/>
  <c r="G5464" i="25"/>
  <c r="G5465" i="25"/>
  <c r="G5466" i="25"/>
  <c r="G5467" i="25"/>
  <c r="G5468" i="25"/>
  <c r="G5469" i="25"/>
  <c r="G5470" i="25"/>
  <c r="G5471" i="25"/>
  <c r="G5472" i="25"/>
  <c r="G5473" i="25"/>
  <c r="G5474" i="25"/>
  <c r="G5475" i="25"/>
  <c r="G5476" i="25"/>
  <c r="G5477" i="25"/>
  <c r="G5478" i="25"/>
  <c r="G5479" i="25"/>
  <c r="G5480" i="25"/>
  <c r="G5481" i="25"/>
  <c r="G5482" i="25"/>
  <c r="G5483" i="25"/>
  <c r="G5484" i="25"/>
  <c r="G5485" i="25"/>
  <c r="G5486" i="25"/>
  <c r="G5487" i="25"/>
  <c r="G5488" i="25"/>
  <c r="G5489" i="25"/>
  <c r="G5490" i="25"/>
  <c r="G5491" i="25"/>
  <c r="G5492" i="25"/>
  <c r="G5493" i="25"/>
  <c r="G5494" i="25"/>
  <c r="G5495" i="25"/>
  <c r="G5496" i="25"/>
  <c r="G5497" i="25"/>
  <c r="G5498" i="25"/>
  <c r="G5499" i="25"/>
  <c r="G5500" i="25"/>
  <c r="G5501" i="25"/>
  <c r="G5502" i="25"/>
  <c r="G5503" i="25"/>
  <c r="G5504" i="25"/>
  <c r="G5505" i="25"/>
  <c r="G5506" i="25"/>
  <c r="G5507" i="25"/>
  <c r="G5508" i="25"/>
  <c r="G5509" i="25"/>
  <c r="G5510" i="25"/>
  <c r="G5511" i="25"/>
  <c r="G5512" i="25"/>
  <c r="G5513" i="25"/>
  <c r="G5514" i="25"/>
  <c r="G5515" i="25"/>
  <c r="G5516" i="25"/>
  <c r="G5517" i="25"/>
  <c r="G5518" i="25"/>
  <c r="G5519" i="25"/>
  <c r="G5520" i="25"/>
  <c r="G5521" i="25"/>
  <c r="G5522" i="25"/>
  <c r="G5523" i="25"/>
  <c r="G5524" i="25"/>
  <c r="G5525" i="25"/>
  <c r="G5526" i="25"/>
  <c r="G5527" i="25"/>
  <c r="G5528" i="25"/>
  <c r="G5529" i="25"/>
  <c r="G5530" i="25"/>
  <c r="G5531" i="25"/>
  <c r="G5532" i="25"/>
  <c r="G5533" i="25"/>
  <c r="G5534" i="25"/>
  <c r="G5535" i="25"/>
  <c r="G5536" i="25"/>
  <c r="G5537" i="25"/>
  <c r="G5538" i="25"/>
  <c r="G5539" i="25"/>
  <c r="G5540" i="25"/>
  <c r="G5541" i="25"/>
  <c r="G5542" i="25"/>
  <c r="G5543" i="25"/>
  <c r="G5544" i="25"/>
  <c r="G5545" i="25"/>
  <c r="G5546" i="25"/>
  <c r="G5547" i="25"/>
  <c r="G5548" i="25"/>
  <c r="G5549" i="25"/>
  <c r="G5550" i="25"/>
  <c r="G5551" i="25"/>
  <c r="G5552" i="25"/>
  <c r="G5553" i="25"/>
  <c r="G5554" i="25"/>
  <c r="G5555" i="25"/>
  <c r="G5556" i="25"/>
  <c r="G5557" i="25"/>
  <c r="G5558" i="25"/>
  <c r="G5559" i="25"/>
  <c r="G5560" i="25"/>
  <c r="G5561" i="25"/>
  <c r="G5562" i="25"/>
  <c r="G5563" i="25"/>
  <c r="G5564" i="25"/>
  <c r="G5565" i="25"/>
  <c r="G5566" i="25"/>
  <c r="G5567" i="25"/>
  <c r="G5568" i="25"/>
  <c r="G5569" i="25"/>
  <c r="G5570" i="25"/>
  <c r="G5571" i="25"/>
  <c r="G5572" i="25"/>
  <c r="G5573" i="25"/>
  <c r="G5574" i="25"/>
  <c r="G5575" i="25"/>
  <c r="G5576" i="25"/>
  <c r="G5577" i="25"/>
  <c r="G5578" i="25"/>
  <c r="G5579" i="25"/>
  <c r="G5580" i="25"/>
  <c r="G5581" i="25"/>
  <c r="G5582" i="25"/>
  <c r="G5583" i="25"/>
  <c r="G5584" i="25"/>
  <c r="G5585" i="25"/>
  <c r="G5586" i="25"/>
  <c r="G5587" i="25"/>
  <c r="G5588" i="25"/>
  <c r="G5589" i="25"/>
  <c r="G5590" i="25"/>
  <c r="G5591" i="25"/>
  <c r="G5592" i="25"/>
  <c r="G5593" i="25"/>
  <c r="G5594" i="25"/>
  <c r="G5595" i="25"/>
  <c r="G5596" i="25"/>
  <c r="G5597" i="25"/>
  <c r="G5598" i="25"/>
  <c r="G5599" i="25"/>
  <c r="G5600" i="25"/>
  <c r="G5601" i="25"/>
  <c r="G5602" i="25"/>
  <c r="G5603" i="25"/>
  <c r="G5604" i="25"/>
  <c r="G5605" i="25"/>
  <c r="G5606" i="25"/>
  <c r="G5607" i="25"/>
  <c r="G5608" i="25"/>
  <c r="G5609" i="25"/>
  <c r="G5610" i="25"/>
  <c r="G5611" i="25"/>
  <c r="G5612" i="25"/>
  <c r="G5613" i="25"/>
  <c r="G5614" i="25"/>
  <c r="G5615" i="25"/>
  <c r="G5616" i="25"/>
  <c r="G5617" i="25"/>
  <c r="G5618" i="25"/>
  <c r="G5619" i="25"/>
  <c r="G5620" i="25"/>
  <c r="G5621" i="25"/>
  <c r="G5622" i="25"/>
  <c r="G5623" i="25"/>
  <c r="G5624" i="25"/>
  <c r="G5625" i="25"/>
  <c r="G5626" i="25"/>
  <c r="G5627" i="25"/>
  <c r="G5628" i="25"/>
  <c r="G5629" i="25"/>
  <c r="G5630" i="25"/>
  <c r="G5631" i="25"/>
  <c r="G5632" i="25"/>
  <c r="G5633" i="25"/>
  <c r="G5634" i="25"/>
  <c r="G5635" i="25"/>
  <c r="G5636" i="25"/>
  <c r="G5637" i="25"/>
  <c r="G5638" i="25"/>
  <c r="G5639" i="25"/>
  <c r="G5640" i="25"/>
  <c r="G5641" i="25"/>
  <c r="G5642" i="25"/>
  <c r="G5643" i="25"/>
  <c r="G5644" i="25"/>
  <c r="G5645" i="25"/>
  <c r="G5646" i="25"/>
  <c r="G5647" i="25"/>
  <c r="G5648" i="25"/>
  <c r="G5649" i="25"/>
  <c r="G5650" i="25"/>
  <c r="G5651" i="25"/>
  <c r="G5652" i="25"/>
  <c r="G5653" i="25"/>
  <c r="G5654" i="25"/>
  <c r="G5655" i="25"/>
  <c r="G5656" i="25"/>
  <c r="G5657" i="25"/>
  <c r="G5658" i="25"/>
  <c r="G5659" i="25"/>
  <c r="G5660" i="25"/>
  <c r="G5661" i="25"/>
  <c r="G5662" i="25"/>
  <c r="G5663" i="25"/>
  <c r="G5664" i="25"/>
  <c r="G5665" i="25"/>
  <c r="G5666" i="25"/>
  <c r="G5667" i="25"/>
  <c r="G5668" i="25"/>
  <c r="G5669" i="25"/>
  <c r="G5670" i="25"/>
  <c r="G5671" i="25"/>
  <c r="G5672" i="25"/>
  <c r="G5673" i="25"/>
  <c r="G5674" i="25"/>
  <c r="G5675" i="25"/>
  <c r="G5676" i="25"/>
  <c r="G5677" i="25"/>
  <c r="G5678" i="25"/>
  <c r="G5679" i="25"/>
  <c r="G5680" i="25"/>
  <c r="G5681" i="25"/>
  <c r="G5682" i="25"/>
  <c r="G5683" i="25"/>
  <c r="G5684" i="25"/>
  <c r="G5685" i="25"/>
  <c r="G5686" i="25"/>
  <c r="G5687" i="25"/>
  <c r="G5688" i="25"/>
  <c r="G5689" i="25"/>
  <c r="G5690" i="25"/>
  <c r="G5691" i="25"/>
  <c r="G5692" i="25"/>
  <c r="G5693" i="25"/>
  <c r="G5694" i="25"/>
  <c r="G5695" i="25"/>
  <c r="G5696" i="25"/>
  <c r="G5697" i="25"/>
  <c r="G5698" i="25"/>
  <c r="G5699" i="25"/>
  <c r="G5700" i="25"/>
  <c r="G5701" i="25"/>
  <c r="G5702" i="25"/>
  <c r="G5703" i="25"/>
  <c r="G5704" i="25"/>
  <c r="G5705" i="25"/>
  <c r="G5706" i="25"/>
  <c r="G5707" i="25"/>
  <c r="G5708" i="25"/>
  <c r="G5709" i="25"/>
  <c r="G5710" i="25"/>
  <c r="G5711" i="25"/>
  <c r="G5712" i="25"/>
  <c r="G5713" i="25"/>
  <c r="G5714" i="25"/>
  <c r="G5715" i="25"/>
  <c r="G5716" i="25"/>
  <c r="G5717" i="25"/>
  <c r="G5718" i="25"/>
  <c r="G5719" i="25"/>
  <c r="G5720" i="25"/>
  <c r="G5721" i="25"/>
  <c r="G5722" i="25"/>
  <c r="G5723" i="25"/>
  <c r="G5724" i="25"/>
  <c r="G5725" i="25"/>
  <c r="G5726" i="25"/>
  <c r="G5727" i="25"/>
  <c r="G5728" i="25"/>
  <c r="G5729" i="25"/>
  <c r="G5730" i="25"/>
  <c r="G5731" i="25"/>
  <c r="G5732" i="25"/>
  <c r="G5733" i="25"/>
  <c r="G5734" i="25"/>
  <c r="G5735" i="25"/>
  <c r="G5736" i="25"/>
  <c r="G5737" i="25"/>
  <c r="G5738" i="25"/>
  <c r="G5739" i="25"/>
  <c r="G5740" i="25"/>
  <c r="G5741" i="25"/>
  <c r="G5742" i="25"/>
  <c r="G5743" i="25"/>
  <c r="G5744" i="25"/>
  <c r="G5745" i="25"/>
  <c r="G5746" i="25"/>
  <c r="G5747" i="25"/>
  <c r="G5748" i="25"/>
  <c r="G5749" i="25"/>
  <c r="G5750" i="25"/>
  <c r="G5751" i="25"/>
  <c r="G5752" i="25"/>
  <c r="G5753" i="25"/>
  <c r="G5754" i="25"/>
  <c r="G5755" i="25"/>
  <c r="G5756" i="25"/>
  <c r="G5757" i="25"/>
  <c r="G5758" i="25"/>
  <c r="G5759" i="25"/>
  <c r="G5760" i="25"/>
  <c r="G5761" i="25"/>
  <c r="G5762" i="25"/>
  <c r="G5763" i="25"/>
  <c r="G5764" i="25"/>
  <c r="G5765" i="25"/>
  <c r="G5766" i="25"/>
  <c r="G5767" i="25"/>
  <c r="G5768" i="25"/>
  <c r="G5769" i="25"/>
  <c r="G5770" i="25"/>
  <c r="G5771" i="25"/>
  <c r="G5772" i="25"/>
  <c r="G5773" i="25"/>
  <c r="G5774" i="25"/>
  <c r="G5775" i="25"/>
  <c r="G5776" i="25"/>
  <c r="G5777" i="25"/>
  <c r="G5778" i="25"/>
  <c r="G5779" i="25"/>
  <c r="G5780" i="25"/>
  <c r="G5781" i="25"/>
  <c r="G5782" i="25"/>
  <c r="G5783" i="25"/>
  <c r="G5784" i="25"/>
  <c r="G5785" i="25"/>
  <c r="G5786" i="25"/>
  <c r="G5787" i="25"/>
  <c r="G5788" i="25"/>
  <c r="G5789" i="25"/>
  <c r="G5790" i="25"/>
  <c r="G5791" i="25"/>
  <c r="G5792" i="25"/>
  <c r="G5793" i="25"/>
  <c r="G5794" i="25"/>
  <c r="G5795" i="25"/>
  <c r="G5796" i="25"/>
  <c r="G5797" i="25"/>
  <c r="G5798" i="25"/>
  <c r="G5799" i="25"/>
  <c r="G5800" i="25"/>
  <c r="G5801" i="25"/>
  <c r="G5802" i="25"/>
  <c r="G5803" i="25"/>
  <c r="G5804" i="25"/>
  <c r="G5805" i="25"/>
  <c r="G5806" i="25"/>
  <c r="G5807" i="25"/>
  <c r="G5808" i="25"/>
  <c r="G5809" i="25"/>
  <c r="G5810" i="25"/>
  <c r="G5811" i="25"/>
  <c r="G5812" i="25"/>
  <c r="G5813" i="25"/>
  <c r="G5814" i="25"/>
  <c r="G5815" i="25"/>
  <c r="G5816" i="25"/>
  <c r="G5817" i="25"/>
  <c r="G5818" i="25"/>
  <c r="G5819" i="25"/>
  <c r="G5820" i="25"/>
  <c r="G5821" i="25"/>
  <c r="G5822" i="25"/>
  <c r="G5823" i="25"/>
  <c r="G5824" i="25"/>
  <c r="G5825" i="25"/>
  <c r="G5826" i="25"/>
  <c r="G5827" i="25"/>
  <c r="G5828" i="25"/>
  <c r="G5829" i="25"/>
  <c r="G5830" i="25"/>
  <c r="G5831" i="25"/>
  <c r="G5832" i="25"/>
  <c r="G5833" i="25"/>
  <c r="G5834" i="25"/>
  <c r="G5835" i="25"/>
  <c r="G5836" i="25"/>
  <c r="G5837" i="25"/>
  <c r="G5838" i="25"/>
  <c r="G5839" i="25"/>
  <c r="G5840" i="25"/>
  <c r="G5841" i="25"/>
  <c r="G5842" i="25"/>
  <c r="G5843" i="25"/>
  <c r="G5844" i="25"/>
  <c r="G5845" i="25"/>
  <c r="G5846" i="25"/>
  <c r="G5847" i="25"/>
  <c r="G5848" i="25"/>
  <c r="G5849" i="25"/>
  <c r="G5850" i="25"/>
  <c r="G5851" i="25"/>
  <c r="G5852" i="25"/>
  <c r="G5853" i="25"/>
  <c r="G5854" i="25"/>
  <c r="G5855" i="25"/>
  <c r="G5856" i="25"/>
  <c r="G5857" i="25"/>
  <c r="G5858" i="25"/>
  <c r="G5859" i="25"/>
  <c r="G5860" i="25"/>
  <c r="G5861" i="25"/>
  <c r="G5862" i="25"/>
  <c r="G5863" i="25"/>
  <c r="G5864" i="25"/>
  <c r="G5865" i="25"/>
  <c r="G5866" i="25"/>
  <c r="G5867" i="25"/>
  <c r="G5868" i="25"/>
  <c r="G5869" i="25"/>
  <c r="G5870" i="25"/>
  <c r="G5871" i="25"/>
  <c r="G5872" i="25"/>
  <c r="G5873" i="25"/>
  <c r="G5874" i="25"/>
  <c r="G5875" i="25"/>
  <c r="G5876" i="25"/>
  <c r="G5877" i="25"/>
  <c r="G5878" i="25"/>
  <c r="G5879" i="25"/>
  <c r="G5880" i="25"/>
  <c r="G5881" i="25"/>
  <c r="G5882" i="25"/>
  <c r="G5883" i="25"/>
  <c r="G5884" i="25"/>
  <c r="G5885" i="25"/>
  <c r="G5886" i="25"/>
  <c r="G5887" i="25"/>
  <c r="G5888" i="25"/>
  <c r="G5889" i="25"/>
  <c r="G5890" i="25"/>
  <c r="G5891" i="25"/>
  <c r="G5892" i="25"/>
  <c r="G5893" i="25"/>
  <c r="G5894" i="25"/>
  <c r="G5895" i="25"/>
  <c r="G5896" i="25"/>
  <c r="G5897" i="25"/>
  <c r="G5898" i="25"/>
  <c r="G5899" i="25"/>
  <c r="G5900" i="25"/>
  <c r="G5901" i="25"/>
  <c r="G5902" i="25"/>
  <c r="G5903" i="25"/>
  <c r="G5904" i="25"/>
  <c r="G5905" i="25"/>
  <c r="G5906" i="25"/>
  <c r="G5907" i="25"/>
  <c r="G5908" i="25"/>
  <c r="G5909" i="25"/>
  <c r="G5910" i="25"/>
  <c r="G5911" i="25"/>
  <c r="G5912" i="25"/>
  <c r="G5913" i="25"/>
  <c r="G5914" i="25"/>
  <c r="G5915" i="25"/>
  <c r="G5916" i="25"/>
  <c r="G5917" i="25"/>
  <c r="G5918" i="25"/>
  <c r="G5919" i="25"/>
  <c r="G5920" i="25"/>
  <c r="G5921" i="25"/>
  <c r="G5922" i="25"/>
  <c r="G5923" i="25"/>
  <c r="G5924" i="25"/>
  <c r="G5925" i="25"/>
  <c r="G5926" i="25"/>
  <c r="G5927" i="25"/>
  <c r="G5928" i="25"/>
  <c r="G5929" i="25"/>
  <c r="G5930" i="25"/>
  <c r="G5931" i="25"/>
  <c r="G5932" i="25"/>
  <c r="G5933" i="25"/>
  <c r="G5934" i="25"/>
  <c r="G5935" i="25"/>
  <c r="G5936" i="25"/>
  <c r="G5937" i="25"/>
  <c r="G5938" i="25"/>
  <c r="G5939" i="25"/>
  <c r="G5940" i="25"/>
  <c r="G5941" i="25"/>
  <c r="G5942" i="25"/>
  <c r="G5943" i="25"/>
  <c r="G5944" i="25"/>
  <c r="G5945" i="25"/>
  <c r="G5946" i="25"/>
  <c r="G5947" i="25"/>
  <c r="G5948" i="25"/>
  <c r="G5949" i="25"/>
  <c r="G5950" i="25"/>
  <c r="G5951" i="25"/>
  <c r="G5952" i="25"/>
  <c r="G5953" i="25"/>
  <c r="G5954" i="25"/>
  <c r="G5955" i="25"/>
  <c r="G5956" i="25"/>
  <c r="G5957" i="25"/>
  <c r="G5958" i="25"/>
  <c r="G5959" i="25"/>
  <c r="G5960" i="25"/>
  <c r="G5961" i="25"/>
  <c r="G5962" i="25"/>
  <c r="G5963" i="25"/>
  <c r="G5964" i="25"/>
  <c r="G5965" i="25"/>
  <c r="G5966" i="25"/>
  <c r="G5967" i="25"/>
  <c r="G5968" i="25"/>
  <c r="G5969" i="25"/>
  <c r="G5970" i="25"/>
  <c r="G5971" i="25"/>
  <c r="G5972" i="25"/>
  <c r="G5973" i="25"/>
  <c r="G5974" i="25"/>
  <c r="G5975" i="25"/>
  <c r="G5976" i="25"/>
  <c r="G5977" i="25"/>
  <c r="G5978" i="25"/>
  <c r="G5979" i="25"/>
  <c r="G5980" i="25"/>
  <c r="G5981" i="25"/>
  <c r="G5982" i="25"/>
  <c r="G5983" i="25"/>
  <c r="G5984" i="25"/>
  <c r="G5985" i="25"/>
  <c r="G5986" i="25"/>
  <c r="G5987" i="25"/>
  <c r="G5988" i="25"/>
  <c r="G5989" i="25"/>
  <c r="G5990" i="25"/>
  <c r="G5991" i="25"/>
  <c r="G5992" i="25"/>
  <c r="G5993" i="25"/>
  <c r="G5994" i="25"/>
  <c r="G5995" i="25"/>
  <c r="G5996" i="25"/>
  <c r="G5997" i="25"/>
  <c r="G5998" i="25"/>
  <c r="G5999" i="25"/>
  <c r="G6000" i="25"/>
  <c r="G6001" i="25"/>
  <c r="G6002" i="25"/>
  <c r="G6003" i="25"/>
  <c r="G6004" i="25"/>
  <c r="G6005" i="25"/>
  <c r="G6006" i="25"/>
  <c r="G6007" i="25"/>
  <c r="G6008" i="25"/>
  <c r="G6009" i="25"/>
  <c r="G6010" i="25"/>
  <c r="G6011" i="25"/>
  <c r="G6012" i="25"/>
  <c r="G6013" i="25"/>
  <c r="G6014" i="25"/>
  <c r="G6015" i="25"/>
  <c r="G6016" i="25"/>
  <c r="G6017" i="25"/>
  <c r="G6018" i="25"/>
  <c r="G6019" i="25"/>
  <c r="G6020" i="25"/>
  <c r="G6021" i="25"/>
  <c r="G6022" i="25"/>
  <c r="G6023" i="25"/>
  <c r="G6024" i="25"/>
  <c r="G6025" i="25"/>
  <c r="G6026" i="25"/>
  <c r="G6027" i="25"/>
  <c r="G6028" i="25"/>
  <c r="G6029" i="25"/>
  <c r="G6030" i="25"/>
  <c r="G6031" i="25"/>
  <c r="G6032" i="25"/>
  <c r="G6033" i="25"/>
  <c r="G6034" i="25"/>
  <c r="G6035" i="25"/>
  <c r="G6036" i="25"/>
  <c r="G6037" i="25"/>
  <c r="G6038" i="25"/>
  <c r="G6039" i="25"/>
  <c r="G6040" i="25"/>
  <c r="G6041" i="25"/>
  <c r="G6042" i="25"/>
  <c r="G6043" i="25"/>
  <c r="G6044" i="25"/>
  <c r="G6045" i="25"/>
  <c r="G6046" i="25"/>
  <c r="G6047" i="25"/>
  <c r="G6048" i="25"/>
  <c r="G6049" i="25"/>
  <c r="G6050" i="25"/>
  <c r="G6051" i="25"/>
  <c r="G6052" i="25"/>
  <c r="G6053" i="25"/>
  <c r="G6054" i="25"/>
  <c r="G6055" i="25"/>
  <c r="G6056" i="25"/>
  <c r="G6057" i="25"/>
  <c r="G6058" i="25"/>
  <c r="G6059" i="25"/>
  <c r="G6060" i="25"/>
  <c r="G6061" i="25"/>
  <c r="G6062" i="25"/>
  <c r="G6063" i="25"/>
  <c r="G6064" i="25"/>
  <c r="G6065" i="25"/>
  <c r="G6066" i="25"/>
  <c r="G6067" i="25"/>
  <c r="G6068" i="25"/>
  <c r="G6069" i="25"/>
  <c r="G6070" i="25"/>
  <c r="G6071" i="25"/>
  <c r="G6072" i="25"/>
  <c r="G6073" i="25"/>
  <c r="G6074" i="25"/>
  <c r="G6075" i="25"/>
  <c r="G6076" i="25"/>
  <c r="G6077" i="25"/>
  <c r="G6078" i="25"/>
  <c r="G6079" i="25"/>
  <c r="G6080" i="25"/>
  <c r="G6081" i="25"/>
  <c r="G6082" i="25"/>
  <c r="G6083" i="25"/>
  <c r="G6084" i="25"/>
  <c r="G6085" i="25"/>
  <c r="G6086" i="25"/>
  <c r="G6087" i="25"/>
  <c r="G6088" i="25"/>
  <c r="G6089" i="25"/>
  <c r="G6090" i="25"/>
  <c r="G6091" i="25"/>
  <c r="G6092" i="25"/>
  <c r="G6093" i="25"/>
  <c r="G6094" i="25"/>
  <c r="G6095" i="25"/>
  <c r="G6096" i="25"/>
  <c r="G6097" i="25"/>
  <c r="G6098" i="25"/>
  <c r="G6099" i="25"/>
  <c r="G6100" i="25"/>
  <c r="G6101" i="25"/>
  <c r="G6102" i="25"/>
  <c r="G6103" i="25"/>
  <c r="G6104" i="25"/>
  <c r="G6105" i="25"/>
  <c r="G6106" i="25"/>
  <c r="G6107" i="25"/>
  <c r="G6108" i="25"/>
  <c r="G6109" i="25"/>
  <c r="G6110" i="25"/>
  <c r="G6111" i="25"/>
  <c r="G6112" i="25"/>
  <c r="G6113" i="25"/>
  <c r="G6114" i="25"/>
  <c r="G6115" i="25"/>
  <c r="G6116" i="25"/>
  <c r="G6117" i="25"/>
  <c r="G6118" i="25"/>
  <c r="G6119" i="25"/>
  <c r="G6120" i="25"/>
  <c r="G6121" i="25"/>
  <c r="G6122" i="25"/>
  <c r="G6123" i="25"/>
  <c r="G6124" i="25"/>
  <c r="G6125" i="25"/>
  <c r="G6126" i="25"/>
  <c r="G6127" i="25"/>
  <c r="G6128" i="25"/>
  <c r="G6129" i="25"/>
  <c r="G6130" i="25"/>
  <c r="G6131" i="25"/>
  <c r="G6132" i="25"/>
  <c r="G6133" i="25"/>
  <c r="G6134" i="25"/>
  <c r="G6135" i="25"/>
  <c r="G6136" i="25"/>
  <c r="G6137" i="25"/>
  <c r="G6138" i="25"/>
  <c r="G6139" i="25"/>
  <c r="G6140" i="25"/>
  <c r="G6141" i="25"/>
  <c r="G6142" i="25"/>
  <c r="G6143" i="25"/>
  <c r="G6144" i="25"/>
  <c r="G6145" i="25"/>
  <c r="G6146" i="25"/>
  <c r="G6147" i="25"/>
  <c r="G6148" i="25"/>
  <c r="G6149" i="25"/>
  <c r="G6150" i="25"/>
  <c r="G6151" i="25"/>
  <c r="G6152" i="25"/>
  <c r="G6153" i="25"/>
  <c r="G6154" i="25"/>
  <c r="G6155" i="25"/>
  <c r="G6156" i="25"/>
  <c r="G6157" i="25"/>
  <c r="G6158" i="25"/>
  <c r="G6159" i="25"/>
  <c r="G6160" i="25"/>
  <c r="G6161" i="25"/>
  <c r="G6162" i="25"/>
  <c r="G6163" i="25"/>
  <c r="G6164" i="25"/>
  <c r="G6165" i="25"/>
  <c r="G6166" i="25"/>
  <c r="G6167" i="25"/>
  <c r="G6168" i="25"/>
  <c r="G6169" i="25"/>
  <c r="G6170" i="25"/>
  <c r="G6171" i="25"/>
  <c r="G6172" i="25"/>
  <c r="G6173" i="25"/>
  <c r="G6174" i="25"/>
  <c r="G6175" i="25"/>
  <c r="G6176" i="25"/>
  <c r="G6177" i="25"/>
  <c r="G6178" i="25"/>
  <c r="G6179" i="25"/>
  <c r="G6180" i="25"/>
  <c r="G6181" i="25"/>
  <c r="G6182" i="25"/>
  <c r="G6183" i="25"/>
  <c r="G6184" i="25"/>
  <c r="G6185" i="25"/>
  <c r="G6186" i="25"/>
  <c r="G6187" i="25"/>
  <c r="G6188" i="25"/>
  <c r="G6189" i="25"/>
  <c r="G6190" i="25"/>
  <c r="G6191" i="25"/>
  <c r="G6192" i="25"/>
  <c r="G6193" i="25"/>
  <c r="G6194" i="25"/>
  <c r="G6195" i="25"/>
  <c r="G6196" i="25"/>
  <c r="G6197" i="25"/>
  <c r="G6198" i="25"/>
  <c r="G6199" i="25"/>
  <c r="G6200" i="25"/>
  <c r="G6201" i="25"/>
  <c r="G6202" i="25"/>
  <c r="G6203" i="25"/>
  <c r="G6204" i="25"/>
  <c r="G6205" i="25"/>
  <c r="G6206" i="25"/>
  <c r="G6207" i="25"/>
  <c r="G6208" i="25"/>
  <c r="G6209" i="25"/>
  <c r="G6210" i="25"/>
  <c r="G6211" i="25"/>
  <c r="G6212" i="25"/>
  <c r="G6213" i="25"/>
  <c r="G6214" i="25"/>
  <c r="G6215" i="25"/>
  <c r="G6216" i="25"/>
  <c r="G6217" i="25"/>
  <c r="G6218" i="25"/>
  <c r="G6219" i="25"/>
  <c r="G6220" i="25"/>
  <c r="G6221" i="25"/>
  <c r="G6222" i="25"/>
  <c r="G6223" i="25"/>
  <c r="G6224" i="25"/>
  <c r="G6225" i="25"/>
  <c r="G6226" i="25"/>
  <c r="G6227" i="25"/>
  <c r="G6228" i="25"/>
  <c r="G6229" i="25"/>
  <c r="G6230" i="25"/>
  <c r="G6231" i="25"/>
  <c r="G6232" i="25"/>
  <c r="G6233" i="25"/>
  <c r="G6234" i="25"/>
  <c r="G6235" i="25"/>
  <c r="G6236" i="25"/>
  <c r="G6237" i="25"/>
  <c r="G6238" i="25"/>
  <c r="G6239" i="25"/>
  <c r="G6240" i="25"/>
  <c r="G6241" i="25"/>
  <c r="G6242" i="25"/>
  <c r="G6243" i="25"/>
  <c r="G6244" i="25"/>
  <c r="G6245" i="25"/>
  <c r="G6246" i="25"/>
  <c r="G6247" i="25"/>
  <c r="G6248" i="25"/>
  <c r="G6249" i="25"/>
  <c r="G6250" i="25"/>
  <c r="G6251" i="25"/>
  <c r="G6252" i="25"/>
  <c r="G6253" i="25"/>
  <c r="G6254" i="25"/>
  <c r="G6255" i="25"/>
  <c r="G6256" i="25"/>
  <c r="G6257" i="25"/>
  <c r="G6258" i="25"/>
  <c r="G6259" i="25"/>
  <c r="G6260" i="25"/>
  <c r="G6261" i="25"/>
  <c r="G6262" i="25"/>
  <c r="G6263" i="25"/>
  <c r="G6264" i="25"/>
  <c r="G6265" i="25"/>
  <c r="G6266" i="25"/>
  <c r="G6267" i="25"/>
  <c r="G6268" i="25"/>
  <c r="G6269" i="25"/>
  <c r="G6270" i="25"/>
  <c r="G6271" i="25"/>
  <c r="G6272" i="25"/>
  <c r="G6273" i="25"/>
  <c r="G6274" i="25"/>
  <c r="G6275" i="25"/>
  <c r="G6276" i="25"/>
  <c r="G6277" i="25"/>
  <c r="G6278" i="25"/>
  <c r="G6279" i="25"/>
  <c r="G6280" i="25"/>
  <c r="G6281" i="25"/>
  <c r="G6282" i="25"/>
  <c r="G6283" i="25"/>
  <c r="G6284" i="25"/>
  <c r="G6285" i="25"/>
  <c r="G6286" i="25"/>
  <c r="G6287" i="25"/>
  <c r="G6288" i="25"/>
  <c r="G6289" i="25"/>
  <c r="G6290" i="25"/>
  <c r="G6291" i="25"/>
  <c r="G6292" i="25"/>
  <c r="G6293" i="25"/>
  <c r="G6294" i="25"/>
  <c r="G6295" i="25"/>
  <c r="G6296" i="25"/>
  <c r="G6297" i="25"/>
  <c r="G6298" i="25"/>
  <c r="G6299" i="25"/>
  <c r="G6300" i="25"/>
  <c r="G6301" i="25"/>
  <c r="G6302" i="25"/>
  <c r="G6303" i="25"/>
  <c r="G6304" i="25"/>
  <c r="G6305" i="25"/>
  <c r="G6306" i="25"/>
  <c r="G6307" i="25"/>
  <c r="G6308" i="25"/>
  <c r="G6309" i="25"/>
  <c r="G6310" i="25"/>
  <c r="G6311" i="25"/>
  <c r="G6312" i="25"/>
  <c r="G6313" i="25"/>
  <c r="G6314" i="25"/>
  <c r="G6315" i="25"/>
  <c r="G6316" i="25"/>
  <c r="G6317" i="25"/>
  <c r="G6318" i="25"/>
  <c r="G6319" i="25"/>
  <c r="G6320" i="25"/>
  <c r="G6321" i="25"/>
  <c r="G6322" i="25"/>
  <c r="G6323" i="25"/>
  <c r="G6324" i="25"/>
  <c r="G6325" i="25"/>
  <c r="G6326" i="25"/>
  <c r="G6327" i="25"/>
  <c r="G6328" i="25"/>
  <c r="G6329" i="25"/>
  <c r="G6330" i="25"/>
  <c r="G6331" i="25"/>
  <c r="G6332" i="25"/>
  <c r="G6333" i="25"/>
  <c r="G6334" i="25"/>
  <c r="G6335" i="25"/>
  <c r="G6336" i="25"/>
  <c r="G6337" i="25"/>
  <c r="G6338" i="25"/>
  <c r="G6339" i="25"/>
  <c r="G6340" i="25"/>
  <c r="G6341" i="25"/>
  <c r="G6342" i="25"/>
  <c r="G6343" i="25"/>
  <c r="G6344" i="25"/>
  <c r="G6345" i="25"/>
  <c r="G6346" i="25"/>
  <c r="G6347" i="25"/>
  <c r="G6348" i="25"/>
  <c r="G6349" i="25"/>
  <c r="G6350" i="25"/>
  <c r="G6351" i="25"/>
  <c r="G6352" i="25"/>
  <c r="G6353" i="25"/>
  <c r="G6354" i="25"/>
  <c r="G6355" i="25"/>
  <c r="G6356" i="25"/>
  <c r="G6357" i="25"/>
  <c r="G6358" i="25"/>
  <c r="G6359" i="25"/>
  <c r="G6360" i="25"/>
  <c r="G6361" i="25"/>
  <c r="G6362" i="25"/>
  <c r="G6363" i="25"/>
  <c r="G6364" i="25"/>
  <c r="G6365" i="25"/>
  <c r="G6366" i="25"/>
  <c r="G6367" i="25"/>
  <c r="G6368" i="25"/>
  <c r="G6369" i="25"/>
  <c r="G6370" i="25"/>
  <c r="G6371" i="25"/>
  <c r="G6372" i="25"/>
  <c r="G6373" i="25"/>
  <c r="G6374" i="25"/>
  <c r="G6375" i="25"/>
  <c r="G6376" i="25"/>
  <c r="G6377" i="25"/>
  <c r="G6378" i="25"/>
  <c r="G6379" i="25"/>
  <c r="G6380" i="25"/>
  <c r="G6381" i="25"/>
  <c r="G6382" i="25"/>
  <c r="G6383" i="25"/>
  <c r="G6384" i="25"/>
  <c r="G6385" i="25"/>
  <c r="G6386" i="25"/>
  <c r="G6387" i="25"/>
  <c r="G6388" i="25"/>
  <c r="G6389" i="25"/>
  <c r="G6390" i="25"/>
  <c r="G6391" i="25"/>
  <c r="G6392" i="25"/>
  <c r="G6393" i="25"/>
  <c r="G6394" i="25"/>
  <c r="G6395" i="25"/>
  <c r="G6396" i="25"/>
  <c r="G6397" i="25"/>
  <c r="G6398" i="25"/>
  <c r="G6399" i="25"/>
  <c r="G6400" i="25"/>
  <c r="G6401" i="25"/>
  <c r="G6402" i="25"/>
  <c r="G6403" i="25"/>
  <c r="G6404" i="25"/>
  <c r="G6405" i="25"/>
  <c r="G6406" i="25"/>
  <c r="G6407" i="25"/>
  <c r="G6408" i="25"/>
  <c r="G6409" i="25"/>
  <c r="G6410" i="25"/>
  <c r="G6411" i="25"/>
  <c r="G6412" i="25"/>
  <c r="G6413" i="25"/>
  <c r="G6414" i="25"/>
  <c r="G6415" i="25"/>
  <c r="G6416" i="25"/>
  <c r="G6417" i="25"/>
  <c r="G6418" i="25"/>
  <c r="G6419" i="25"/>
  <c r="G6420" i="25"/>
  <c r="G6421" i="25"/>
  <c r="G6422" i="25"/>
  <c r="G6423" i="25"/>
  <c r="G6424" i="25"/>
  <c r="G6425" i="25"/>
  <c r="G6426" i="25"/>
  <c r="G6427" i="25"/>
  <c r="G6428" i="25"/>
  <c r="G6429" i="25"/>
  <c r="G6430" i="25"/>
  <c r="G6431" i="25"/>
  <c r="G6432" i="25"/>
  <c r="G6433" i="25"/>
  <c r="G6434" i="25"/>
  <c r="G6435" i="25"/>
  <c r="G6436" i="25"/>
  <c r="G6437" i="25"/>
  <c r="G6438" i="25"/>
  <c r="G6439" i="25"/>
  <c r="G6440" i="25"/>
  <c r="G6441" i="25"/>
  <c r="G6442" i="25"/>
  <c r="G6443" i="25"/>
  <c r="G6444" i="25"/>
  <c r="G6445" i="25"/>
  <c r="G6446" i="25"/>
  <c r="G6447" i="25"/>
  <c r="G6448" i="25"/>
  <c r="G6449" i="25"/>
  <c r="G6450" i="25"/>
  <c r="G6451" i="25"/>
  <c r="G6452" i="25"/>
  <c r="G6453" i="25"/>
  <c r="G6454" i="25"/>
  <c r="G6455" i="25"/>
  <c r="G6456" i="25"/>
  <c r="G6457" i="25"/>
  <c r="G6458" i="25"/>
  <c r="G6459" i="25"/>
  <c r="G6460" i="25"/>
  <c r="G6461" i="25"/>
  <c r="G6462" i="25"/>
  <c r="G6463" i="25"/>
  <c r="G6464" i="25"/>
  <c r="G6465" i="25"/>
  <c r="G6466" i="25"/>
  <c r="G6467" i="25"/>
  <c r="G6468" i="25"/>
  <c r="G6469" i="25"/>
  <c r="G6470" i="25"/>
  <c r="G6471" i="25"/>
  <c r="G6472" i="25"/>
  <c r="G6473" i="25"/>
  <c r="G6474" i="25"/>
  <c r="G6475" i="25"/>
  <c r="G6476" i="25"/>
  <c r="G6477" i="25"/>
  <c r="G6478" i="25"/>
  <c r="G6479" i="25"/>
  <c r="G6480" i="25"/>
  <c r="G6481" i="25"/>
  <c r="G6482" i="25"/>
  <c r="G6483" i="25"/>
  <c r="G6484" i="25"/>
  <c r="G6485" i="25"/>
  <c r="G6486" i="25"/>
  <c r="G6487" i="25"/>
  <c r="G6488" i="25"/>
  <c r="G6489" i="25"/>
  <c r="G6490" i="25"/>
  <c r="G6491" i="25"/>
  <c r="G6492" i="25"/>
  <c r="G6493" i="25"/>
  <c r="G6494" i="25"/>
  <c r="G6495" i="25"/>
  <c r="G6496" i="25"/>
  <c r="G6497" i="25"/>
  <c r="G6498" i="25"/>
  <c r="G6499" i="25"/>
  <c r="G6500" i="25"/>
  <c r="G6501" i="25"/>
  <c r="G6502" i="25"/>
  <c r="G6503" i="25"/>
  <c r="G6504" i="25"/>
  <c r="G6505" i="25"/>
  <c r="G6506" i="25"/>
  <c r="G6507" i="25"/>
  <c r="G6508" i="25"/>
  <c r="G6509" i="25"/>
  <c r="G6510" i="25"/>
  <c r="G6511" i="25"/>
  <c r="G6512" i="25"/>
  <c r="G6513" i="25"/>
  <c r="G6514" i="25"/>
  <c r="G6515" i="25"/>
  <c r="G6516" i="25"/>
  <c r="G6517" i="25"/>
  <c r="G6518" i="25"/>
  <c r="G6519" i="25"/>
  <c r="G6520" i="25"/>
  <c r="G6521" i="25"/>
  <c r="G6522" i="25"/>
  <c r="G6523" i="25"/>
  <c r="G6524" i="25"/>
  <c r="G6525" i="25"/>
  <c r="G6526" i="25"/>
  <c r="G6527" i="25"/>
  <c r="G6528" i="25"/>
  <c r="G6529" i="25"/>
  <c r="G6530" i="25"/>
  <c r="G6531" i="25"/>
  <c r="G6532" i="25"/>
  <c r="G6533" i="25"/>
  <c r="G6534" i="25"/>
  <c r="G6535" i="25"/>
  <c r="G6536" i="25"/>
  <c r="G6537" i="25"/>
  <c r="G6538" i="25"/>
  <c r="G6539" i="25"/>
  <c r="G6540" i="25"/>
  <c r="G6541" i="25"/>
  <c r="G6542" i="25"/>
  <c r="G6543" i="25"/>
  <c r="G6544" i="25"/>
  <c r="G6545" i="25"/>
  <c r="G6546" i="25"/>
  <c r="G6547" i="25"/>
  <c r="G6548" i="25"/>
  <c r="G6549" i="25"/>
  <c r="G6550" i="25"/>
  <c r="G6551" i="25"/>
  <c r="G6552" i="25"/>
  <c r="G6553" i="25"/>
  <c r="G6554" i="25"/>
  <c r="G6555" i="25"/>
  <c r="G6556" i="25"/>
  <c r="G6557" i="25"/>
  <c r="G6558" i="25"/>
  <c r="G6559" i="25"/>
  <c r="G6560" i="25"/>
  <c r="G6561" i="25"/>
  <c r="G6562" i="25"/>
  <c r="G6563" i="25"/>
  <c r="G6564" i="25"/>
  <c r="G6565" i="25"/>
  <c r="G6566" i="25"/>
  <c r="G6567" i="25"/>
  <c r="G6568" i="25"/>
  <c r="G6569" i="25"/>
  <c r="G6570" i="25"/>
  <c r="G6571" i="25"/>
  <c r="G6572" i="25"/>
  <c r="G6573" i="25"/>
  <c r="G6574" i="25"/>
  <c r="G6575" i="25"/>
  <c r="G6576" i="25"/>
  <c r="G6577" i="25"/>
  <c r="G6578" i="25"/>
  <c r="G6579" i="25"/>
  <c r="G6580" i="25"/>
  <c r="G6581" i="25"/>
  <c r="G6582" i="25"/>
  <c r="G6583" i="25"/>
  <c r="G6584" i="25"/>
  <c r="G6585" i="25"/>
  <c r="G6586" i="25"/>
  <c r="G6587" i="25"/>
  <c r="G6588" i="25"/>
  <c r="G6589" i="25"/>
  <c r="G6590" i="25"/>
  <c r="G6591" i="25"/>
  <c r="G6592" i="25"/>
  <c r="G6593" i="25"/>
  <c r="G6594" i="25"/>
  <c r="G6595" i="25"/>
  <c r="G6596" i="25"/>
  <c r="G6597" i="25"/>
  <c r="G6598" i="25"/>
  <c r="G6599" i="25"/>
  <c r="G6600" i="25"/>
  <c r="G6601" i="25"/>
  <c r="G6602" i="25"/>
  <c r="G6603" i="25"/>
  <c r="G6604" i="25"/>
  <c r="G6605" i="25"/>
  <c r="G6606" i="25"/>
  <c r="G6607" i="25"/>
  <c r="G6608" i="25"/>
  <c r="G6609" i="25"/>
  <c r="G6610" i="25"/>
  <c r="G6611" i="25"/>
  <c r="G6612" i="25"/>
  <c r="G6613" i="25"/>
  <c r="G6614" i="25"/>
  <c r="G6615" i="25"/>
  <c r="G6616" i="25"/>
  <c r="G6617" i="25"/>
  <c r="G6618" i="25"/>
  <c r="G6619" i="25"/>
  <c r="G6620" i="25"/>
  <c r="G6621" i="25"/>
  <c r="G6622" i="25"/>
  <c r="G6623" i="25"/>
  <c r="G6624" i="25"/>
  <c r="G6625" i="25"/>
  <c r="G6626" i="25"/>
  <c r="G6627" i="25"/>
  <c r="G6628" i="25"/>
  <c r="G6629" i="25"/>
  <c r="G6630" i="25"/>
  <c r="G6631" i="25"/>
  <c r="G6632" i="25"/>
  <c r="G6633" i="25"/>
  <c r="G6634" i="25"/>
  <c r="G6635" i="25"/>
  <c r="G6636" i="25"/>
  <c r="G6637" i="25"/>
  <c r="G6638" i="25"/>
  <c r="G6639" i="25"/>
  <c r="G6640" i="25"/>
  <c r="G6641" i="25"/>
  <c r="G6642" i="25"/>
  <c r="G6643" i="25"/>
  <c r="G6644" i="25"/>
  <c r="G6645" i="25"/>
  <c r="G6646" i="25"/>
  <c r="G6647" i="25"/>
  <c r="G6648" i="25"/>
  <c r="G6649" i="25"/>
  <c r="G6650" i="25"/>
  <c r="G6651" i="25"/>
  <c r="G6652" i="25"/>
  <c r="G6653" i="25"/>
  <c r="G6654" i="25"/>
  <c r="G6655" i="25"/>
  <c r="G6656" i="25"/>
  <c r="G6657" i="25"/>
  <c r="G6658" i="25"/>
  <c r="G6659" i="25"/>
  <c r="G6660" i="25"/>
  <c r="G6661" i="25"/>
  <c r="G6662" i="25"/>
  <c r="G6663" i="25"/>
  <c r="G6664" i="25"/>
  <c r="G6665" i="25"/>
  <c r="G6666" i="25"/>
  <c r="G6667" i="25"/>
  <c r="G6668" i="25"/>
  <c r="G6669" i="25"/>
  <c r="G6670" i="25"/>
  <c r="G6671" i="25"/>
  <c r="G6672" i="25"/>
  <c r="G6673" i="25"/>
  <c r="G6674" i="25"/>
  <c r="G6675" i="25"/>
  <c r="G6676" i="25"/>
  <c r="G6677" i="25"/>
  <c r="G6678" i="25"/>
  <c r="G6679" i="25"/>
  <c r="G6680" i="25"/>
  <c r="G6681" i="25"/>
  <c r="G6682" i="25"/>
  <c r="G6683" i="25"/>
  <c r="G6684" i="25"/>
  <c r="G6685" i="25"/>
  <c r="G6686" i="25"/>
  <c r="G6687" i="25"/>
  <c r="G6688" i="25"/>
  <c r="G6689" i="25"/>
  <c r="G6690" i="25"/>
  <c r="G6691" i="25"/>
  <c r="G6692" i="25"/>
  <c r="G6693" i="25"/>
  <c r="G6694" i="25"/>
  <c r="G6695" i="25"/>
  <c r="G6696" i="25"/>
  <c r="G6697" i="25"/>
  <c r="G6698" i="25"/>
  <c r="G6699" i="25"/>
  <c r="G6700" i="25"/>
  <c r="G6701" i="25"/>
  <c r="G6702" i="25"/>
  <c r="G6703" i="25"/>
  <c r="G6704" i="25"/>
  <c r="G6705" i="25"/>
  <c r="G6706" i="25"/>
  <c r="G6707" i="25"/>
  <c r="G6708" i="25"/>
  <c r="G6709" i="25"/>
  <c r="G6710" i="25"/>
  <c r="G6711" i="25"/>
  <c r="G6712" i="25"/>
  <c r="G6713" i="25"/>
  <c r="G6714" i="25"/>
  <c r="G6715" i="25"/>
  <c r="G6716" i="25"/>
  <c r="G6717" i="25"/>
  <c r="G6718" i="25"/>
  <c r="G6719" i="25"/>
  <c r="G6720" i="25"/>
  <c r="G6721" i="25"/>
  <c r="G6722" i="25"/>
  <c r="G6723" i="25"/>
  <c r="G6724" i="25"/>
  <c r="G6725" i="25"/>
  <c r="G6726" i="25"/>
  <c r="G6727" i="25"/>
  <c r="G6728" i="25"/>
  <c r="G6729" i="25"/>
  <c r="G6730" i="25"/>
  <c r="G6731" i="25"/>
  <c r="G6732" i="25"/>
  <c r="G6733" i="25"/>
  <c r="G6734" i="25"/>
  <c r="G6735" i="25"/>
  <c r="G6736" i="25"/>
  <c r="G6737" i="25"/>
  <c r="G6738" i="25"/>
  <c r="G6739" i="25"/>
  <c r="G6740" i="25"/>
  <c r="G6741" i="25"/>
  <c r="G6742" i="25"/>
  <c r="G6743" i="25"/>
  <c r="G6744" i="25"/>
  <c r="G6745" i="25"/>
  <c r="G6746" i="25"/>
  <c r="G6747" i="25"/>
  <c r="G6748" i="25"/>
  <c r="G6749" i="25"/>
  <c r="G6750" i="25"/>
  <c r="G6751" i="25"/>
  <c r="G6752" i="25"/>
  <c r="G6753" i="25"/>
  <c r="G6754" i="25"/>
  <c r="G6755" i="25"/>
  <c r="G6756" i="25"/>
  <c r="G6757" i="25"/>
  <c r="G6758" i="25"/>
  <c r="G6759" i="25"/>
  <c r="G6760" i="25"/>
  <c r="G6761" i="25"/>
  <c r="G6762" i="25"/>
  <c r="G6763" i="25"/>
  <c r="G6764" i="25"/>
  <c r="G6765" i="25"/>
  <c r="G6766" i="25"/>
  <c r="G6767" i="25"/>
  <c r="G6768" i="25"/>
  <c r="G6769" i="25"/>
  <c r="G6770" i="25"/>
  <c r="G6771" i="25"/>
  <c r="G6772" i="25"/>
  <c r="G6773" i="25"/>
  <c r="G6774" i="25"/>
  <c r="G6775" i="25"/>
  <c r="G6776" i="25"/>
  <c r="G6777" i="25"/>
  <c r="G6778" i="25"/>
  <c r="G6779" i="25"/>
  <c r="G6780" i="25"/>
  <c r="G6781" i="25"/>
  <c r="G6782" i="25"/>
  <c r="G6783" i="25"/>
  <c r="G6784" i="25"/>
  <c r="G6785" i="25"/>
  <c r="G6786" i="25"/>
  <c r="G6787" i="25"/>
  <c r="G6788" i="25"/>
  <c r="G6789" i="25"/>
  <c r="G6790" i="25"/>
  <c r="G6791" i="25"/>
  <c r="G6792" i="25"/>
  <c r="G6793" i="25"/>
  <c r="G6794" i="25"/>
  <c r="G6795" i="25"/>
  <c r="G6796" i="25"/>
  <c r="G6797" i="25"/>
  <c r="G6798" i="25"/>
  <c r="G6799" i="25"/>
  <c r="G6800" i="25"/>
  <c r="G6801" i="25"/>
  <c r="G6802" i="25"/>
  <c r="G6803" i="25"/>
  <c r="G6804" i="25"/>
  <c r="G6805" i="25"/>
  <c r="G6806" i="25"/>
  <c r="G6807" i="25"/>
  <c r="G6808" i="25"/>
  <c r="G6809" i="25"/>
  <c r="G6810" i="25"/>
  <c r="G6811" i="25"/>
  <c r="G6812" i="25"/>
  <c r="G6813" i="25"/>
  <c r="G6814" i="25"/>
  <c r="G6815" i="25"/>
  <c r="G6816" i="25"/>
  <c r="G6817" i="25"/>
  <c r="G6818" i="25"/>
  <c r="G6819" i="25"/>
  <c r="G6820" i="25"/>
  <c r="G6821" i="25"/>
  <c r="G6822" i="25"/>
  <c r="G6823" i="25"/>
  <c r="G6824" i="25"/>
  <c r="G6825" i="25"/>
  <c r="G6826" i="25"/>
  <c r="G6827" i="25"/>
  <c r="G6828" i="25"/>
  <c r="G6829" i="25"/>
  <c r="G6830" i="25"/>
  <c r="G6831" i="25"/>
  <c r="G6832" i="25"/>
  <c r="G6833" i="25"/>
  <c r="G6834" i="25"/>
  <c r="G6835" i="25"/>
  <c r="G6836" i="25"/>
  <c r="G6837" i="25"/>
  <c r="G6838" i="25"/>
  <c r="G6839" i="25"/>
  <c r="G6840" i="25"/>
  <c r="G6841" i="25"/>
  <c r="G6842" i="25"/>
  <c r="G6843" i="25"/>
  <c r="G6844" i="25"/>
  <c r="G6845" i="25"/>
  <c r="G6846" i="25"/>
  <c r="G6847" i="25"/>
  <c r="G6848" i="25"/>
  <c r="G6849" i="25"/>
  <c r="G6850" i="25"/>
  <c r="G6851" i="25"/>
  <c r="G6852" i="25"/>
  <c r="G6853" i="25"/>
  <c r="G6854" i="25"/>
  <c r="G6855" i="25"/>
  <c r="G6856" i="25"/>
  <c r="G6857" i="25"/>
  <c r="G6858" i="25"/>
  <c r="G6859" i="25"/>
  <c r="G6860" i="25"/>
  <c r="G6861" i="25"/>
  <c r="G6862" i="25"/>
  <c r="G6863" i="25"/>
  <c r="G6864" i="25"/>
  <c r="G6865" i="25"/>
  <c r="G6866" i="25"/>
  <c r="G6867" i="25"/>
  <c r="G6868" i="25"/>
  <c r="G6869" i="25"/>
  <c r="G6870" i="25"/>
  <c r="G6871" i="25"/>
  <c r="G6872" i="25"/>
  <c r="G6873" i="25"/>
  <c r="G6874" i="25"/>
  <c r="G6875" i="25"/>
  <c r="G6876" i="25"/>
  <c r="G6877" i="25"/>
  <c r="G6878" i="25"/>
  <c r="G6879" i="25"/>
  <c r="G6880" i="25"/>
  <c r="G6881" i="25"/>
  <c r="G6882" i="25"/>
  <c r="G6883" i="25"/>
  <c r="G6884" i="25"/>
  <c r="G6885" i="25"/>
  <c r="G6886" i="25"/>
  <c r="G6887" i="25"/>
  <c r="G6888" i="25"/>
  <c r="G6889" i="25"/>
  <c r="G6890" i="25"/>
  <c r="G6891" i="25"/>
  <c r="G6892" i="25"/>
  <c r="G6893" i="25"/>
  <c r="G6894" i="25"/>
  <c r="G6895" i="25"/>
  <c r="G6896" i="25"/>
  <c r="G6897" i="25"/>
  <c r="G6898" i="25"/>
  <c r="G6899" i="25"/>
  <c r="G6900" i="25"/>
  <c r="G6901" i="25"/>
  <c r="G6902" i="25"/>
  <c r="G6903" i="25"/>
  <c r="G6904" i="25"/>
  <c r="G6905" i="25"/>
  <c r="G6906" i="25"/>
  <c r="G6907" i="25"/>
  <c r="G6908" i="25"/>
  <c r="G6909" i="25"/>
  <c r="G6910" i="25"/>
  <c r="G6911" i="25"/>
  <c r="G6912" i="25"/>
  <c r="G6913" i="25"/>
  <c r="G6914" i="25"/>
  <c r="G6915" i="25"/>
  <c r="G6916" i="25"/>
  <c r="G6917" i="25"/>
  <c r="G6918" i="25"/>
  <c r="G6919" i="25"/>
  <c r="G6920" i="25"/>
  <c r="G6921" i="25"/>
  <c r="G6922" i="25"/>
  <c r="G6923" i="25"/>
  <c r="G6924" i="25"/>
  <c r="G6925" i="25"/>
  <c r="G6926" i="25"/>
  <c r="G6927" i="25"/>
  <c r="G6928" i="25"/>
  <c r="G6929" i="25"/>
  <c r="G6930" i="25"/>
  <c r="G6931" i="25"/>
  <c r="G6932" i="25"/>
  <c r="G6933" i="25"/>
  <c r="G6934" i="25"/>
  <c r="G6935" i="25"/>
  <c r="G6936" i="25"/>
  <c r="G6937" i="25"/>
  <c r="G6938" i="25"/>
  <c r="G6939" i="25"/>
  <c r="G6940" i="25"/>
  <c r="G6941" i="25"/>
  <c r="G6942" i="25"/>
  <c r="G6943" i="25"/>
  <c r="G6944" i="25"/>
  <c r="G6945" i="25"/>
  <c r="G6946" i="25"/>
  <c r="G6947" i="25"/>
  <c r="G6948" i="25"/>
  <c r="G6949" i="25"/>
  <c r="G6950" i="25"/>
  <c r="G6951" i="25"/>
  <c r="G6952" i="25"/>
  <c r="G6953" i="25"/>
  <c r="G6954" i="25"/>
  <c r="G6955" i="25"/>
  <c r="G6956" i="25"/>
  <c r="G6957" i="25"/>
  <c r="G6958" i="25"/>
  <c r="G6959" i="25"/>
  <c r="G6960" i="25"/>
  <c r="G6961" i="25"/>
  <c r="G6962" i="25"/>
  <c r="G6963" i="25"/>
  <c r="G6964" i="25"/>
  <c r="G6965" i="25"/>
  <c r="G6966" i="25"/>
  <c r="G6967" i="25"/>
  <c r="G6968" i="25"/>
  <c r="G6969" i="25"/>
  <c r="G6970" i="25"/>
  <c r="G6971" i="25"/>
  <c r="G6972" i="25"/>
  <c r="G6973" i="25"/>
  <c r="G6974" i="25"/>
  <c r="G6975" i="25"/>
  <c r="G6976" i="25"/>
  <c r="G6977" i="25"/>
  <c r="G6978" i="25"/>
  <c r="G6979" i="25"/>
  <c r="G6980" i="25"/>
  <c r="G6981" i="25"/>
  <c r="G6982" i="25"/>
  <c r="G6983" i="25"/>
  <c r="G6984" i="25"/>
  <c r="G6985" i="25"/>
  <c r="G6986" i="25"/>
  <c r="G6987" i="25"/>
  <c r="G6988" i="25"/>
  <c r="G6989" i="25"/>
  <c r="G6990" i="25"/>
  <c r="G6991" i="25"/>
  <c r="G6992" i="25"/>
  <c r="G6993" i="25"/>
  <c r="G6994" i="25"/>
  <c r="G6995" i="25"/>
  <c r="G6996" i="25"/>
  <c r="G6997" i="25"/>
  <c r="G6998" i="25"/>
  <c r="G6999" i="25"/>
  <c r="G7000" i="25"/>
  <c r="G7001" i="25"/>
  <c r="G7002" i="25"/>
  <c r="G7003" i="25"/>
  <c r="G7004" i="25"/>
  <c r="G7005" i="25"/>
  <c r="G7006" i="25"/>
  <c r="G7007" i="25"/>
  <c r="G7008" i="25"/>
  <c r="G7009" i="25"/>
  <c r="G7010" i="25"/>
  <c r="G7011" i="25"/>
  <c r="G7012" i="25"/>
  <c r="G7013" i="25"/>
  <c r="G7014" i="25"/>
  <c r="G7015" i="25"/>
  <c r="G7016" i="25"/>
  <c r="G7017" i="25"/>
  <c r="G7018" i="25"/>
  <c r="G7019" i="25"/>
  <c r="G7020" i="25"/>
  <c r="G7021" i="25"/>
  <c r="G7022" i="25"/>
  <c r="G7023" i="25"/>
  <c r="G7024" i="25"/>
  <c r="G7025" i="25"/>
  <c r="G7026" i="25"/>
  <c r="G7027" i="25"/>
  <c r="G7028" i="25"/>
  <c r="G7029" i="25"/>
  <c r="G7030" i="25"/>
  <c r="G7031" i="25"/>
  <c r="G7032" i="25"/>
  <c r="G7033" i="25"/>
  <c r="G7034" i="25"/>
  <c r="G7035" i="25"/>
  <c r="G7036" i="25"/>
  <c r="G7037" i="25"/>
  <c r="G7038" i="25"/>
  <c r="G7039" i="25"/>
  <c r="G7040" i="25"/>
  <c r="G7041" i="25"/>
  <c r="G7042" i="25"/>
  <c r="G7043" i="25"/>
  <c r="G7044" i="25"/>
  <c r="G7045" i="25"/>
  <c r="G7046" i="25"/>
  <c r="G7047" i="25"/>
  <c r="G7048" i="25"/>
  <c r="G7049" i="25"/>
  <c r="G7050" i="25"/>
  <c r="G7051" i="25"/>
  <c r="G7052" i="25"/>
  <c r="G7053" i="25"/>
  <c r="G7054" i="25"/>
  <c r="G7055" i="25"/>
  <c r="G7056" i="25"/>
  <c r="G7057" i="25"/>
  <c r="G7058" i="25"/>
  <c r="G7059" i="25"/>
  <c r="G7060" i="25"/>
  <c r="G7061" i="25"/>
  <c r="G7062" i="25"/>
  <c r="G7063" i="25"/>
  <c r="G7064" i="25"/>
  <c r="G7065" i="25"/>
  <c r="G7066" i="25"/>
  <c r="G7067" i="25"/>
  <c r="G7068" i="25"/>
  <c r="G7069" i="25"/>
  <c r="G7070" i="25"/>
  <c r="G7071" i="25"/>
  <c r="G7072" i="25"/>
  <c r="G7073" i="25"/>
  <c r="G7074" i="25"/>
  <c r="G7075" i="25"/>
  <c r="G7076" i="25"/>
  <c r="G7077" i="25"/>
  <c r="G7078" i="25"/>
  <c r="G7079" i="25"/>
  <c r="G7080" i="25"/>
  <c r="G7081" i="25"/>
  <c r="G7082" i="25"/>
  <c r="G7083" i="25"/>
  <c r="G7084" i="25"/>
  <c r="G7085" i="25"/>
  <c r="G7086" i="25"/>
  <c r="G7087" i="25"/>
  <c r="G7088" i="25"/>
  <c r="G7089" i="25"/>
  <c r="G7090" i="25"/>
  <c r="G7091" i="25"/>
  <c r="G7092" i="25"/>
  <c r="G7093" i="25"/>
  <c r="G7094" i="25"/>
  <c r="G7095" i="25"/>
  <c r="G7096" i="25"/>
  <c r="G7097" i="25"/>
  <c r="G7098" i="25"/>
  <c r="G7099" i="25"/>
  <c r="G7100" i="25"/>
  <c r="G7101" i="25"/>
  <c r="G7102" i="25"/>
  <c r="G7103" i="25"/>
  <c r="G7104" i="25"/>
  <c r="G7105" i="25"/>
  <c r="G7106" i="25"/>
  <c r="G7107" i="25"/>
  <c r="G7108" i="25"/>
  <c r="G7109" i="25"/>
  <c r="G7110" i="25"/>
  <c r="G7111" i="25"/>
  <c r="G7112" i="25"/>
  <c r="G7113" i="25"/>
  <c r="G7114" i="25"/>
  <c r="G7115" i="25"/>
  <c r="G7116" i="25"/>
  <c r="G7117" i="25"/>
  <c r="G7118" i="25"/>
  <c r="G7119" i="25"/>
  <c r="G7120" i="25"/>
  <c r="G7121" i="25"/>
  <c r="G7122" i="25"/>
  <c r="G7123" i="25"/>
  <c r="G7124" i="25"/>
  <c r="G7125" i="25"/>
  <c r="G7126" i="25"/>
  <c r="G7127" i="25"/>
  <c r="G7128" i="25"/>
  <c r="G7129" i="25"/>
  <c r="G7130" i="25"/>
  <c r="G7131" i="25"/>
  <c r="G7132" i="25"/>
  <c r="G7133" i="25"/>
  <c r="G7134" i="25"/>
  <c r="G7135" i="25"/>
  <c r="G7136" i="25"/>
  <c r="G7137" i="25"/>
  <c r="G7138" i="25"/>
  <c r="G7139" i="25"/>
  <c r="G7140" i="25"/>
  <c r="G7141" i="25"/>
  <c r="G7142" i="25"/>
  <c r="G7143" i="25"/>
  <c r="G7144" i="25"/>
  <c r="G7145" i="25"/>
  <c r="G7146" i="25"/>
  <c r="G7147" i="25"/>
  <c r="G7148" i="25"/>
  <c r="G7149" i="25"/>
  <c r="G7150" i="25"/>
  <c r="G7151" i="25"/>
  <c r="G7152" i="25"/>
  <c r="G7153" i="25"/>
  <c r="G7154" i="25"/>
  <c r="G7155" i="25"/>
  <c r="G7156" i="25"/>
  <c r="G7157" i="25"/>
  <c r="G7158" i="25"/>
  <c r="G7159" i="25"/>
  <c r="G7160" i="25"/>
  <c r="G7161" i="25"/>
  <c r="G7162" i="25"/>
  <c r="G7163" i="25"/>
  <c r="G7164" i="25"/>
  <c r="G7165" i="25"/>
  <c r="G7166" i="25"/>
  <c r="G7167" i="25"/>
  <c r="G7168" i="25"/>
  <c r="G7169" i="25"/>
  <c r="G7170" i="25"/>
  <c r="G7171" i="25"/>
  <c r="G7172" i="25"/>
  <c r="G7173" i="25"/>
  <c r="G7174" i="25"/>
  <c r="G7175" i="25"/>
  <c r="G7176" i="25"/>
  <c r="G7177" i="25"/>
  <c r="G7178" i="25"/>
  <c r="G7179" i="25"/>
  <c r="G7180" i="25"/>
  <c r="G7181" i="25"/>
  <c r="G7182" i="25"/>
  <c r="G7183" i="25"/>
  <c r="G7184" i="25"/>
  <c r="G7185" i="25"/>
  <c r="G7186" i="25"/>
  <c r="G7187" i="25"/>
  <c r="G7188" i="25"/>
  <c r="G7189" i="25"/>
  <c r="G7190" i="25"/>
  <c r="G7191" i="25"/>
  <c r="G7192" i="25"/>
  <c r="G7193" i="25"/>
  <c r="G7194" i="25"/>
  <c r="G7195" i="25"/>
  <c r="G7196" i="25"/>
  <c r="G7197" i="25"/>
  <c r="G7198" i="25"/>
  <c r="G7199" i="25"/>
  <c r="G7200" i="25"/>
  <c r="G7201" i="25"/>
  <c r="G7202" i="25"/>
  <c r="G7203" i="25"/>
  <c r="G7204" i="25"/>
  <c r="G7205" i="25"/>
  <c r="G7206" i="25"/>
  <c r="G7207" i="25"/>
  <c r="G7208" i="25"/>
  <c r="G7209" i="25"/>
  <c r="G7210" i="25"/>
  <c r="G7211" i="25"/>
  <c r="G7212" i="25"/>
  <c r="G7213" i="25"/>
  <c r="G7214" i="25"/>
  <c r="G7215" i="25"/>
  <c r="G7216" i="25"/>
  <c r="G7217" i="25"/>
  <c r="G7218" i="25"/>
  <c r="G7219" i="25"/>
  <c r="G7220" i="25"/>
  <c r="G7221" i="25"/>
  <c r="G7222" i="25"/>
  <c r="G7223" i="25"/>
  <c r="G7224" i="25"/>
  <c r="G7225" i="25"/>
  <c r="G7226" i="25"/>
  <c r="G7227" i="25"/>
  <c r="G7228" i="25"/>
  <c r="G7229" i="25"/>
  <c r="G7230" i="25"/>
  <c r="G7231" i="25"/>
  <c r="G7232" i="25"/>
  <c r="G7233" i="25"/>
  <c r="G7234" i="25"/>
  <c r="G7235" i="25"/>
  <c r="G7236" i="25"/>
  <c r="G7237" i="25"/>
  <c r="G7238" i="25"/>
  <c r="G7239" i="25"/>
  <c r="G7240" i="25"/>
  <c r="G7241" i="25"/>
  <c r="G7242" i="25"/>
  <c r="G7243" i="25"/>
  <c r="G7244" i="25"/>
  <c r="G7245" i="25"/>
  <c r="G7246" i="25"/>
  <c r="G7247" i="25"/>
  <c r="G7248" i="25"/>
  <c r="G7249" i="25"/>
  <c r="G7250" i="25"/>
  <c r="G7251" i="25"/>
  <c r="G7252" i="25"/>
  <c r="G7253" i="25"/>
  <c r="G7254" i="25"/>
  <c r="G7255" i="25"/>
  <c r="G7256" i="25"/>
  <c r="G7257" i="25"/>
  <c r="G7258" i="25"/>
  <c r="G7259" i="25"/>
  <c r="G7260" i="25"/>
  <c r="G7261" i="25"/>
  <c r="G7262" i="25"/>
  <c r="G7263" i="25"/>
  <c r="G7264" i="25"/>
  <c r="G7265" i="25"/>
  <c r="G7266" i="25"/>
  <c r="G7267" i="25"/>
  <c r="G7268" i="25"/>
  <c r="G7269" i="25"/>
  <c r="G7270" i="25"/>
  <c r="G7271" i="25"/>
  <c r="G7272" i="25"/>
  <c r="G7273" i="25"/>
  <c r="G7274" i="25"/>
  <c r="G7275" i="25"/>
  <c r="G7276" i="25"/>
  <c r="G7277" i="25"/>
  <c r="G7278" i="25"/>
  <c r="G7279" i="25"/>
  <c r="G7280" i="25"/>
  <c r="G7281" i="25"/>
  <c r="G7282" i="25"/>
  <c r="G7283" i="25"/>
  <c r="G7284" i="25"/>
  <c r="G7285" i="25"/>
  <c r="G7286" i="25"/>
  <c r="G7287" i="25"/>
  <c r="G7288" i="25"/>
  <c r="G7289" i="25"/>
  <c r="G7290" i="25"/>
  <c r="G7291" i="25"/>
  <c r="G7292" i="25"/>
  <c r="G7293" i="25"/>
  <c r="G7294" i="25"/>
  <c r="G7295" i="25"/>
  <c r="G7296" i="25"/>
  <c r="G7297" i="25"/>
  <c r="G7298" i="25"/>
  <c r="G7299" i="25"/>
  <c r="G7300" i="25"/>
  <c r="G7301" i="25"/>
  <c r="G7302" i="25"/>
  <c r="G7303" i="25"/>
  <c r="G7304" i="25"/>
  <c r="G7305" i="25"/>
  <c r="G7306" i="25"/>
  <c r="G7307" i="25"/>
  <c r="G7308" i="25"/>
  <c r="G7309" i="25"/>
  <c r="G7310" i="25"/>
  <c r="G7311" i="25"/>
  <c r="G7312" i="25"/>
  <c r="G7313" i="25"/>
  <c r="G7314" i="25"/>
  <c r="G7315" i="25"/>
  <c r="G7316" i="25"/>
  <c r="G7317" i="25"/>
  <c r="G7318" i="25"/>
  <c r="G7319" i="25"/>
  <c r="G7320" i="25"/>
  <c r="G7321" i="25"/>
  <c r="G7322" i="25"/>
  <c r="G7323" i="25"/>
  <c r="G7324" i="25"/>
  <c r="G7325" i="25"/>
  <c r="G7326" i="25"/>
  <c r="G7327" i="25"/>
  <c r="G7328" i="25"/>
  <c r="G7329" i="25"/>
  <c r="G7330" i="25"/>
  <c r="G7331" i="25"/>
  <c r="G7332" i="25"/>
  <c r="G7333" i="25"/>
  <c r="G7334" i="25"/>
  <c r="G7335" i="25"/>
  <c r="G7336" i="25"/>
  <c r="G7337" i="25"/>
  <c r="G7338" i="25"/>
  <c r="G7339" i="25"/>
  <c r="G7340" i="25"/>
  <c r="G7341" i="25"/>
  <c r="G7342" i="25"/>
  <c r="G7343" i="25"/>
  <c r="G7344" i="25"/>
  <c r="G7345" i="25"/>
  <c r="G7346" i="25"/>
  <c r="G7347" i="25"/>
  <c r="G7348" i="25"/>
  <c r="G7349" i="25"/>
  <c r="G7350" i="25"/>
  <c r="G7351" i="25"/>
  <c r="G7352" i="25"/>
  <c r="G7353" i="25"/>
  <c r="G7354" i="25"/>
  <c r="G7355" i="25"/>
  <c r="G7356" i="25"/>
  <c r="G7357" i="25"/>
  <c r="G7358" i="25"/>
  <c r="G7359" i="25"/>
  <c r="G7360" i="25"/>
  <c r="G7361" i="25"/>
  <c r="G7362" i="25"/>
  <c r="G7363" i="25"/>
  <c r="G7364" i="25"/>
  <c r="G7365" i="25"/>
  <c r="G7366" i="25"/>
  <c r="G7367" i="25"/>
  <c r="G7368" i="25"/>
  <c r="G7369" i="25"/>
  <c r="G7370" i="25"/>
  <c r="G7371" i="25"/>
  <c r="G7372" i="25"/>
  <c r="G7373" i="25"/>
  <c r="G7374" i="25"/>
  <c r="G7375" i="25"/>
  <c r="G7376" i="25"/>
  <c r="G7377" i="25"/>
  <c r="G7378" i="25"/>
  <c r="G7379" i="25"/>
  <c r="G7380" i="25"/>
  <c r="G7381" i="25"/>
  <c r="G7382" i="25"/>
  <c r="G7383" i="25"/>
  <c r="G7384" i="25"/>
  <c r="G7385" i="25"/>
  <c r="G7386" i="25"/>
  <c r="G7387" i="25"/>
  <c r="G7388" i="25"/>
  <c r="G7389" i="25"/>
  <c r="G7390" i="25"/>
  <c r="G7391" i="25"/>
  <c r="G7392" i="25"/>
  <c r="G7393" i="25"/>
  <c r="G7394" i="25"/>
  <c r="G7395" i="25"/>
  <c r="G7396" i="25"/>
  <c r="G7397" i="25"/>
  <c r="G7398" i="25"/>
  <c r="G7399" i="25"/>
  <c r="G7400" i="25"/>
  <c r="G7401" i="25"/>
  <c r="G7402" i="25"/>
  <c r="G7403" i="25"/>
  <c r="G7404" i="25"/>
  <c r="G7405" i="25"/>
  <c r="G7406" i="25"/>
  <c r="G7407" i="25"/>
  <c r="G7408" i="25"/>
  <c r="G7409" i="25"/>
  <c r="G7410" i="25"/>
  <c r="G7411" i="25"/>
  <c r="G7412" i="25"/>
  <c r="G7413" i="25"/>
  <c r="G7414" i="25"/>
  <c r="G7415" i="25"/>
  <c r="G7416" i="25"/>
  <c r="G7417" i="25"/>
  <c r="G7418" i="25"/>
  <c r="G7419" i="25"/>
  <c r="G7420" i="25"/>
  <c r="G7421" i="25"/>
  <c r="G7422" i="25"/>
  <c r="G7423" i="25"/>
  <c r="G7424" i="25"/>
  <c r="G7425" i="25"/>
  <c r="G7426" i="25"/>
  <c r="G7427" i="25"/>
  <c r="G7428" i="25"/>
  <c r="G7429" i="25"/>
  <c r="G7430" i="25"/>
  <c r="G7431" i="25"/>
  <c r="G7432" i="25"/>
  <c r="G7433" i="25"/>
  <c r="G7434" i="25"/>
  <c r="G7435" i="25"/>
  <c r="G7436" i="25"/>
  <c r="G7437" i="25"/>
  <c r="G7438" i="25"/>
  <c r="G7439" i="25"/>
  <c r="G7440" i="25"/>
  <c r="G7441" i="25"/>
  <c r="G7442" i="25"/>
  <c r="G7443" i="25"/>
  <c r="G7444" i="25"/>
  <c r="G7445" i="25"/>
  <c r="G7446" i="25"/>
  <c r="G7447" i="25"/>
  <c r="G7448" i="25"/>
  <c r="G7449" i="25"/>
  <c r="G7450" i="25"/>
  <c r="G7451" i="25"/>
  <c r="G7452" i="25"/>
  <c r="G7453" i="25"/>
  <c r="G7454" i="25"/>
  <c r="G7455" i="25"/>
  <c r="G7456" i="25"/>
  <c r="G7457" i="25"/>
  <c r="G7458" i="25"/>
  <c r="G7459" i="25"/>
  <c r="G7460" i="25"/>
  <c r="G7461" i="25"/>
  <c r="G7462" i="25"/>
  <c r="G7463" i="25"/>
  <c r="G7464" i="25"/>
  <c r="G7465" i="25"/>
  <c r="G7466" i="25"/>
  <c r="G7467" i="25"/>
  <c r="G7468" i="25"/>
  <c r="G7469" i="25"/>
  <c r="G7470" i="25"/>
  <c r="G7471" i="25"/>
  <c r="G7472" i="25"/>
  <c r="G7473" i="25"/>
  <c r="G7474" i="25"/>
  <c r="G7475" i="25"/>
  <c r="G7476" i="25"/>
  <c r="G7477" i="25"/>
  <c r="G7478" i="25"/>
  <c r="G7479" i="25"/>
  <c r="G7480" i="25"/>
  <c r="G7481" i="25"/>
  <c r="G7482" i="25"/>
  <c r="G7483" i="25"/>
  <c r="G7484" i="25"/>
  <c r="G7485" i="25"/>
  <c r="G7486" i="25"/>
  <c r="G7487" i="25"/>
  <c r="G7488" i="25"/>
  <c r="G7489" i="25"/>
  <c r="G7490" i="25"/>
  <c r="G7491" i="25"/>
  <c r="G7492" i="25"/>
  <c r="G7493" i="25"/>
  <c r="G7494" i="25"/>
  <c r="G7495" i="25"/>
  <c r="G7496" i="25"/>
  <c r="G7497" i="25"/>
  <c r="G7498" i="25"/>
  <c r="G7499" i="25"/>
  <c r="G7500" i="25"/>
  <c r="G7501" i="25"/>
  <c r="G7502" i="25"/>
  <c r="G7503" i="25"/>
  <c r="G7504" i="25"/>
  <c r="G7505" i="25"/>
  <c r="G7506" i="25"/>
  <c r="G7507" i="25"/>
  <c r="G7508" i="25"/>
  <c r="G7509" i="25"/>
  <c r="G7510" i="25"/>
  <c r="G7511" i="25"/>
  <c r="G7512" i="25"/>
  <c r="G7513" i="25"/>
  <c r="G7514" i="25"/>
  <c r="G7515" i="25"/>
  <c r="G7516" i="25"/>
  <c r="G7517" i="25"/>
  <c r="G7518" i="25"/>
  <c r="G7519" i="25"/>
  <c r="G7520" i="25"/>
  <c r="G7521" i="25"/>
  <c r="G7522" i="25"/>
  <c r="G7523" i="25"/>
  <c r="G7524" i="25"/>
  <c r="G7525" i="25"/>
  <c r="G7526" i="25"/>
  <c r="G7527" i="25"/>
  <c r="G7528" i="25"/>
  <c r="G7529" i="25"/>
  <c r="G7530" i="25"/>
  <c r="G7531" i="25"/>
  <c r="G7532" i="25"/>
  <c r="G7533" i="25"/>
  <c r="G7534" i="25"/>
  <c r="G7535" i="25"/>
  <c r="G7536" i="25"/>
  <c r="G7537" i="25"/>
  <c r="G7538" i="25"/>
  <c r="G7539" i="25"/>
  <c r="G7540" i="25"/>
  <c r="G7541" i="25"/>
  <c r="G7542" i="25"/>
  <c r="G7543" i="25"/>
  <c r="G7544" i="25"/>
  <c r="G7545" i="25"/>
  <c r="G7546" i="25"/>
  <c r="G7547" i="25"/>
  <c r="G7548" i="25"/>
  <c r="G7549" i="25"/>
  <c r="G7550" i="25"/>
  <c r="G7551" i="25"/>
  <c r="G7552" i="25"/>
  <c r="G7553" i="25"/>
  <c r="G7554" i="25"/>
  <c r="G7555" i="25"/>
  <c r="G7556" i="25"/>
  <c r="G7557" i="25"/>
  <c r="G7558" i="25"/>
  <c r="G7559" i="25"/>
  <c r="G7560" i="25"/>
  <c r="G7561" i="25"/>
  <c r="G7562" i="25"/>
  <c r="G7563" i="25"/>
  <c r="G7564" i="25"/>
  <c r="G7565" i="25"/>
  <c r="G7566" i="25"/>
  <c r="G7567" i="25"/>
  <c r="G7568" i="25"/>
  <c r="G7569" i="25"/>
  <c r="G7570" i="25"/>
  <c r="G7571" i="25"/>
  <c r="G7572" i="25"/>
  <c r="G7573" i="25"/>
  <c r="G7574" i="25"/>
  <c r="G7575" i="25"/>
  <c r="G7576" i="25"/>
  <c r="G7577" i="25"/>
  <c r="G7578" i="25"/>
  <c r="G7579" i="25"/>
  <c r="G7580" i="25"/>
  <c r="G7581" i="25"/>
  <c r="G7582" i="25"/>
  <c r="G7583" i="25"/>
  <c r="G7584" i="25"/>
  <c r="G7585" i="25"/>
  <c r="G7586" i="25"/>
  <c r="G7587" i="25"/>
  <c r="G7588" i="25"/>
  <c r="G7589" i="25"/>
  <c r="G7590" i="25"/>
  <c r="G7591" i="25"/>
  <c r="G7592" i="25"/>
  <c r="G7593" i="25"/>
  <c r="G7594" i="25"/>
  <c r="G7595" i="25"/>
  <c r="G7596" i="25"/>
  <c r="G7597" i="25"/>
  <c r="G7598" i="25"/>
  <c r="G7599" i="25"/>
  <c r="G7600" i="25"/>
  <c r="G7601" i="25"/>
  <c r="G7602" i="25"/>
  <c r="G7603" i="25"/>
  <c r="G7604" i="25"/>
  <c r="G7605" i="25"/>
  <c r="G7606" i="25"/>
  <c r="G7607" i="25"/>
  <c r="G7608" i="25"/>
  <c r="G7609" i="25"/>
  <c r="G7610" i="25"/>
  <c r="G7611" i="25"/>
  <c r="G7612" i="25"/>
  <c r="G7613" i="25"/>
  <c r="G7614" i="25"/>
  <c r="G7615" i="25"/>
  <c r="G7616" i="25"/>
  <c r="G7617" i="25"/>
  <c r="G7618" i="25"/>
  <c r="G7619" i="25"/>
  <c r="G7620" i="25"/>
  <c r="G7621" i="25"/>
  <c r="G7622" i="25"/>
  <c r="G7623" i="25"/>
  <c r="G7624" i="25"/>
  <c r="G7625" i="25"/>
  <c r="G7626" i="25"/>
  <c r="G7627" i="25"/>
  <c r="G7628" i="25"/>
  <c r="G7629" i="25"/>
  <c r="G7630" i="25"/>
  <c r="G7631" i="25"/>
  <c r="G7632" i="25"/>
  <c r="G7633" i="25"/>
  <c r="G7634" i="25"/>
  <c r="G7635" i="25"/>
  <c r="G7636" i="25"/>
  <c r="G7637" i="25"/>
  <c r="G7638" i="25"/>
  <c r="G7639" i="25"/>
  <c r="G7640" i="25"/>
  <c r="G7641" i="25"/>
  <c r="G7642" i="25"/>
  <c r="G7643" i="25"/>
  <c r="G7644" i="25"/>
  <c r="G7645" i="25"/>
  <c r="G7646" i="25"/>
  <c r="G7647" i="25"/>
  <c r="G7648" i="25"/>
  <c r="G7649" i="25"/>
  <c r="G7650" i="25"/>
  <c r="G7651" i="25"/>
  <c r="G7652" i="25"/>
  <c r="G7653" i="25"/>
  <c r="G7654" i="25"/>
  <c r="G7655" i="25"/>
  <c r="G7656" i="25"/>
  <c r="G7657" i="25"/>
  <c r="G7658" i="25"/>
  <c r="G7659" i="25"/>
  <c r="G7660" i="25"/>
  <c r="G7661" i="25"/>
  <c r="G7662" i="25"/>
  <c r="G7663" i="25"/>
  <c r="G7664" i="25"/>
  <c r="G7665" i="25"/>
  <c r="G7666" i="25"/>
  <c r="G7667" i="25"/>
  <c r="G7668" i="25"/>
  <c r="G7669" i="25"/>
  <c r="G7670" i="25"/>
  <c r="G7671" i="25"/>
  <c r="G7672" i="25"/>
  <c r="G7673" i="25"/>
  <c r="G7674" i="25"/>
  <c r="G7675" i="25"/>
  <c r="G7676" i="25"/>
  <c r="G7677" i="25"/>
  <c r="G7678" i="25"/>
  <c r="G7679" i="25"/>
  <c r="G7680" i="25"/>
  <c r="G7681" i="25"/>
  <c r="G7682" i="25"/>
  <c r="G7683" i="25"/>
  <c r="G7684" i="25"/>
  <c r="G7685" i="25"/>
  <c r="G7686" i="25"/>
  <c r="G7687" i="25"/>
  <c r="G7688" i="25"/>
  <c r="G7689" i="25"/>
  <c r="G7690" i="25"/>
  <c r="G7691" i="25"/>
  <c r="G7692" i="25"/>
  <c r="G7693" i="25"/>
  <c r="G7694" i="25"/>
  <c r="G7695" i="25"/>
  <c r="G7696" i="25"/>
  <c r="G7697" i="25"/>
  <c r="G7698" i="25"/>
  <c r="G7699" i="25"/>
  <c r="G7700" i="25"/>
  <c r="G7701" i="25"/>
  <c r="G7702" i="25"/>
  <c r="G7703" i="25"/>
  <c r="G7704" i="25"/>
  <c r="G7705" i="25"/>
  <c r="G7706" i="25"/>
  <c r="G7707" i="25"/>
  <c r="G7708" i="25"/>
  <c r="G7709" i="25"/>
  <c r="G7710" i="25"/>
  <c r="G7711" i="25"/>
  <c r="G7712" i="25"/>
  <c r="G7713" i="25"/>
  <c r="G7714" i="25"/>
  <c r="G7715" i="25"/>
  <c r="G7716" i="25"/>
  <c r="G7717" i="25"/>
  <c r="G7718" i="25"/>
  <c r="G7719" i="25"/>
  <c r="G7720" i="25"/>
  <c r="G7721" i="25"/>
  <c r="G7722" i="25"/>
  <c r="G7723" i="25"/>
  <c r="G7724" i="25"/>
  <c r="G7725" i="25"/>
  <c r="G7726" i="25"/>
  <c r="G7727" i="25"/>
  <c r="G7728" i="25"/>
  <c r="G7729" i="25"/>
  <c r="G7730" i="25"/>
  <c r="G7731" i="25"/>
  <c r="G7732" i="25"/>
  <c r="G7733" i="25"/>
  <c r="G7734" i="25"/>
  <c r="G7735" i="25"/>
  <c r="G7736" i="25"/>
  <c r="G7737" i="25"/>
  <c r="G7738" i="25"/>
  <c r="G7739" i="25"/>
  <c r="G7740" i="25"/>
  <c r="G7741" i="25"/>
  <c r="G7742" i="25"/>
  <c r="G7743" i="25"/>
  <c r="G7744" i="25"/>
  <c r="G7745" i="25"/>
  <c r="G7746" i="25"/>
  <c r="G7747" i="25"/>
  <c r="G7748" i="25"/>
  <c r="G7749" i="25"/>
  <c r="G7750" i="25"/>
  <c r="G7751" i="25"/>
  <c r="G7752" i="25"/>
  <c r="G7753" i="25"/>
  <c r="G7754" i="25"/>
  <c r="G7755" i="25"/>
  <c r="G7756" i="25"/>
  <c r="G7757" i="25"/>
  <c r="G7758" i="25"/>
  <c r="G7759" i="25"/>
  <c r="G7760" i="25"/>
  <c r="G7761" i="25"/>
  <c r="G7762" i="25"/>
  <c r="G7763" i="25"/>
  <c r="G7764" i="25"/>
  <c r="G7765" i="25"/>
  <c r="G7766" i="25"/>
  <c r="G7767" i="25"/>
  <c r="G7768" i="25"/>
  <c r="G7769" i="25"/>
  <c r="G7770" i="25"/>
  <c r="G7771" i="25"/>
  <c r="G7772" i="25"/>
  <c r="G7773" i="25"/>
  <c r="G7774" i="25"/>
  <c r="G7775" i="25"/>
  <c r="G7776" i="25"/>
  <c r="G7777" i="25"/>
  <c r="G7778" i="25"/>
  <c r="G7779" i="25"/>
  <c r="G7780" i="25"/>
  <c r="G7781" i="25"/>
  <c r="G7782" i="25"/>
  <c r="G7783" i="25"/>
  <c r="G7784" i="25"/>
  <c r="G7785" i="25"/>
  <c r="G7786" i="25"/>
  <c r="G7787" i="25"/>
  <c r="G7788" i="25"/>
  <c r="G7789" i="25"/>
  <c r="G7790" i="25"/>
  <c r="G7791" i="25"/>
  <c r="G7792" i="25"/>
  <c r="G7793" i="25"/>
  <c r="G7794" i="25"/>
  <c r="G7795" i="25"/>
  <c r="G7796" i="25"/>
  <c r="G7797" i="25"/>
  <c r="G7798" i="25"/>
  <c r="G7799" i="25"/>
  <c r="G7800" i="25"/>
  <c r="G7801" i="25"/>
  <c r="G7802" i="25"/>
  <c r="G7803" i="25"/>
  <c r="G7804" i="25"/>
  <c r="G7805" i="25"/>
  <c r="G7806" i="25"/>
  <c r="G7807" i="25"/>
  <c r="G7808" i="25"/>
  <c r="G7809" i="25"/>
  <c r="G7810" i="25"/>
  <c r="G7811" i="25"/>
  <c r="G7812" i="25"/>
  <c r="G7813" i="25"/>
  <c r="G7814" i="25"/>
  <c r="G7815" i="25"/>
  <c r="G7816" i="25"/>
  <c r="G7817" i="25"/>
  <c r="G7818" i="25"/>
  <c r="G7819" i="25"/>
  <c r="G7820" i="25"/>
  <c r="G7821" i="25"/>
  <c r="G7822" i="25"/>
  <c r="G7823" i="25"/>
  <c r="G7824" i="25"/>
  <c r="G7825" i="25"/>
  <c r="G7826" i="25"/>
  <c r="G7827" i="25"/>
  <c r="G7828" i="25"/>
  <c r="G7829" i="25"/>
  <c r="G7830" i="25"/>
  <c r="G7831" i="25"/>
  <c r="G7832" i="25"/>
  <c r="G7833" i="25"/>
  <c r="G7834" i="25"/>
  <c r="G7835" i="25"/>
  <c r="G7836" i="25"/>
  <c r="G7837" i="25"/>
  <c r="G7838" i="25"/>
  <c r="G7839" i="25"/>
  <c r="G7840" i="25"/>
  <c r="G7841" i="25"/>
  <c r="G7842" i="25"/>
  <c r="G7843" i="25"/>
  <c r="G7844" i="25"/>
  <c r="G7845" i="25"/>
  <c r="G7846" i="25"/>
  <c r="G7847" i="25"/>
  <c r="G7848" i="25"/>
  <c r="G7849" i="25"/>
  <c r="G7850" i="25"/>
  <c r="G7851" i="25"/>
  <c r="G7852" i="25"/>
  <c r="G7853" i="25"/>
  <c r="G7854" i="25"/>
  <c r="G7855" i="25"/>
  <c r="G7856" i="25"/>
  <c r="G7857" i="25"/>
  <c r="G7858" i="25"/>
  <c r="G7859" i="25"/>
  <c r="G7860" i="25"/>
  <c r="G7861" i="25"/>
  <c r="G7862" i="25"/>
  <c r="G7863" i="25"/>
  <c r="G7864" i="25"/>
  <c r="G7865" i="25"/>
  <c r="G7866" i="25"/>
  <c r="G7867" i="25"/>
  <c r="G7868" i="25"/>
  <c r="G7869" i="25"/>
  <c r="G7870" i="25"/>
  <c r="G7871" i="25"/>
  <c r="G7872" i="25"/>
  <c r="G7873" i="25"/>
  <c r="G7874" i="25"/>
  <c r="G7875" i="25"/>
  <c r="G7876" i="25"/>
  <c r="G7877" i="25"/>
  <c r="G7878" i="25"/>
  <c r="G7879" i="25"/>
  <c r="G7880" i="25"/>
  <c r="G7881" i="25"/>
  <c r="G7882" i="25"/>
  <c r="G7883" i="25"/>
  <c r="G7884" i="25"/>
  <c r="G7885" i="25"/>
  <c r="G7886" i="25"/>
  <c r="G7887" i="25"/>
  <c r="G7888" i="25"/>
  <c r="G7889" i="25"/>
  <c r="G7890" i="25"/>
  <c r="G7891" i="25"/>
  <c r="G7892" i="25"/>
  <c r="G7893" i="25"/>
  <c r="G7894" i="25"/>
  <c r="G7895" i="25"/>
  <c r="G7896" i="25"/>
  <c r="G7897" i="25"/>
  <c r="G7898" i="25"/>
  <c r="G7899" i="25"/>
  <c r="G7900" i="25"/>
  <c r="G7901" i="25"/>
  <c r="G7902" i="25"/>
  <c r="G7903" i="25"/>
  <c r="G7904" i="25"/>
  <c r="G7905" i="25"/>
  <c r="G7906" i="25"/>
  <c r="G7907" i="25"/>
  <c r="G7908" i="25"/>
  <c r="G7909" i="25"/>
  <c r="G7910" i="25"/>
  <c r="G7911" i="25"/>
  <c r="G7912" i="25"/>
  <c r="G7913" i="25"/>
  <c r="G7914" i="25"/>
  <c r="G7915" i="25"/>
  <c r="G7916" i="25"/>
  <c r="G7917" i="25"/>
  <c r="G7918" i="25"/>
  <c r="G7919" i="25"/>
  <c r="G7920" i="25"/>
  <c r="G7921" i="25"/>
  <c r="G7922" i="25"/>
  <c r="G7923" i="25"/>
  <c r="G7924" i="25"/>
  <c r="G7925" i="25"/>
  <c r="G7926" i="25"/>
  <c r="G7927" i="25"/>
  <c r="G7928" i="25"/>
  <c r="G7929" i="25"/>
  <c r="G7930" i="25"/>
  <c r="G7931" i="25"/>
  <c r="G7932" i="25"/>
  <c r="G7933" i="25"/>
  <c r="G7934" i="25"/>
  <c r="G7935" i="25"/>
  <c r="G7936" i="25"/>
  <c r="G7937" i="25"/>
  <c r="G7938" i="25"/>
  <c r="G7939" i="25"/>
  <c r="G7940" i="25"/>
  <c r="G7941" i="25"/>
  <c r="G7942" i="25"/>
  <c r="G7943" i="25"/>
  <c r="G7944" i="25"/>
  <c r="G7945" i="25"/>
  <c r="G7946" i="25"/>
  <c r="G7947" i="25"/>
  <c r="G7948" i="25"/>
  <c r="G7949" i="25"/>
  <c r="G7950" i="25"/>
  <c r="G7951" i="25"/>
  <c r="G7952" i="25"/>
  <c r="G7953" i="25"/>
  <c r="G7954" i="25"/>
  <c r="G7955" i="25"/>
  <c r="G7956" i="25"/>
  <c r="G7957" i="25"/>
  <c r="G7958" i="25"/>
  <c r="G7959" i="25"/>
  <c r="G7960" i="25"/>
  <c r="G7961" i="25"/>
  <c r="G7962" i="25"/>
  <c r="G7963" i="25"/>
  <c r="G7964" i="25"/>
  <c r="G7965" i="25"/>
  <c r="G7966" i="25"/>
  <c r="G7967" i="25"/>
  <c r="G7968" i="25"/>
  <c r="G7969" i="25"/>
  <c r="G7970" i="25"/>
  <c r="G7971" i="25"/>
  <c r="G7972" i="25"/>
  <c r="G7973" i="25"/>
  <c r="G7974" i="25"/>
  <c r="G7975" i="25"/>
  <c r="G7976" i="25"/>
  <c r="G7977" i="25"/>
  <c r="G7978" i="25"/>
  <c r="G7979" i="25"/>
  <c r="G7980" i="25"/>
  <c r="G7981" i="25"/>
  <c r="G7982" i="25"/>
  <c r="G7983" i="25"/>
  <c r="G7984" i="25"/>
  <c r="G7985" i="25"/>
  <c r="G7986" i="25"/>
  <c r="G7987" i="25"/>
  <c r="G7988" i="25"/>
  <c r="G7989" i="25"/>
  <c r="G7990" i="25"/>
  <c r="G7991" i="25"/>
  <c r="G7992" i="25"/>
  <c r="G7993" i="25"/>
  <c r="G7994" i="25"/>
  <c r="G7995" i="25"/>
  <c r="G7996" i="25"/>
  <c r="G7997" i="25"/>
  <c r="G7998" i="25"/>
  <c r="G7999" i="25"/>
  <c r="G8000" i="25"/>
  <c r="G8001" i="25"/>
  <c r="G8002" i="25"/>
  <c r="G8003" i="25"/>
  <c r="G8004" i="25"/>
  <c r="G8005" i="25"/>
  <c r="G8006" i="25"/>
  <c r="G8007" i="25"/>
  <c r="G8008" i="25"/>
  <c r="G8009" i="25"/>
  <c r="G8010" i="25"/>
  <c r="G8011" i="25"/>
  <c r="G8012" i="25"/>
  <c r="G8013" i="25"/>
  <c r="G8014" i="25"/>
  <c r="G8015" i="25"/>
  <c r="G8016" i="25"/>
  <c r="G8017" i="25"/>
  <c r="G8018" i="25"/>
  <c r="G8019" i="25"/>
  <c r="G8020" i="25"/>
  <c r="G8021" i="25"/>
  <c r="G8022" i="25"/>
  <c r="G8023" i="25"/>
  <c r="G8024" i="25"/>
  <c r="G8025" i="25"/>
  <c r="G8026" i="25"/>
  <c r="G8027" i="25"/>
  <c r="G8028" i="25"/>
  <c r="G8029" i="25"/>
  <c r="G8030" i="25"/>
  <c r="G8031" i="25"/>
  <c r="G8032" i="25"/>
  <c r="G8033" i="25"/>
  <c r="G8034" i="25"/>
  <c r="G8035" i="25"/>
  <c r="G8036" i="25"/>
  <c r="G8037" i="25"/>
  <c r="G8038" i="25"/>
  <c r="G8039" i="25"/>
  <c r="G8040" i="25"/>
  <c r="G8041" i="25"/>
  <c r="G8042" i="25"/>
  <c r="G8043" i="25"/>
  <c r="G8044" i="25"/>
  <c r="G8045" i="25"/>
  <c r="G8046" i="25"/>
  <c r="G8047" i="25"/>
  <c r="G8048" i="25"/>
  <c r="G8049" i="25"/>
  <c r="G8050" i="25"/>
  <c r="G8051" i="25"/>
  <c r="G8052" i="25"/>
  <c r="G8053" i="25"/>
  <c r="G8054" i="25"/>
  <c r="G8055" i="25"/>
  <c r="G8056" i="25"/>
  <c r="G8057" i="25"/>
  <c r="G8058" i="25"/>
  <c r="G8059" i="25"/>
  <c r="G8060" i="25"/>
  <c r="G8061" i="25"/>
  <c r="G8062" i="25"/>
  <c r="G8063" i="25"/>
  <c r="G8064" i="25"/>
  <c r="G8065" i="25"/>
  <c r="G8066" i="25"/>
  <c r="G8067" i="25"/>
  <c r="G8068" i="25"/>
  <c r="G8069" i="25"/>
  <c r="G8070" i="25"/>
  <c r="G8071" i="25"/>
  <c r="G8072" i="25"/>
  <c r="G8073" i="25"/>
  <c r="G8074" i="25"/>
  <c r="G8075" i="25"/>
  <c r="G8076" i="25"/>
  <c r="G8077" i="25"/>
  <c r="G8078" i="25"/>
  <c r="G8079" i="25"/>
  <c r="G8080" i="25"/>
  <c r="G8081" i="25"/>
  <c r="G8082" i="25"/>
  <c r="G8083" i="25"/>
  <c r="G8084" i="25"/>
  <c r="G8085" i="25"/>
  <c r="G8086" i="25"/>
  <c r="G8087" i="25"/>
  <c r="G8088" i="25"/>
  <c r="G8089" i="25"/>
  <c r="G8090" i="25"/>
  <c r="G8091" i="25"/>
  <c r="G8092" i="25"/>
  <c r="G8093" i="25"/>
  <c r="G8094" i="25"/>
  <c r="G8095" i="25"/>
  <c r="G8096" i="25"/>
  <c r="G8097" i="25"/>
  <c r="G8098" i="25"/>
  <c r="G8099" i="25"/>
  <c r="G8100" i="25"/>
  <c r="G8101" i="25"/>
  <c r="G8102" i="25"/>
  <c r="G8103" i="25"/>
  <c r="G8104" i="25"/>
  <c r="G8105" i="25"/>
  <c r="G8106" i="25"/>
  <c r="G8107" i="25"/>
  <c r="G8108" i="25"/>
  <c r="G8109" i="25"/>
  <c r="G8110" i="25"/>
  <c r="G8111" i="25"/>
  <c r="G8112" i="25"/>
  <c r="G8113" i="25"/>
  <c r="G8114" i="25"/>
  <c r="G8115" i="25"/>
  <c r="G8116" i="25"/>
  <c r="G8117" i="25"/>
  <c r="G8118" i="25"/>
  <c r="G8119" i="25"/>
  <c r="G8120" i="25"/>
  <c r="G8121" i="25"/>
  <c r="G8122" i="25"/>
  <c r="G8123" i="25"/>
  <c r="G8124" i="25"/>
  <c r="G8125" i="25"/>
  <c r="G8126" i="25"/>
  <c r="G8127" i="25"/>
  <c r="G8128" i="25"/>
  <c r="G8129" i="25"/>
  <c r="G8130" i="25"/>
  <c r="G8131" i="25"/>
  <c r="G8132" i="25"/>
  <c r="G8133" i="25"/>
  <c r="G8134" i="25"/>
  <c r="G8135" i="25"/>
  <c r="G8136" i="25"/>
  <c r="G8137" i="25"/>
  <c r="G8138" i="25"/>
  <c r="G8139" i="25"/>
  <c r="G8140" i="25"/>
  <c r="G8141" i="25"/>
  <c r="G8142" i="25"/>
  <c r="G8143" i="25"/>
  <c r="G8144" i="25"/>
  <c r="G8145" i="25"/>
  <c r="G8146" i="25"/>
  <c r="G8147" i="25"/>
  <c r="G8148" i="25"/>
  <c r="G8149" i="25"/>
  <c r="G8150" i="25"/>
  <c r="G8151" i="25"/>
  <c r="G8152" i="25"/>
  <c r="G8153" i="25"/>
  <c r="G8154" i="25"/>
  <c r="G8155" i="25"/>
  <c r="G8156" i="25"/>
  <c r="G8157" i="25"/>
  <c r="G8158" i="25"/>
  <c r="G8159" i="25"/>
  <c r="G8160" i="25"/>
  <c r="G8161" i="25"/>
  <c r="G8162" i="25"/>
  <c r="G8163" i="25"/>
  <c r="G8164" i="25"/>
  <c r="G8165" i="25"/>
  <c r="G8166" i="25"/>
  <c r="G8167" i="25"/>
  <c r="G8168" i="25"/>
  <c r="G8169" i="25"/>
  <c r="G8170" i="25"/>
  <c r="G8171" i="25"/>
  <c r="G8172" i="25"/>
  <c r="G8173" i="25"/>
  <c r="G8174" i="25"/>
  <c r="G8175" i="25"/>
  <c r="G8176" i="25"/>
  <c r="G8177" i="25"/>
  <c r="G8178" i="25"/>
  <c r="G8179" i="25"/>
  <c r="G8180" i="25"/>
  <c r="G8181" i="25"/>
  <c r="G8182" i="25"/>
  <c r="G8183" i="25"/>
  <c r="G8184" i="25"/>
  <c r="G8185" i="25"/>
  <c r="G8186" i="25"/>
  <c r="G8187" i="25"/>
  <c r="G8188" i="25"/>
  <c r="G8189" i="25"/>
  <c r="G8190" i="25"/>
  <c r="G8191" i="25"/>
  <c r="G8192" i="25"/>
  <c r="G8193" i="25"/>
  <c r="G8194" i="25"/>
  <c r="G8195" i="25"/>
  <c r="G8196" i="25"/>
  <c r="G8197" i="25"/>
  <c r="G8198" i="25"/>
  <c r="G8199" i="25"/>
  <c r="G8200" i="25"/>
  <c r="G8201" i="25"/>
  <c r="G8202" i="25"/>
  <c r="G8203" i="25"/>
  <c r="G8204" i="25"/>
  <c r="G8205" i="25"/>
  <c r="G8206" i="25"/>
  <c r="G8207" i="25"/>
  <c r="G8208" i="25"/>
  <c r="G8209" i="25"/>
  <c r="G8210" i="25"/>
  <c r="G8211" i="25"/>
  <c r="G8212" i="25"/>
  <c r="G8213" i="25"/>
  <c r="G8214" i="25"/>
  <c r="G8215" i="25"/>
  <c r="G8216" i="25"/>
  <c r="G8217" i="25"/>
  <c r="G8218" i="25"/>
  <c r="G8219" i="25"/>
  <c r="G8220" i="25"/>
  <c r="G8221" i="25"/>
  <c r="G8222" i="25"/>
  <c r="G8223" i="25"/>
  <c r="G8224" i="25"/>
  <c r="G8225" i="25"/>
  <c r="G8226" i="25"/>
  <c r="G8227" i="25"/>
  <c r="G8228" i="25"/>
  <c r="G8229" i="25"/>
  <c r="G8230" i="25"/>
  <c r="G8231" i="25"/>
  <c r="G8232" i="25"/>
  <c r="G8233" i="25"/>
  <c r="G8234" i="25"/>
  <c r="G8235" i="25"/>
  <c r="G8236" i="25"/>
  <c r="G8237" i="25"/>
  <c r="G8238" i="25"/>
  <c r="G8239" i="25"/>
  <c r="G8240" i="25"/>
  <c r="G8241" i="25"/>
  <c r="G8242" i="25"/>
  <c r="G8243" i="25"/>
  <c r="G8244" i="25"/>
  <c r="G8245" i="25"/>
  <c r="G8246" i="25"/>
  <c r="G8247" i="25"/>
  <c r="G8248" i="25"/>
  <c r="G8249" i="25"/>
  <c r="G8250" i="25"/>
  <c r="G8251" i="25"/>
  <c r="G8252" i="25"/>
  <c r="G8253" i="25"/>
  <c r="G8254" i="25"/>
  <c r="G8255" i="25"/>
  <c r="G8256" i="25"/>
  <c r="G8257" i="25"/>
  <c r="G8258" i="25"/>
  <c r="G8259" i="25"/>
  <c r="G8260" i="25"/>
  <c r="G8261" i="25"/>
  <c r="G8262" i="25"/>
  <c r="G8263" i="25"/>
  <c r="G8264" i="25"/>
  <c r="G8265" i="25"/>
  <c r="G8266" i="25"/>
  <c r="G8267" i="25"/>
  <c r="G8268" i="25"/>
  <c r="G8269" i="25"/>
  <c r="G8270" i="25"/>
  <c r="G8271" i="25"/>
  <c r="G8272" i="25"/>
  <c r="G8273" i="25"/>
  <c r="G8274" i="25"/>
  <c r="G8275" i="25"/>
  <c r="G8276" i="25"/>
  <c r="G8277" i="25"/>
  <c r="G8278" i="25"/>
  <c r="G8279" i="25"/>
  <c r="G8280" i="25"/>
  <c r="G8281" i="25"/>
  <c r="G8282" i="25"/>
  <c r="G8283" i="25"/>
  <c r="G8284" i="25"/>
  <c r="G8285" i="25"/>
  <c r="G8286" i="25"/>
  <c r="G8287" i="25"/>
  <c r="G8288" i="25"/>
  <c r="G8289" i="25"/>
  <c r="G8290" i="25"/>
  <c r="G8291" i="25"/>
  <c r="G8292" i="25"/>
  <c r="G8293" i="25"/>
  <c r="G8294" i="25"/>
  <c r="G8295" i="25"/>
  <c r="G8296" i="25"/>
  <c r="G8297" i="25"/>
  <c r="G8298" i="25"/>
  <c r="G8299" i="25"/>
  <c r="G8300" i="25"/>
  <c r="G8301" i="25"/>
  <c r="G8302" i="25"/>
  <c r="G8303" i="25"/>
  <c r="G8304" i="25"/>
  <c r="G8305" i="25"/>
  <c r="G8306" i="25"/>
  <c r="G8307" i="25"/>
  <c r="G8308" i="25"/>
  <c r="G8309" i="25"/>
  <c r="G8310" i="25"/>
  <c r="G8311" i="25"/>
  <c r="G8312" i="25"/>
  <c r="G8313" i="25"/>
  <c r="G8314" i="25"/>
  <c r="G8315" i="25"/>
  <c r="G8316" i="25"/>
  <c r="G8317" i="25"/>
  <c r="G8318" i="25"/>
  <c r="G8319" i="25"/>
  <c r="G8320" i="25"/>
  <c r="G8321" i="25"/>
  <c r="G8322" i="25"/>
  <c r="G8323" i="25"/>
  <c r="G8324" i="25"/>
  <c r="G8325" i="25"/>
  <c r="G8326" i="25"/>
  <c r="G8327" i="25"/>
  <c r="G8328" i="25"/>
  <c r="G8329" i="25"/>
  <c r="G8330" i="25"/>
  <c r="G8331" i="25"/>
  <c r="G8332" i="25"/>
  <c r="G8333" i="25"/>
  <c r="G8334" i="25"/>
  <c r="G8335" i="25"/>
  <c r="G8336" i="25"/>
  <c r="G8337" i="25"/>
  <c r="G8338" i="25"/>
  <c r="G8339" i="25"/>
  <c r="G8340" i="25"/>
  <c r="G8341" i="25"/>
  <c r="G8342" i="25"/>
  <c r="G8343" i="25"/>
  <c r="G8344" i="25"/>
  <c r="G8345" i="25"/>
  <c r="G8346" i="25"/>
  <c r="G8347" i="25"/>
  <c r="G8348" i="25"/>
  <c r="G8349" i="25"/>
  <c r="G8350" i="25"/>
  <c r="G8351" i="25"/>
  <c r="G8352" i="25"/>
  <c r="G8353" i="25"/>
  <c r="G8354" i="25"/>
  <c r="G8355" i="25"/>
  <c r="G8356" i="25"/>
  <c r="G8357" i="25"/>
  <c r="G8358" i="25"/>
  <c r="G8359" i="25"/>
  <c r="G8360" i="25"/>
  <c r="G8361" i="25"/>
  <c r="G8362" i="25"/>
  <c r="G8363" i="25"/>
  <c r="G8364" i="25"/>
  <c r="G8365" i="25"/>
  <c r="G8366" i="25"/>
  <c r="G8367" i="25"/>
  <c r="G8368" i="25"/>
  <c r="G8369" i="25"/>
  <c r="G8370" i="25"/>
  <c r="G8371" i="25"/>
  <c r="G8372" i="25"/>
  <c r="G8373" i="25"/>
  <c r="G8374" i="25"/>
  <c r="G8375" i="25"/>
  <c r="G8376" i="25"/>
  <c r="G8377" i="25"/>
  <c r="G8378" i="25"/>
  <c r="G8379" i="25"/>
  <c r="G8380" i="25"/>
  <c r="G8381" i="25"/>
  <c r="G8382" i="25"/>
  <c r="G8383" i="25"/>
  <c r="G8384" i="25"/>
  <c r="G8385" i="25"/>
  <c r="G8386" i="25"/>
  <c r="G8387" i="25"/>
  <c r="G8388" i="25"/>
  <c r="G8389" i="25"/>
  <c r="G8390" i="25"/>
  <c r="G8391" i="25"/>
  <c r="G8392" i="25"/>
  <c r="G8393" i="25"/>
  <c r="G8394" i="25"/>
  <c r="G8395" i="25"/>
  <c r="G8396" i="25"/>
  <c r="G8397" i="25"/>
  <c r="G8398" i="25"/>
  <c r="G8399" i="25"/>
  <c r="G8400" i="25"/>
  <c r="G8401" i="25"/>
  <c r="G8402" i="25"/>
  <c r="G8403" i="25"/>
  <c r="G8404" i="25"/>
  <c r="G8405" i="25"/>
  <c r="G8406" i="25"/>
  <c r="G8407" i="25"/>
  <c r="G8408" i="25"/>
  <c r="G8409" i="25"/>
  <c r="G8410" i="25"/>
  <c r="G8411" i="25"/>
  <c r="G8412" i="25"/>
  <c r="G8413" i="25"/>
  <c r="G8414" i="25"/>
  <c r="G8415" i="25"/>
  <c r="G8416" i="25"/>
  <c r="G8417" i="25"/>
  <c r="G8418" i="25"/>
  <c r="G8419" i="25"/>
  <c r="G8420" i="25"/>
  <c r="G8421" i="25"/>
  <c r="G8422" i="25"/>
  <c r="G8423" i="25"/>
  <c r="G8424" i="25"/>
  <c r="G8425" i="25"/>
  <c r="G8426" i="25"/>
  <c r="G8427" i="25"/>
  <c r="G8428" i="25"/>
  <c r="G8429" i="25"/>
  <c r="G8430" i="25"/>
  <c r="G8431" i="25"/>
  <c r="G8432" i="25"/>
  <c r="G8433" i="25"/>
  <c r="G8434" i="25"/>
  <c r="G8435" i="25"/>
  <c r="G8436" i="25"/>
  <c r="G8437" i="25"/>
  <c r="G8438" i="25"/>
  <c r="G8439" i="25"/>
  <c r="G8440" i="25"/>
  <c r="G8441" i="25"/>
  <c r="G8442" i="25"/>
  <c r="G8443" i="25"/>
  <c r="G8444" i="25"/>
  <c r="G8445" i="25"/>
  <c r="G8446" i="25"/>
  <c r="G8447" i="25"/>
  <c r="G8448" i="25"/>
  <c r="G8449" i="25"/>
  <c r="G8450" i="25"/>
  <c r="G8451" i="25"/>
  <c r="G8452" i="25"/>
  <c r="G8453" i="25"/>
  <c r="G8454" i="25"/>
  <c r="G8455" i="25"/>
  <c r="G8456" i="25"/>
  <c r="G8457" i="25"/>
  <c r="G8458" i="25"/>
  <c r="G8459" i="25"/>
  <c r="G8460" i="25"/>
  <c r="G8461" i="25"/>
  <c r="G8462" i="25"/>
  <c r="G8463" i="25"/>
  <c r="G8464" i="25"/>
  <c r="G8465" i="25"/>
  <c r="G8466" i="25"/>
  <c r="G8467" i="25"/>
  <c r="G8468" i="25"/>
  <c r="G8469" i="25"/>
  <c r="G8470" i="25"/>
  <c r="G8471" i="25"/>
  <c r="G8472" i="25"/>
  <c r="G8473" i="25"/>
  <c r="G8474" i="25"/>
  <c r="G8475" i="25"/>
  <c r="G8476" i="25"/>
  <c r="G8477" i="25"/>
  <c r="G8478" i="25"/>
  <c r="G8479" i="25"/>
  <c r="G8480" i="25"/>
  <c r="G8481" i="25"/>
  <c r="G8482" i="25"/>
  <c r="G8483" i="25"/>
  <c r="G8484" i="25"/>
  <c r="G8485" i="25"/>
  <c r="G8486" i="25"/>
  <c r="G8487" i="25"/>
  <c r="G8488" i="25"/>
  <c r="G8489" i="25"/>
  <c r="G8490" i="25"/>
  <c r="G8491" i="25"/>
  <c r="G8492" i="25"/>
  <c r="G8493" i="25"/>
  <c r="G8494" i="25"/>
  <c r="G8495" i="25"/>
  <c r="G8496" i="25"/>
  <c r="G8497" i="25"/>
  <c r="G8498" i="25"/>
  <c r="G8499" i="25"/>
  <c r="G8500" i="25"/>
  <c r="G8501" i="25"/>
  <c r="G8502" i="25"/>
  <c r="G8503" i="25"/>
  <c r="G8504" i="25"/>
  <c r="G8505" i="25"/>
  <c r="G8506" i="25"/>
  <c r="G8507" i="25"/>
  <c r="G8508" i="25"/>
  <c r="G8509" i="25"/>
  <c r="G8510" i="25"/>
  <c r="G8511" i="25"/>
  <c r="G8512" i="25"/>
  <c r="G8513" i="25"/>
  <c r="G8514" i="25"/>
  <c r="G8515" i="25"/>
  <c r="G8516" i="25"/>
  <c r="G8517" i="25"/>
  <c r="G8518" i="25"/>
  <c r="G8519" i="25"/>
  <c r="G8520" i="25"/>
  <c r="G8521" i="25"/>
  <c r="G8522" i="25"/>
  <c r="G8523" i="25"/>
  <c r="G8524" i="25"/>
  <c r="G8525" i="25"/>
  <c r="G8526" i="25"/>
  <c r="G8527" i="25"/>
  <c r="G8528" i="25"/>
  <c r="G8529" i="25"/>
  <c r="G8530" i="25"/>
  <c r="G8531" i="25"/>
  <c r="G8532" i="25"/>
  <c r="G8533" i="25"/>
  <c r="G8534" i="25"/>
  <c r="G8535" i="25"/>
  <c r="G8536" i="25"/>
  <c r="G8537" i="25"/>
  <c r="G8538" i="25"/>
  <c r="G8539" i="25"/>
  <c r="G8540" i="25"/>
  <c r="G8541" i="25"/>
  <c r="G8542" i="25"/>
  <c r="G8543" i="25"/>
  <c r="G8544" i="25"/>
  <c r="G8545" i="25"/>
  <c r="G8546" i="25"/>
  <c r="G8547" i="25"/>
  <c r="G8548" i="25"/>
  <c r="G8549" i="25"/>
  <c r="G8550" i="25"/>
  <c r="G8551" i="25"/>
  <c r="G8552" i="25"/>
  <c r="G8553" i="25"/>
  <c r="G8554" i="25"/>
  <c r="G8555" i="25"/>
  <c r="G8556" i="25"/>
  <c r="G8557" i="25"/>
  <c r="G8558" i="25"/>
  <c r="G8559" i="25"/>
  <c r="G8560" i="25"/>
  <c r="G8561" i="25"/>
  <c r="G8562" i="25"/>
  <c r="G8563" i="25"/>
  <c r="G8564" i="25"/>
  <c r="G8565" i="25"/>
  <c r="G8566" i="25"/>
  <c r="G8567" i="25"/>
  <c r="G8568" i="25"/>
  <c r="G8569" i="25"/>
  <c r="G8570" i="25"/>
  <c r="G8571" i="25"/>
  <c r="G8572" i="25"/>
  <c r="G8573" i="25"/>
  <c r="G8574" i="25"/>
  <c r="G8575" i="25"/>
  <c r="G8576" i="25"/>
  <c r="G8577" i="25"/>
  <c r="G8578" i="25"/>
  <c r="G8579" i="25"/>
  <c r="G8580" i="25"/>
  <c r="G8581" i="25"/>
  <c r="G8582" i="25"/>
  <c r="G8583" i="25"/>
  <c r="G8584" i="25"/>
  <c r="G8585" i="25"/>
  <c r="G8586" i="25"/>
  <c r="G8587" i="25"/>
  <c r="G8588" i="25"/>
  <c r="G8589" i="25"/>
  <c r="G8590" i="25"/>
  <c r="G8591" i="25"/>
  <c r="G8592" i="25"/>
  <c r="G8593" i="25"/>
  <c r="G8594" i="25"/>
  <c r="G8595" i="25"/>
  <c r="G8596" i="25"/>
  <c r="G8597" i="25"/>
  <c r="G8598" i="25"/>
  <c r="G8599" i="25"/>
  <c r="G8600" i="25"/>
  <c r="G8601" i="25"/>
  <c r="G8602" i="25"/>
  <c r="G8603" i="25"/>
  <c r="G8604" i="25"/>
  <c r="G8605" i="25"/>
  <c r="G8606" i="25"/>
  <c r="G8607" i="25"/>
  <c r="G8608" i="25"/>
  <c r="G8609" i="25"/>
  <c r="G8610" i="25"/>
  <c r="G8611" i="25"/>
  <c r="G8612" i="25"/>
  <c r="G8613" i="25"/>
  <c r="G8614" i="25"/>
  <c r="G8615" i="25"/>
  <c r="G8616" i="25"/>
  <c r="G8617" i="25"/>
  <c r="G8618" i="25"/>
  <c r="G8619" i="25"/>
  <c r="G8620" i="25"/>
  <c r="G8621" i="25"/>
  <c r="G8622" i="25"/>
  <c r="G8623" i="25"/>
  <c r="G8624" i="25"/>
  <c r="G8625" i="25"/>
  <c r="G8626" i="25"/>
  <c r="G8627" i="25"/>
  <c r="G8628" i="25"/>
  <c r="G8629" i="25"/>
  <c r="G8630" i="25"/>
  <c r="G8631" i="25"/>
  <c r="G8632" i="25"/>
  <c r="G8633" i="25"/>
  <c r="G8634" i="25"/>
  <c r="G8635" i="25"/>
  <c r="G8636" i="25"/>
  <c r="G8637" i="25"/>
  <c r="G8638" i="25"/>
  <c r="G8639" i="25"/>
  <c r="G8640" i="25"/>
  <c r="G8641" i="25"/>
  <c r="G8642" i="25"/>
  <c r="G8643" i="25"/>
  <c r="G8644" i="25"/>
  <c r="G8645" i="25"/>
  <c r="G8646" i="25"/>
  <c r="G8647" i="25"/>
  <c r="G8648" i="25"/>
  <c r="G8649" i="25"/>
  <c r="G8650" i="25"/>
  <c r="G8651" i="25"/>
  <c r="G8652" i="25"/>
  <c r="G8653" i="25"/>
  <c r="G8654" i="25"/>
  <c r="G8655" i="25"/>
  <c r="G8656" i="25"/>
  <c r="G8657" i="25"/>
  <c r="G8658" i="25"/>
  <c r="G8659" i="25"/>
  <c r="G8660" i="25"/>
  <c r="G8661" i="25"/>
  <c r="G8662" i="25"/>
  <c r="G8663" i="25"/>
  <c r="G8664" i="25"/>
  <c r="G8665" i="25"/>
  <c r="G8666" i="25"/>
  <c r="G8667" i="25"/>
  <c r="G8668" i="25"/>
  <c r="G8669" i="25"/>
  <c r="G8670" i="25"/>
  <c r="G8671" i="25"/>
  <c r="G8672" i="25"/>
  <c r="G8673" i="25"/>
  <c r="G8674" i="25"/>
  <c r="G8675" i="25"/>
  <c r="G8676" i="25"/>
  <c r="G8677" i="25"/>
  <c r="G8678" i="25"/>
  <c r="G8679" i="25"/>
  <c r="G8680" i="25"/>
  <c r="G8681" i="25"/>
  <c r="G8682" i="25"/>
  <c r="G8683" i="25"/>
  <c r="G8684" i="25"/>
  <c r="G8685" i="25"/>
  <c r="G8686" i="25"/>
  <c r="G8687" i="25"/>
  <c r="G8688" i="25"/>
  <c r="G8689" i="25"/>
  <c r="G8690" i="25"/>
  <c r="G8691" i="25"/>
  <c r="G8692" i="25"/>
  <c r="G8693" i="25"/>
  <c r="G8694" i="25"/>
  <c r="G8695" i="25"/>
  <c r="G8696" i="25"/>
  <c r="G8697" i="25"/>
  <c r="G8698" i="25"/>
  <c r="G8699" i="25"/>
  <c r="G8700" i="25"/>
  <c r="G8701" i="25"/>
  <c r="G8702" i="25"/>
  <c r="G8703" i="25"/>
  <c r="G8704" i="25"/>
  <c r="G8705" i="25"/>
  <c r="G8706" i="25"/>
  <c r="G8707" i="25"/>
  <c r="G8708" i="25"/>
  <c r="G8709" i="25"/>
  <c r="G8710" i="25"/>
  <c r="G8711" i="25"/>
  <c r="G8712" i="25"/>
  <c r="G8713" i="25"/>
  <c r="G8714" i="25"/>
  <c r="G8715" i="25"/>
  <c r="G8716" i="25"/>
  <c r="G8717" i="25"/>
  <c r="G8718" i="25"/>
  <c r="G8719" i="25"/>
  <c r="G8720" i="25"/>
  <c r="G8721" i="25"/>
  <c r="G8722" i="25"/>
  <c r="G8723" i="25"/>
  <c r="G8724" i="25"/>
  <c r="G8725" i="25"/>
  <c r="G8726" i="25"/>
  <c r="G8727" i="25"/>
  <c r="G8728" i="25"/>
  <c r="G8729" i="25"/>
  <c r="G8730" i="25"/>
  <c r="G8731" i="25"/>
  <c r="G8732" i="25"/>
  <c r="G8733" i="25"/>
  <c r="G8734" i="25"/>
  <c r="G8735" i="25"/>
  <c r="G8736" i="25"/>
  <c r="G8737" i="25"/>
  <c r="G8738" i="25"/>
  <c r="G8739" i="25"/>
  <c r="G8740" i="25"/>
  <c r="G8741" i="25"/>
  <c r="G8742" i="25"/>
  <c r="G8743" i="25"/>
  <c r="G8744" i="25"/>
  <c r="G8745" i="25"/>
  <c r="G8746" i="25"/>
  <c r="G8747" i="25"/>
  <c r="G8748" i="25"/>
  <c r="G8749" i="25"/>
  <c r="G8750" i="25"/>
  <c r="G8751" i="25"/>
  <c r="G8752" i="25"/>
  <c r="G8753" i="25"/>
  <c r="G8754" i="25"/>
  <c r="G8755" i="25"/>
  <c r="G8756" i="25"/>
  <c r="G8757" i="25"/>
  <c r="G8758" i="25"/>
  <c r="G8759" i="25"/>
  <c r="G8760" i="25"/>
  <c r="G8761" i="25"/>
  <c r="G8762" i="25"/>
  <c r="G8763" i="25"/>
  <c r="G8764" i="25"/>
  <c r="G8765" i="25"/>
  <c r="G8766" i="25"/>
  <c r="G8767" i="25"/>
  <c r="G8768" i="25"/>
  <c r="G8769" i="25"/>
  <c r="G8770" i="25"/>
  <c r="G8771" i="25"/>
  <c r="G8772" i="25"/>
  <c r="G8773" i="25"/>
  <c r="G8774" i="25"/>
  <c r="G8775" i="25"/>
  <c r="G8776" i="25"/>
  <c r="G8777" i="25"/>
  <c r="G8778" i="25"/>
  <c r="G8779" i="25"/>
  <c r="G8780" i="25"/>
  <c r="G8781" i="25"/>
  <c r="G8782" i="25"/>
  <c r="G8783" i="25"/>
  <c r="G8784" i="25"/>
  <c r="G8785" i="25"/>
  <c r="G8786" i="25"/>
  <c r="G8787" i="25"/>
  <c r="G8788" i="25"/>
  <c r="G8789" i="25"/>
  <c r="G8790" i="25"/>
  <c r="G8791" i="25"/>
  <c r="G8792" i="25"/>
  <c r="G8793" i="25"/>
  <c r="G8794" i="25"/>
  <c r="G8795" i="25"/>
  <c r="G8796" i="25"/>
  <c r="G8797" i="25"/>
  <c r="G8798" i="25"/>
  <c r="G8799" i="25"/>
  <c r="G8800" i="25"/>
  <c r="G8801" i="25"/>
  <c r="G8802" i="25"/>
  <c r="G8803" i="25"/>
  <c r="G8804" i="25"/>
  <c r="G8805" i="25"/>
  <c r="G8806" i="25"/>
  <c r="G8807" i="25"/>
  <c r="G8808" i="25"/>
  <c r="G8809" i="25"/>
  <c r="G8810" i="25"/>
  <c r="G8811" i="25"/>
  <c r="G8812" i="25"/>
  <c r="G8813" i="25"/>
  <c r="G8814" i="25"/>
  <c r="G8815" i="25"/>
  <c r="G8816" i="25"/>
  <c r="G8817" i="25"/>
  <c r="G8818" i="25"/>
  <c r="G8819" i="25"/>
  <c r="G8820" i="25"/>
  <c r="G8821" i="25"/>
  <c r="G8822" i="25"/>
  <c r="G8823" i="25"/>
  <c r="G8824" i="25"/>
  <c r="G8825" i="25"/>
  <c r="G8826" i="25"/>
  <c r="G8827" i="25"/>
  <c r="G8828" i="25"/>
  <c r="G8829" i="25"/>
  <c r="G8830" i="25"/>
  <c r="G8831" i="25"/>
  <c r="G8832" i="25"/>
  <c r="G8833" i="25"/>
  <c r="G8834" i="25"/>
  <c r="G8835" i="25"/>
  <c r="G8836" i="25"/>
  <c r="G8837" i="25"/>
  <c r="G8838" i="25"/>
  <c r="G8839" i="25"/>
  <c r="G8840" i="25"/>
  <c r="G8841" i="25"/>
  <c r="G8842" i="25"/>
  <c r="G8843" i="25"/>
  <c r="G8844" i="25"/>
  <c r="G8845" i="25"/>
  <c r="G8846" i="25"/>
  <c r="G8847" i="25"/>
  <c r="G8848" i="25"/>
  <c r="G8849" i="25"/>
  <c r="G8850" i="25"/>
  <c r="G8851" i="25"/>
  <c r="G8852" i="25"/>
  <c r="G8853" i="25"/>
  <c r="G8854" i="25"/>
  <c r="G8855" i="25"/>
  <c r="G8856" i="25"/>
  <c r="G8857" i="25"/>
  <c r="G8858" i="25"/>
  <c r="G8859" i="25"/>
  <c r="G8860" i="25"/>
  <c r="G8861" i="25"/>
  <c r="G8862" i="25"/>
  <c r="G8863" i="25"/>
  <c r="G8864" i="25"/>
  <c r="G8865" i="25"/>
  <c r="G8866" i="25"/>
  <c r="G8867" i="25"/>
  <c r="G8868" i="25"/>
  <c r="G8869" i="25"/>
  <c r="G8870" i="25"/>
  <c r="G8871" i="25"/>
  <c r="G8872" i="25"/>
  <c r="G8873" i="25"/>
  <c r="G8874" i="25"/>
  <c r="G8875" i="25"/>
  <c r="G8876" i="25"/>
  <c r="G8877" i="25"/>
  <c r="G8878" i="25"/>
  <c r="G8879" i="25"/>
  <c r="G8880" i="25"/>
  <c r="G8881" i="25"/>
  <c r="G8882" i="25"/>
  <c r="G8883" i="25"/>
  <c r="G8884" i="25"/>
  <c r="G8885" i="25"/>
  <c r="G8886" i="25"/>
  <c r="G8887" i="25"/>
  <c r="G8888" i="25"/>
  <c r="G8889" i="25"/>
  <c r="G8890" i="25"/>
  <c r="G8891" i="25"/>
  <c r="G8892" i="25"/>
  <c r="G8893" i="25"/>
  <c r="G8894" i="25"/>
  <c r="G8895" i="25"/>
  <c r="G8896" i="25"/>
  <c r="G8897" i="25"/>
  <c r="G8898" i="25"/>
  <c r="G8899" i="25"/>
  <c r="G8900" i="25"/>
  <c r="G8901" i="25"/>
  <c r="G8902" i="25"/>
  <c r="G8903" i="25"/>
  <c r="G8904" i="25"/>
  <c r="G8905" i="25"/>
  <c r="G8906" i="25"/>
  <c r="G8907" i="25"/>
  <c r="G8908" i="25"/>
  <c r="G8909" i="25"/>
  <c r="G8910" i="25"/>
  <c r="G8911" i="25"/>
  <c r="G8912" i="25"/>
  <c r="G8913" i="25"/>
  <c r="G8914" i="25"/>
  <c r="G8915" i="25"/>
  <c r="G8916" i="25"/>
  <c r="G8917" i="25"/>
  <c r="G8918" i="25"/>
  <c r="G8919" i="25"/>
  <c r="G8920" i="25"/>
  <c r="G8921" i="25"/>
  <c r="G8922" i="25"/>
  <c r="G8923" i="25"/>
  <c r="G8924" i="25"/>
  <c r="G8925" i="25"/>
  <c r="G8926" i="25"/>
  <c r="G8927" i="25"/>
  <c r="G8928" i="25"/>
  <c r="G8929" i="25"/>
  <c r="G8930" i="25"/>
  <c r="G8931" i="25"/>
  <c r="G8932" i="25"/>
  <c r="G8933" i="25"/>
  <c r="G8934" i="25"/>
  <c r="G8935" i="25"/>
  <c r="G8936" i="25"/>
  <c r="G8937" i="25"/>
  <c r="G8938" i="25"/>
  <c r="G8939" i="25"/>
  <c r="G8940" i="25"/>
  <c r="G8941" i="25"/>
  <c r="G8942" i="25"/>
  <c r="G8943" i="25"/>
  <c r="G8944" i="25"/>
  <c r="G8945" i="25"/>
  <c r="G8946" i="25"/>
  <c r="G8947" i="25"/>
  <c r="G8948" i="25"/>
  <c r="G8949" i="25"/>
  <c r="G8950" i="25"/>
  <c r="G8951" i="25"/>
  <c r="G8952" i="25"/>
  <c r="G8953" i="25"/>
  <c r="G8954" i="25"/>
  <c r="G8955" i="25"/>
  <c r="G8956" i="25"/>
  <c r="G8957" i="25"/>
  <c r="G8958" i="25"/>
  <c r="G8959" i="25"/>
  <c r="G8960" i="25"/>
  <c r="G8961" i="25"/>
  <c r="G8962" i="25"/>
  <c r="G8963" i="25"/>
  <c r="G8964" i="25"/>
  <c r="G8965" i="25"/>
  <c r="G8966" i="25"/>
  <c r="G8967" i="25"/>
  <c r="G8968" i="25"/>
  <c r="G8969" i="25"/>
  <c r="G8970" i="25"/>
  <c r="G8971" i="25"/>
  <c r="G8972" i="25"/>
  <c r="G8973" i="25"/>
  <c r="G8974" i="25"/>
  <c r="G8975" i="25"/>
  <c r="G8976" i="25"/>
  <c r="G8977" i="25"/>
  <c r="G8978" i="25"/>
  <c r="G8979" i="25"/>
  <c r="G8980" i="25"/>
  <c r="G8981" i="25"/>
  <c r="G8982" i="25"/>
  <c r="G8983" i="25"/>
  <c r="G8984" i="25"/>
  <c r="G8985" i="25"/>
  <c r="G8986" i="25"/>
  <c r="G8987" i="25"/>
  <c r="G8988" i="25"/>
  <c r="G8989" i="25"/>
  <c r="G8990" i="25"/>
  <c r="G8991" i="25"/>
  <c r="G8992" i="25"/>
  <c r="G8993" i="25"/>
  <c r="G8994" i="25"/>
  <c r="G8995" i="25"/>
  <c r="G8996" i="25"/>
  <c r="G8997" i="25"/>
  <c r="G8998" i="25"/>
  <c r="G8999" i="25"/>
  <c r="G9000" i="25"/>
  <c r="G9001" i="25"/>
  <c r="G9002" i="25"/>
  <c r="G9003" i="25"/>
  <c r="G9004" i="25"/>
  <c r="G9005" i="25"/>
  <c r="G9006" i="25"/>
  <c r="G9007" i="25"/>
  <c r="G9008" i="25"/>
  <c r="G9009" i="25"/>
  <c r="G9010" i="25"/>
  <c r="G9011" i="25"/>
  <c r="G9012" i="25"/>
  <c r="G9013" i="25"/>
  <c r="G9014" i="25"/>
  <c r="G9015" i="25"/>
  <c r="G9016" i="25"/>
  <c r="G9017" i="25"/>
  <c r="G9018" i="25"/>
  <c r="G9019" i="25"/>
  <c r="G9020" i="25"/>
  <c r="G9021" i="25"/>
  <c r="G9022" i="25"/>
  <c r="G9023" i="25"/>
  <c r="G9024" i="25"/>
  <c r="G9025" i="25"/>
  <c r="G9026" i="25"/>
  <c r="G9027" i="25"/>
  <c r="G9028" i="25"/>
  <c r="G9029" i="25"/>
  <c r="G9030" i="25"/>
  <c r="G9031" i="25"/>
  <c r="G9032" i="25"/>
  <c r="G9033" i="25"/>
  <c r="G9034" i="25"/>
  <c r="G9035" i="25"/>
  <c r="G9036" i="25"/>
  <c r="G9037" i="25"/>
  <c r="G9038" i="25"/>
  <c r="G9039" i="25"/>
  <c r="G9040" i="25"/>
  <c r="G9041" i="25"/>
  <c r="G9042" i="25"/>
  <c r="G9043" i="25"/>
  <c r="G9044" i="25"/>
  <c r="G9045" i="25"/>
  <c r="G9046" i="25"/>
  <c r="G9047" i="25"/>
  <c r="G9048" i="25"/>
  <c r="G9049" i="25"/>
  <c r="G9050" i="25"/>
  <c r="G9051" i="25"/>
  <c r="G9052" i="25"/>
  <c r="G9053" i="25"/>
  <c r="G9054" i="25"/>
  <c r="G9055" i="25"/>
  <c r="G9056" i="25"/>
  <c r="G9057" i="25"/>
  <c r="G9058" i="25"/>
  <c r="G9059" i="25"/>
  <c r="G9060" i="25"/>
  <c r="G9061" i="25"/>
  <c r="G9062" i="25"/>
  <c r="G9063" i="25"/>
  <c r="G9064" i="25"/>
  <c r="G9065" i="25"/>
  <c r="G9066" i="25"/>
  <c r="G9067" i="25"/>
  <c r="G9068" i="25"/>
  <c r="G9069" i="25"/>
  <c r="G9070" i="25"/>
  <c r="G9071" i="25"/>
  <c r="G9072" i="25"/>
  <c r="G9073" i="25"/>
  <c r="G9074" i="25"/>
  <c r="G9075" i="25"/>
  <c r="G9076" i="25"/>
  <c r="G9077" i="25"/>
  <c r="G9078" i="25"/>
  <c r="G9079" i="25"/>
  <c r="G9080" i="25"/>
  <c r="G9081" i="25"/>
  <c r="G9082" i="25"/>
  <c r="G9083" i="25"/>
  <c r="G9084" i="25"/>
  <c r="G9085" i="25"/>
  <c r="G9086" i="25"/>
  <c r="G9087" i="25"/>
  <c r="G9088" i="25"/>
  <c r="G9089" i="25"/>
  <c r="G9090" i="25"/>
  <c r="G9091" i="25"/>
  <c r="G9092" i="25"/>
  <c r="G9093" i="25"/>
  <c r="G9094" i="25"/>
  <c r="G9095" i="25"/>
  <c r="G9096" i="25"/>
  <c r="G9097" i="25"/>
  <c r="G9098" i="25"/>
  <c r="G9099" i="25"/>
  <c r="G9100" i="25"/>
  <c r="G9101" i="25"/>
  <c r="G9102" i="25"/>
  <c r="G9103" i="25"/>
  <c r="G9104" i="25"/>
  <c r="G9105" i="25"/>
  <c r="G9106" i="25"/>
  <c r="G9107" i="25"/>
  <c r="G9108" i="25"/>
  <c r="G9109" i="25"/>
  <c r="G9110" i="25"/>
  <c r="G9111" i="25"/>
  <c r="G9112" i="25"/>
  <c r="G9113" i="25"/>
  <c r="G9114" i="25"/>
  <c r="G9115" i="25"/>
  <c r="G9116" i="25"/>
  <c r="G9117" i="25"/>
  <c r="G9118" i="25"/>
  <c r="G9119" i="25"/>
  <c r="G9120" i="25"/>
  <c r="G9121" i="25"/>
  <c r="G9122" i="25"/>
  <c r="G9123" i="25"/>
  <c r="G9124" i="25"/>
  <c r="G9125" i="25"/>
  <c r="G9126" i="25"/>
  <c r="G9127" i="25"/>
  <c r="G9128" i="25"/>
  <c r="G9129" i="25"/>
  <c r="G9130" i="25"/>
  <c r="G9131" i="25"/>
  <c r="G9132" i="25"/>
  <c r="G9133" i="25"/>
  <c r="G9134" i="25"/>
  <c r="G9135" i="25"/>
  <c r="G9136" i="25"/>
  <c r="G9137" i="25"/>
  <c r="G9138" i="25"/>
  <c r="G9139" i="25"/>
  <c r="G9140" i="25"/>
  <c r="G9141" i="25"/>
  <c r="G9142" i="25"/>
  <c r="G9143" i="25"/>
  <c r="G9144" i="25"/>
  <c r="G9145" i="25"/>
  <c r="G9146" i="25"/>
  <c r="G9147" i="25"/>
  <c r="G9148" i="25"/>
  <c r="G9149" i="25"/>
  <c r="G9150" i="25"/>
  <c r="G9151" i="25"/>
  <c r="G9152" i="25"/>
  <c r="G9153" i="25"/>
  <c r="G9154" i="25"/>
  <c r="G9155" i="25"/>
  <c r="G9156" i="25"/>
  <c r="G9157" i="25"/>
  <c r="G9158" i="25"/>
  <c r="G9159" i="25"/>
  <c r="G9160" i="25"/>
  <c r="G9161" i="25"/>
  <c r="G9162" i="25"/>
  <c r="G9163" i="25"/>
  <c r="G9164" i="25"/>
  <c r="G9165" i="25"/>
  <c r="G9166" i="25"/>
  <c r="G9167" i="25"/>
  <c r="G9168" i="25"/>
  <c r="G9169" i="25"/>
  <c r="G9170" i="25"/>
  <c r="G9171" i="25"/>
  <c r="G9172" i="25"/>
  <c r="G9173" i="25"/>
  <c r="G9174" i="25"/>
  <c r="G9175" i="25"/>
  <c r="G9176" i="25"/>
  <c r="G9177" i="25"/>
  <c r="G9178" i="25"/>
  <c r="G9179" i="25"/>
  <c r="G9180" i="25"/>
  <c r="G9181" i="25"/>
  <c r="G9182" i="25"/>
  <c r="G9183" i="25"/>
  <c r="G9184" i="25"/>
  <c r="G9185" i="25"/>
  <c r="G9186" i="25"/>
  <c r="G9187" i="25"/>
  <c r="G9188" i="25"/>
  <c r="G9189" i="25"/>
  <c r="G9190" i="25"/>
  <c r="G9191" i="25"/>
  <c r="G9192" i="25"/>
  <c r="G9193" i="25"/>
  <c r="G9194" i="25"/>
  <c r="G9195" i="25"/>
  <c r="G9196" i="25"/>
  <c r="G9197" i="25"/>
  <c r="G9198" i="25"/>
  <c r="G9199" i="25"/>
  <c r="G9200" i="25"/>
  <c r="G9201" i="25"/>
  <c r="G9202" i="25"/>
  <c r="G9203" i="25"/>
  <c r="G9204" i="25"/>
  <c r="G9205" i="25"/>
  <c r="G9206" i="25"/>
  <c r="G9207" i="25"/>
  <c r="G9208" i="25"/>
  <c r="G9209" i="25"/>
  <c r="G9210" i="25"/>
  <c r="G9211" i="25"/>
  <c r="G9212" i="25"/>
  <c r="G9213" i="25"/>
  <c r="G9214" i="25"/>
  <c r="G9215" i="25"/>
  <c r="G9216" i="25"/>
  <c r="G9217" i="25"/>
  <c r="G9218" i="25"/>
  <c r="G9219" i="25"/>
  <c r="G9220" i="25"/>
  <c r="G9221" i="25"/>
  <c r="G9222" i="25"/>
  <c r="G9223" i="25"/>
  <c r="G9224" i="25"/>
  <c r="G9225" i="25"/>
  <c r="G9226" i="25"/>
  <c r="G9227" i="25"/>
  <c r="G9228" i="25"/>
  <c r="G9229" i="25"/>
  <c r="G9230" i="25"/>
  <c r="G9231" i="25"/>
  <c r="G9232" i="25"/>
  <c r="G9233" i="25"/>
  <c r="G9234" i="25"/>
  <c r="G9235" i="25"/>
  <c r="G9236" i="25"/>
  <c r="G9237" i="25"/>
  <c r="G9238" i="25"/>
  <c r="G9239" i="25"/>
  <c r="G9240" i="25"/>
  <c r="G9241" i="25"/>
  <c r="G9242" i="25"/>
  <c r="G9243" i="25"/>
  <c r="G9244" i="25"/>
  <c r="G9245" i="25"/>
  <c r="G9246" i="25"/>
  <c r="G9247" i="25"/>
  <c r="G9248" i="25"/>
  <c r="G9249" i="25"/>
  <c r="G9250" i="25"/>
  <c r="G9251" i="25"/>
  <c r="G9252" i="25"/>
  <c r="G9253" i="25"/>
  <c r="G9254" i="25"/>
  <c r="G9255" i="25"/>
  <c r="G9256" i="25"/>
  <c r="G9257" i="25"/>
  <c r="G9258" i="25"/>
  <c r="G9259" i="25"/>
  <c r="G9260" i="25"/>
  <c r="G9261" i="25"/>
  <c r="G9262" i="25"/>
  <c r="G9263" i="25"/>
  <c r="G9264" i="25"/>
  <c r="G9265" i="25"/>
  <c r="G9266" i="25"/>
  <c r="G9267" i="25"/>
  <c r="G9268" i="25"/>
  <c r="G9269" i="25"/>
  <c r="G9270" i="25"/>
  <c r="G9271" i="25"/>
  <c r="G9272" i="25"/>
  <c r="G9273" i="25"/>
  <c r="G9274" i="25"/>
  <c r="G9275" i="25"/>
  <c r="G9276" i="25"/>
  <c r="G9277" i="25"/>
  <c r="G9278" i="25"/>
  <c r="G9279" i="25"/>
  <c r="G9280" i="25"/>
  <c r="G9281" i="25"/>
  <c r="G9282" i="25"/>
  <c r="G9283" i="25"/>
  <c r="G9284" i="25"/>
  <c r="G9285" i="25"/>
  <c r="G9286" i="25"/>
  <c r="G9287" i="25"/>
  <c r="G9288" i="25"/>
  <c r="G9289" i="25"/>
  <c r="G9290" i="25"/>
  <c r="G9291" i="25"/>
  <c r="G9292" i="25"/>
  <c r="G9293" i="25"/>
  <c r="G9294" i="25"/>
  <c r="G9295" i="25"/>
  <c r="G9296" i="25"/>
  <c r="G9297" i="25"/>
  <c r="G9298" i="25"/>
  <c r="G9299" i="25"/>
  <c r="G9300" i="25"/>
  <c r="G9301" i="25"/>
  <c r="G9302" i="25"/>
  <c r="G9303" i="25"/>
  <c r="G9304" i="25"/>
  <c r="G9305" i="25"/>
  <c r="G9306" i="25"/>
  <c r="G9307" i="25"/>
  <c r="G9308" i="25"/>
  <c r="G9309" i="25"/>
  <c r="G9310" i="25"/>
  <c r="G9311" i="25"/>
  <c r="G9312" i="25"/>
  <c r="G9313" i="25"/>
  <c r="G9314" i="25"/>
  <c r="G9315" i="25"/>
  <c r="G9316" i="25"/>
  <c r="G9317" i="25"/>
  <c r="G9318" i="25"/>
  <c r="G9319" i="25"/>
  <c r="G9320" i="25"/>
  <c r="G9321" i="25"/>
  <c r="G9322" i="25"/>
  <c r="G9323" i="25"/>
  <c r="G9324" i="25"/>
  <c r="G9325" i="25"/>
  <c r="G9326" i="25"/>
  <c r="G9327" i="25"/>
  <c r="G9328" i="25"/>
  <c r="G9329" i="25"/>
  <c r="G9330" i="25"/>
  <c r="G9331" i="25"/>
  <c r="G9332" i="25"/>
  <c r="G9333" i="25"/>
  <c r="G9334" i="25"/>
  <c r="G9335" i="25"/>
  <c r="G9336" i="25"/>
  <c r="G9337" i="25"/>
  <c r="G9338" i="25"/>
  <c r="G9339" i="25"/>
  <c r="G9340" i="25"/>
  <c r="G9341" i="25"/>
  <c r="G9342" i="25"/>
  <c r="G9343" i="25"/>
  <c r="G9344" i="25"/>
  <c r="G9345" i="25"/>
  <c r="G9346" i="25"/>
  <c r="G9347" i="25"/>
  <c r="G9348" i="25"/>
  <c r="G9349" i="25"/>
  <c r="G9350" i="25"/>
  <c r="G9351" i="25"/>
  <c r="G9352" i="25"/>
  <c r="G9353" i="25"/>
  <c r="G9354" i="25"/>
  <c r="G9355" i="25"/>
  <c r="G9356" i="25"/>
  <c r="G9357" i="25"/>
  <c r="G9358" i="25"/>
  <c r="G9359" i="25"/>
  <c r="G9360" i="25"/>
  <c r="G9361" i="25"/>
  <c r="G9362" i="25"/>
  <c r="G9363" i="25"/>
  <c r="G9364" i="25"/>
  <c r="G9365" i="25"/>
  <c r="G9366" i="25"/>
  <c r="G9367" i="25"/>
  <c r="G9368" i="25"/>
  <c r="G9369" i="25"/>
  <c r="G9370" i="25"/>
  <c r="G9371" i="25"/>
  <c r="G9372" i="25"/>
  <c r="G9373" i="25"/>
  <c r="G9374" i="25"/>
  <c r="G9375" i="25"/>
  <c r="G9376" i="25"/>
  <c r="G9377" i="25"/>
  <c r="G9378" i="25"/>
  <c r="G9379" i="25"/>
  <c r="G9380" i="25"/>
  <c r="G9381" i="25"/>
  <c r="G9382" i="25"/>
  <c r="G9383" i="25"/>
  <c r="G9384" i="25"/>
  <c r="G9385" i="25"/>
  <c r="G9386" i="25"/>
  <c r="G9387" i="25"/>
  <c r="G9388" i="25"/>
  <c r="G9389" i="25"/>
  <c r="G9390" i="25"/>
  <c r="G9391" i="25"/>
  <c r="G9392" i="25"/>
  <c r="G9393" i="25"/>
  <c r="G9394" i="25"/>
  <c r="G9395" i="25"/>
  <c r="G9396" i="25"/>
  <c r="G9397" i="25"/>
  <c r="G9398" i="25"/>
  <c r="G9399" i="25"/>
  <c r="G9400" i="25"/>
  <c r="G9401" i="25"/>
  <c r="G9402" i="25"/>
  <c r="G9403" i="25"/>
  <c r="G9404" i="25"/>
  <c r="G9405" i="25"/>
  <c r="G9406" i="25"/>
  <c r="G9407" i="25"/>
  <c r="G9408" i="25"/>
  <c r="G9409" i="25"/>
  <c r="G9410" i="25"/>
  <c r="G9411" i="25"/>
  <c r="G9412" i="25"/>
  <c r="G9413" i="25"/>
  <c r="G9414" i="25"/>
  <c r="G9415" i="25"/>
  <c r="G9416" i="25"/>
  <c r="G9417" i="25"/>
  <c r="G9418" i="25"/>
  <c r="G9419" i="25"/>
  <c r="G9420" i="25"/>
  <c r="G9421" i="25"/>
  <c r="G9422" i="25"/>
  <c r="G9423" i="25"/>
  <c r="G9424" i="25"/>
  <c r="G9425" i="25"/>
  <c r="G9426" i="25"/>
  <c r="G9427" i="25"/>
  <c r="G9428" i="25"/>
  <c r="G9429" i="25"/>
  <c r="G9430" i="25"/>
  <c r="G9431" i="25"/>
  <c r="G9432" i="25"/>
  <c r="G9433" i="25"/>
  <c r="G9434" i="25"/>
  <c r="G9435" i="25"/>
  <c r="G9436" i="25"/>
  <c r="G9437" i="25"/>
  <c r="G9438" i="25"/>
  <c r="G9439" i="25"/>
  <c r="G9440" i="25"/>
  <c r="G9441" i="25"/>
  <c r="G9442" i="25"/>
  <c r="G9443" i="25"/>
  <c r="G9444" i="25"/>
  <c r="G9445" i="25"/>
  <c r="G9446" i="25"/>
  <c r="G9447" i="25"/>
  <c r="G9448" i="25"/>
  <c r="G9449" i="25"/>
  <c r="G9450" i="25"/>
  <c r="G9451" i="25"/>
  <c r="G9452" i="25"/>
  <c r="G9453" i="25"/>
  <c r="G9454" i="25"/>
  <c r="G9455" i="25"/>
  <c r="G9456" i="25"/>
  <c r="G9457" i="25"/>
  <c r="G9458" i="25"/>
  <c r="G9459" i="25"/>
  <c r="G9460" i="25"/>
  <c r="G9461" i="25"/>
  <c r="G9462" i="25"/>
  <c r="G9463" i="25"/>
  <c r="G9464" i="25"/>
  <c r="G9465" i="25"/>
  <c r="G9466" i="25"/>
  <c r="G9467" i="25"/>
  <c r="G9468" i="25"/>
  <c r="G9469" i="25"/>
  <c r="G9470" i="25"/>
  <c r="G9471" i="25"/>
  <c r="G9472" i="25"/>
  <c r="G9473" i="25"/>
  <c r="G9474" i="25"/>
  <c r="G9475" i="25"/>
  <c r="G9476" i="25"/>
  <c r="G9477" i="25"/>
  <c r="G9478" i="25"/>
  <c r="G9479" i="25"/>
  <c r="G9480" i="25"/>
  <c r="G9481" i="25"/>
  <c r="G9482" i="25"/>
  <c r="G9483" i="25"/>
  <c r="G9484" i="25"/>
  <c r="G9485" i="25"/>
  <c r="G9486" i="25"/>
  <c r="G9487" i="25"/>
  <c r="G9488" i="25"/>
  <c r="G9489" i="25"/>
  <c r="G9490" i="25"/>
  <c r="G9491" i="25"/>
  <c r="G9492" i="25"/>
  <c r="G9493" i="25"/>
  <c r="G9494" i="25"/>
  <c r="G9495" i="25"/>
  <c r="G9496" i="25"/>
  <c r="G9497" i="25"/>
  <c r="G9498" i="25"/>
  <c r="G9499" i="25"/>
  <c r="G9500" i="25"/>
  <c r="G9501" i="25"/>
  <c r="G9502" i="25"/>
  <c r="G9503" i="25"/>
  <c r="G9504" i="25"/>
  <c r="G9505" i="25"/>
  <c r="G9506" i="25"/>
  <c r="G9507" i="25"/>
  <c r="G9508" i="25"/>
  <c r="G9509" i="25"/>
  <c r="G9510" i="25"/>
  <c r="G9511" i="25"/>
  <c r="G9512" i="25"/>
  <c r="G9513" i="25"/>
  <c r="G9514" i="25"/>
  <c r="G9515" i="25"/>
  <c r="G9516" i="25"/>
  <c r="G9517" i="25"/>
  <c r="G9518" i="25"/>
  <c r="G9519" i="25"/>
  <c r="G9520" i="25"/>
  <c r="G9521" i="25"/>
  <c r="G9522" i="25"/>
  <c r="G9523" i="25"/>
  <c r="G9524" i="25"/>
  <c r="G9525" i="25"/>
  <c r="G9526" i="25"/>
  <c r="G9527" i="25"/>
  <c r="G9528" i="25"/>
  <c r="G9529" i="25"/>
  <c r="G9530" i="25"/>
  <c r="G9531" i="25"/>
  <c r="G9532" i="25"/>
  <c r="G9533" i="25"/>
  <c r="G9534" i="25"/>
  <c r="G9535" i="25"/>
  <c r="G9536" i="25"/>
  <c r="G9537" i="25"/>
  <c r="G9538" i="25"/>
  <c r="G9539" i="25"/>
  <c r="G9540" i="25"/>
  <c r="G9541" i="25"/>
  <c r="G9542" i="25"/>
  <c r="G9543" i="25"/>
  <c r="G9544" i="25"/>
  <c r="G9545" i="25"/>
  <c r="G9546" i="25"/>
  <c r="G9547" i="25"/>
  <c r="G9548" i="25"/>
  <c r="G9549" i="25"/>
  <c r="G9550" i="25"/>
  <c r="G9551" i="25"/>
  <c r="G9552" i="25"/>
  <c r="G9553" i="25"/>
  <c r="G9554" i="25"/>
  <c r="G9555" i="25"/>
  <c r="G9556" i="25"/>
  <c r="G9557" i="25"/>
  <c r="G9558" i="25"/>
  <c r="G9559" i="25"/>
  <c r="G9560" i="25"/>
  <c r="G9561" i="25"/>
  <c r="G9562" i="25"/>
  <c r="G9563" i="25"/>
  <c r="G9564" i="25"/>
  <c r="G9565" i="25"/>
  <c r="G9566" i="25"/>
  <c r="G9567" i="25"/>
  <c r="G9568" i="25"/>
  <c r="G9569" i="25"/>
  <c r="G9570" i="25"/>
  <c r="G9571" i="25"/>
  <c r="G9572" i="25"/>
  <c r="G9573" i="25"/>
  <c r="G9574" i="25"/>
  <c r="G9575" i="25"/>
  <c r="G9576" i="25"/>
  <c r="G9577" i="25"/>
  <c r="G9578" i="25"/>
  <c r="G9579" i="25"/>
  <c r="G9580" i="25"/>
  <c r="G9581" i="25"/>
  <c r="G9582" i="25"/>
  <c r="G9583" i="25"/>
  <c r="G9584" i="25"/>
  <c r="G9585" i="25"/>
  <c r="G9586" i="25"/>
  <c r="G9587" i="25"/>
  <c r="G9588" i="25"/>
  <c r="G9589" i="25"/>
  <c r="G9590" i="25"/>
  <c r="G9591" i="25"/>
  <c r="G9592" i="25"/>
  <c r="G9593" i="25"/>
  <c r="G9594" i="25"/>
  <c r="G9595" i="25"/>
  <c r="G9596" i="25"/>
  <c r="G9597" i="25"/>
  <c r="G9598" i="25"/>
  <c r="G9599" i="25"/>
  <c r="G9600" i="25"/>
  <c r="G9601" i="25"/>
  <c r="G9602" i="25"/>
  <c r="G9603" i="25"/>
  <c r="G9604" i="25"/>
  <c r="G9605" i="25"/>
  <c r="G9606" i="25"/>
  <c r="G9607" i="25"/>
  <c r="G9608" i="25"/>
  <c r="G9609" i="25"/>
  <c r="G9610" i="25"/>
  <c r="G9611" i="25"/>
  <c r="G9612" i="25"/>
  <c r="G9613" i="25"/>
  <c r="G9614" i="25"/>
  <c r="G9615" i="25"/>
  <c r="G9616" i="25"/>
  <c r="G9617" i="25"/>
  <c r="G9618" i="25"/>
  <c r="G9619" i="25"/>
  <c r="G9620" i="25"/>
  <c r="G9621" i="25"/>
  <c r="G9622" i="25"/>
  <c r="G9623" i="25"/>
  <c r="G9624" i="25"/>
  <c r="G9625" i="25"/>
  <c r="G9626" i="25"/>
  <c r="G9627" i="25"/>
  <c r="G9628" i="25"/>
  <c r="G9629" i="25"/>
  <c r="G9630" i="25"/>
  <c r="G9631" i="25"/>
  <c r="G9632" i="25"/>
  <c r="G9633" i="25"/>
  <c r="G9634" i="25"/>
  <c r="G9635" i="25"/>
  <c r="G9636" i="25"/>
  <c r="G9637" i="25"/>
  <c r="G9638" i="25"/>
  <c r="G9639" i="25"/>
  <c r="G9640" i="25"/>
  <c r="G9641" i="25"/>
  <c r="G9642" i="25"/>
  <c r="G9643" i="25"/>
  <c r="G9644" i="25"/>
  <c r="G9645" i="25"/>
  <c r="G9646" i="25"/>
  <c r="G9647" i="25"/>
  <c r="G9648" i="25"/>
  <c r="G9649" i="25"/>
  <c r="G9650" i="25"/>
  <c r="G9651" i="25"/>
  <c r="G9652" i="25"/>
  <c r="G9653" i="25"/>
  <c r="G9654" i="25"/>
  <c r="G9655" i="25"/>
  <c r="G9656" i="25"/>
  <c r="G9657" i="25"/>
  <c r="G9658" i="25"/>
  <c r="G9659" i="25"/>
  <c r="G9660" i="25"/>
  <c r="G9661" i="25"/>
  <c r="G9662" i="25"/>
  <c r="G9663" i="25"/>
  <c r="G9664" i="25"/>
  <c r="G9665" i="25"/>
  <c r="G9666" i="25"/>
  <c r="G9667" i="25"/>
  <c r="G9668" i="25"/>
  <c r="G9669" i="25"/>
  <c r="G9670" i="25"/>
  <c r="G9671" i="25"/>
  <c r="G9672" i="25"/>
  <c r="G9673" i="25"/>
  <c r="G9674" i="25"/>
  <c r="G9675" i="25"/>
  <c r="G9676" i="25"/>
  <c r="G9677" i="25"/>
  <c r="G9678" i="25"/>
  <c r="G9679" i="25"/>
  <c r="G9680" i="25"/>
  <c r="G9681" i="25"/>
  <c r="G9682" i="25"/>
  <c r="G9683" i="25"/>
  <c r="G9684" i="25"/>
  <c r="G9685" i="25"/>
  <c r="G9686" i="25"/>
  <c r="G9687" i="25"/>
  <c r="G9688" i="25"/>
  <c r="G9689" i="25"/>
  <c r="G9690" i="25"/>
  <c r="G9691" i="25"/>
  <c r="G9692" i="25"/>
  <c r="G9693" i="25"/>
  <c r="G9694" i="25"/>
  <c r="G9695" i="25"/>
  <c r="G9696" i="25"/>
  <c r="G9697" i="25"/>
  <c r="G9698" i="25"/>
  <c r="G9699" i="25"/>
  <c r="G9700" i="25"/>
  <c r="G9701" i="25"/>
  <c r="G9702" i="25"/>
  <c r="G9703" i="25"/>
  <c r="G9704" i="25"/>
  <c r="G9705" i="25"/>
  <c r="G9706" i="25"/>
  <c r="G9707" i="25"/>
  <c r="G9708" i="25"/>
  <c r="G9709" i="25"/>
  <c r="G9710" i="25"/>
  <c r="G9711" i="25"/>
  <c r="G9712" i="25"/>
  <c r="G9713" i="25"/>
  <c r="G9714" i="25"/>
  <c r="G9715" i="25"/>
  <c r="G9716" i="25"/>
  <c r="G9717" i="25"/>
  <c r="G9718" i="25"/>
  <c r="G9719" i="25"/>
  <c r="G9720" i="25"/>
  <c r="G9721" i="25"/>
  <c r="G9722" i="25"/>
  <c r="G9723" i="25"/>
  <c r="G9724" i="25"/>
  <c r="G9725" i="25"/>
  <c r="G9726" i="25"/>
  <c r="G9727" i="25"/>
  <c r="G9728" i="25"/>
  <c r="G9729" i="25"/>
  <c r="G9730" i="25"/>
  <c r="G9731" i="25"/>
  <c r="G9732" i="25"/>
  <c r="G9733" i="25"/>
  <c r="G9734" i="25"/>
  <c r="G9735" i="25"/>
  <c r="G9736" i="25"/>
  <c r="G9737" i="25"/>
  <c r="G9738" i="25"/>
  <c r="G9739" i="25"/>
  <c r="G9740" i="25"/>
  <c r="G9741" i="25"/>
  <c r="G9742" i="25"/>
  <c r="G9743" i="25"/>
  <c r="G9744" i="25"/>
  <c r="G9745" i="25"/>
  <c r="G9746" i="25"/>
  <c r="G9747" i="25"/>
  <c r="G9748" i="25"/>
  <c r="G9749" i="25"/>
  <c r="G9750" i="25"/>
  <c r="G9751" i="25"/>
  <c r="G9752" i="25"/>
  <c r="G9753" i="25"/>
  <c r="G9754" i="25"/>
  <c r="G9755" i="25"/>
  <c r="G9756" i="25"/>
  <c r="G9757" i="25"/>
  <c r="G9758" i="25"/>
  <c r="G9759" i="25"/>
  <c r="G9760" i="25"/>
  <c r="G9761" i="25"/>
  <c r="G9762" i="25"/>
  <c r="G9763" i="25"/>
  <c r="G9764" i="25"/>
  <c r="G9765" i="25"/>
  <c r="G9766" i="25"/>
  <c r="G9767" i="25"/>
  <c r="G9768" i="25"/>
  <c r="G9769" i="25"/>
  <c r="G9770" i="25"/>
  <c r="G9771" i="25"/>
  <c r="G9772" i="25"/>
  <c r="G9773" i="25"/>
  <c r="G9774" i="25"/>
  <c r="G9775" i="25"/>
  <c r="G9776" i="25"/>
  <c r="G9777" i="25"/>
  <c r="G9778" i="25"/>
  <c r="G9779" i="25"/>
  <c r="G9780" i="25"/>
  <c r="G9781" i="25"/>
  <c r="G9782" i="25"/>
  <c r="G9783" i="25"/>
  <c r="G9784" i="25"/>
  <c r="G9785" i="25"/>
  <c r="G9786" i="25"/>
  <c r="G9787" i="25"/>
  <c r="G9788" i="25"/>
  <c r="G9789" i="25"/>
  <c r="G9790" i="25"/>
  <c r="G9791" i="25"/>
  <c r="G9792" i="25"/>
  <c r="G9793" i="25"/>
  <c r="G9794" i="25"/>
  <c r="G9795" i="25"/>
  <c r="G9796" i="25"/>
  <c r="G9797" i="25"/>
  <c r="G9798" i="25"/>
  <c r="G9799" i="25"/>
  <c r="G9800" i="25"/>
  <c r="G9801" i="25"/>
  <c r="G9802" i="25"/>
  <c r="G9803" i="25"/>
  <c r="G9804" i="25"/>
  <c r="G9805" i="25"/>
  <c r="G9806" i="25"/>
  <c r="G9807" i="25"/>
  <c r="G9808" i="25"/>
  <c r="G9809" i="25"/>
  <c r="G9810" i="25"/>
  <c r="G9811" i="25"/>
  <c r="G9812" i="25"/>
  <c r="G9813" i="25"/>
  <c r="G9814" i="25"/>
  <c r="G9815" i="25"/>
  <c r="G9816" i="25"/>
  <c r="G9817" i="25"/>
  <c r="G9818" i="25"/>
  <c r="G9819" i="25"/>
  <c r="G9820" i="25"/>
  <c r="G9821" i="25"/>
  <c r="G9822" i="25"/>
  <c r="G9823" i="25"/>
  <c r="G9824" i="25"/>
  <c r="G9825" i="25"/>
  <c r="G9826" i="25"/>
  <c r="G9827" i="25"/>
  <c r="G9828" i="25"/>
  <c r="G9829" i="25"/>
  <c r="G9830" i="25"/>
  <c r="G9831" i="25"/>
  <c r="G9832" i="25"/>
  <c r="G9833" i="25"/>
  <c r="G9834" i="25"/>
  <c r="G9835" i="25"/>
  <c r="G9836" i="25"/>
  <c r="G9837" i="25"/>
  <c r="G9838" i="25"/>
  <c r="G9839" i="25"/>
  <c r="G9840" i="25"/>
  <c r="G9841" i="25"/>
  <c r="G9842" i="25"/>
  <c r="G9843" i="25"/>
  <c r="G9844" i="25"/>
  <c r="G9845" i="25"/>
  <c r="G9846" i="25"/>
  <c r="G9847" i="25"/>
  <c r="G9848" i="25"/>
  <c r="G9849" i="25"/>
  <c r="G9850" i="25"/>
  <c r="G9851" i="25"/>
  <c r="G9852" i="25"/>
  <c r="G9853" i="25"/>
  <c r="G9854" i="25"/>
  <c r="G9855" i="25"/>
  <c r="G9856" i="25"/>
  <c r="G9857" i="25"/>
  <c r="G9858" i="25"/>
  <c r="G9859" i="25"/>
  <c r="G9860" i="25"/>
  <c r="G9861" i="25"/>
  <c r="G9862" i="25"/>
  <c r="G9863" i="25"/>
  <c r="G9864" i="25"/>
  <c r="G9865" i="25"/>
  <c r="G9866" i="25"/>
  <c r="G9867" i="25"/>
  <c r="G9868" i="25"/>
  <c r="G9869" i="25"/>
  <c r="G9870" i="25"/>
  <c r="G9871" i="25"/>
  <c r="G9872" i="25"/>
  <c r="G9873" i="25"/>
  <c r="G9874" i="25"/>
  <c r="G9875" i="25"/>
  <c r="G9876" i="25"/>
  <c r="G9877" i="25"/>
  <c r="G9878" i="25"/>
  <c r="G9879" i="25"/>
  <c r="G9880" i="25"/>
  <c r="G9881" i="25"/>
  <c r="G9882" i="25"/>
  <c r="G9883" i="25"/>
  <c r="G9884" i="25"/>
  <c r="G9885" i="25"/>
  <c r="G9886" i="25"/>
  <c r="G9887" i="25"/>
  <c r="G9888" i="25"/>
  <c r="G9889" i="25"/>
  <c r="G9890" i="25"/>
  <c r="G9891" i="25"/>
  <c r="G9892" i="25"/>
  <c r="G9893" i="25"/>
  <c r="G9894" i="25"/>
  <c r="G9895" i="25"/>
  <c r="G9896" i="25"/>
  <c r="G9897" i="25"/>
  <c r="G9898" i="25"/>
  <c r="G9899" i="25"/>
  <c r="G9900" i="25"/>
  <c r="G9901" i="25"/>
  <c r="G9902" i="25"/>
  <c r="G9903" i="25"/>
  <c r="G9904" i="25"/>
  <c r="G9905" i="25"/>
  <c r="G9906" i="25"/>
  <c r="G9907" i="25"/>
  <c r="G9908" i="25"/>
  <c r="G9909" i="25"/>
  <c r="G9910" i="25"/>
  <c r="G9911" i="25"/>
  <c r="G9912" i="25"/>
  <c r="G9913" i="25"/>
  <c r="G9914" i="25"/>
  <c r="G9915" i="25"/>
  <c r="G9916" i="25"/>
  <c r="G9917" i="25"/>
  <c r="G9918" i="25"/>
  <c r="G9919" i="25"/>
  <c r="G9920" i="25"/>
  <c r="G9921" i="25"/>
  <c r="G9922" i="25"/>
  <c r="G9923" i="25"/>
  <c r="G9924" i="25"/>
  <c r="G9925" i="25"/>
  <c r="G9926" i="25"/>
  <c r="G9927" i="25"/>
  <c r="G9928" i="25"/>
  <c r="G9929" i="25"/>
  <c r="G9930" i="25"/>
  <c r="G9931" i="25"/>
  <c r="G9932" i="25"/>
  <c r="G9933" i="25"/>
  <c r="G9934" i="25"/>
  <c r="G9935" i="25"/>
  <c r="G9936" i="25"/>
  <c r="G9937" i="25"/>
  <c r="G9938" i="25"/>
  <c r="G9939" i="25"/>
  <c r="G9940" i="25"/>
  <c r="G9941" i="25"/>
  <c r="G9942" i="25"/>
  <c r="G9943" i="25"/>
  <c r="G9944" i="25"/>
  <c r="G9945" i="25"/>
  <c r="G9946" i="25"/>
  <c r="G9947" i="25"/>
  <c r="G9948" i="25"/>
  <c r="G9949" i="25"/>
  <c r="G9950" i="25"/>
  <c r="G9951" i="25"/>
  <c r="G9952" i="25"/>
  <c r="G9953" i="25"/>
  <c r="G9954" i="25"/>
  <c r="G9955" i="25"/>
  <c r="G9956" i="25"/>
  <c r="G9957" i="25"/>
  <c r="G9958" i="25"/>
  <c r="G9959" i="25"/>
  <c r="G9960" i="25"/>
  <c r="G9961" i="25"/>
  <c r="G9962" i="25"/>
  <c r="G9963" i="25"/>
  <c r="G9964" i="25"/>
  <c r="G9965" i="25"/>
  <c r="G9966" i="25"/>
  <c r="G9967" i="25"/>
  <c r="G9968" i="25"/>
  <c r="G9969" i="25"/>
  <c r="G9970" i="25"/>
  <c r="G9971" i="25"/>
  <c r="G9972" i="25"/>
  <c r="G9973" i="25"/>
  <c r="G9974" i="25"/>
  <c r="G9975" i="25"/>
  <c r="G9976" i="25"/>
  <c r="G9977" i="25"/>
  <c r="G9978" i="25"/>
  <c r="G9979" i="25"/>
  <c r="G9980" i="25"/>
  <c r="G9981" i="25"/>
  <c r="G9982" i="25"/>
  <c r="G9983" i="25"/>
  <c r="G9984" i="25"/>
  <c r="G9985" i="25"/>
  <c r="G9986" i="25"/>
  <c r="G9987" i="25"/>
  <c r="G9988" i="25"/>
  <c r="G9989" i="25"/>
  <c r="G9990" i="25"/>
  <c r="G9991" i="25"/>
  <c r="G9992" i="25"/>
  <c r="G9993" i="25"/>
  <c r="G9994" i="25"/>
  <c r="G9995" i="25"/>
  <c r="G9996" i="25"/>
  <c r="G9997" i="25"/>
  <c r="G9998" i="25"/>
  <c r="G9999" i="25"/>
  <c r="G10000" i="25"/>
  <c r="G10001" i="25"/>
  <c r="G10002" i="25"/>
  <c r="G10003" i="25"/>
  <c r="G4" i="25"/>
  <c r="D251" i="25"/>
  <c r="D250" i="25"/>
  <c r="D249" i="25"/>
  <c r="D248" i="25"/>
  <c r="D247" i="25"/>
  <c r="D246" i="25"/>
  <c r="D245" i="25"/>
  <c r="D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D229" i="25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J24" i="25"/>
  <c r="D16" i="25"/>
  <c r="J23" i="25"/>
  <c r="D15" i="25"/>
  <c r="J22" i="25"/>
  <c r="D14" i="25"/>
  <c r="J21" i="25"/>
  <c r="D13" i="25"/>
  <c r="D12" i="25"/>
  <c r="D11" i="25"/>
  <c r="D10" i="25"/>
  <c r="D9" i="25"/>
  <c r="M10" i="25"/>
  <c r="D8" i="25"/>
  <c r="M9" i="25"/>
  <c r="D7" i="25"/>
  <c r="M8" i="25"/>
  <c r="D6" i="25"/>
  <c r="M7" i="25"/>
  <c r="D5" i="25"/>
  <c r="D4" i="25"/>
  <c r="H14" i="24"/>
  <c r="H15" i="24"/>
  <c r="H16" i="24"/>
  <c r="H13" i="24"/>
  <c r="I16" i="24"/>
  <c r="J16" i="24" s="1"/>
  <c r="K16" i="24" s="1"/>
  <c r="J15" i="24"/>
  <c r="K15" i="24" s="1"/>
  <c r="J14" i="24"/>
  <c r="K14" i="24" s="1"/>
  <c r="J13" i="24"/>
  <c r="K13" i="24" s="1"/>
  <c r="I15" i="24"/>
  <c r="I14" i="24"/>
  <c r="I13" i="24"/>
  <c r="K8" i="24"/>
  <c r="K7" i="24"/>
  <c r="K6" i="24"/>
  <c r="K5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G57" i="26" l="1"/>
  <c r="F43" i="26"/>
  <c r="D53" i="26"/>
  <c r="G70" i="26"/>
  <c r="G73" i="26" s="1"/>
  <c r="E53" i="26"/>
  <c r="F53" i="26"/>
  <c r="I57" i="26"/>
  <c r="E63" i="26"/>
  <c r="D64" i="26"/>
  <c r="D74" i="26" s="1"/>
  <c r="F47" i="26"/>
  <c r="F64" i="26"/>
  <c r="F74" i="26" s="1"/>
  <c r="G64" i="26"/>
  <c r="G74" i="26" s="1"/>
  <c r="C55" i="26"/>
  <c r="H64" i="26"/>
  <c r="H74" i="26" s="1"/>
  <c r="G53" i="26"/>
  <c r="G59" i="26" s="1"/>
  <c r="F70" i="26"/>
  <c r="F73" i="26" s="1"/>
  <c r="F75" i="26" s="1"/>
  <c r="H75" i="26"/>
  <c r="E70" i="26"/>
  <c r="E73" i="26" s="1"/>
  <c r="F63" i="26"/>
  <c r="F65" i="26" s="1"/>
  <c r="C57" i="26"/>
  <c r="D70" i="26"/>
  <c r="D73" i="26" s="1"/>
  <c r="E64" i="26"/>
  <c r="E74" i="26" s="1"/>
  <c r="I64" i="26"/>
  <c r="I74" i="26" s="1"/>
  <c r="I75" i="26" s="1"/>
  <c r="C51" i="26"/>
  <c r="C53" i="26" s="1"/>
  <c r="D43" i="26"/>
  <c r="E43" i="26"/>
  <c r="H57" i="26"/>
  <c r="D63" i="26"/>
  <c r="C65" i="26"/>
  <c r="C69" i="26"/>
  <c r="C71" i="26" s="1"/>
  <c r="C75" i="26"/>
  <c r="I69" i="26"/>
  <c r="I71" i="26" s="1"/>
  <c r="H69" i="26"/>
  <c r="H71" i="26" s="1"/>
  <c r="G65" i="26"/>
  <c r="G69" i="26"/>
  <c r="E69" i="26"/>
  <c r="D69" i="26"/>
  <c r="H51" i="26"/>
  <c r="H53" i="26" s="1"/>
  <c r="H59" i="26" s="1"/>
  <c r="C47" i="26"/>
  <c r="C49" i="26" s="1"/>
  <c r="I51" i="26"/>
  <c r="I53" i="26" s="1"/>
  <c r="C43" i="26"/>
  <c r="I43" i="26"/>
  <c r="H47" i="26"/>
  <c r="H49" i="26" s="1"/>
  <c r="H43" i="26"/>
  <c r="I47" i="26"/>
  <c r="I49" i="26" s="1"/>
  <c r="G47" i="26"/>
  <c r="G49" i="26" s="1"/>
  <c r="E56" i="26"/>
  <c r="E57" i="26" s="1"/>
  <c r="G43" i="26"/>
  <c r="E49" i="26"/>
  <c r="F49" i="26"/>
  <c r="F59" i="26" s="1"/>
  <c r="D56" i="26"/>
  <c r="D57" i="26" s="1"/>
  <c r="M14" i="25"/>
  <c r="K24" i="25"/>
  <c r="L24" i="25" s="1"/>
  <c r="M24" i="25" s="1"/>
  <c r="K22" i="25"/>
  <c r="L22" i="25" s="1"/>
  <c r="M22" i="25" s="1"/>
  <c r="K23" i="25"/>
  <c r="L23" i="25" s="1"/>
  <c r="M23" i="25" s="1"/>
  <c r="K21" i="25"/>
  <c r="L21" i="25" s="1"/>
  <c r="M21" i="25" s="1"/>
  <c r="M17" i="25"/>
  <c r="M16" i="25"/>
  <c r="M15" i="25"/>
  <c r="C10" i="23"/>
  <c r="E10" i="23"/>
  <c r="F7" i="23"/>
  <c r="E7" i="23" s="1"/>
  <c r="D7" i="23"/>
  <c r="C7" i="23" s="1"/>
  <c r="F9" i="23"/>
  <c r="E9" i="23" s="1"/>
  <c r="D9" i="23"/>
  <c r="C9" i="23" s="1"/>
  <c r="F8" i="23"/>
  <c r="E8" i="23" s="1"/>
  <c r="D8" i="23"/>
  <c r="C8" i="23" s="1"/>
  <c r="M8" i="15"/>
  <c r="D41" i="19"/>
  <c r="D36" i="19"/>
  <c r="D35" i="19"/>
  <c r="D75" i="26" l="1"/>
  <c r="G75" i="26"/>
  <c r="E71" i="26"/>
  <c r="G71" i="26"/>
  <c r="F69" i="26"/>
  <c r="F71" i="26" s="1"/>
  <c r="I77" i="26"/>
  <c r="C59" i="26"/>
  <c r="D59" i="26"/>
  <c r="H77" i="26"/>
  <c r="D71" i="26"/>
  <c r="D77" i="26" s="1"/>
  <c r="E75" i="26"/>
  <c r="E77" i="26" s="1"/>
  <c r="H65" i="26"/>
  <c r="F77" i="26"/>
  <c r="I65" i="26"/>
  <c r="E59" i="26"/>
  <c r="C77" i="26"/>
  <c r="I59" i="26"/>
  <c r="D65" i="26"/>
  <c r="E65" i="26"/>
  <c r="G77" i="26"/>
  <c r="J8" i="21"/>
  <c r="L8" i="21"/>
  <c r="J9" i="21"/>
  <c r="L9" i="21"/>
  <c r="J10" i="21"/>
  <c r="L10" i="21"/>
  <c r="J11" i="21"/>
  <c r="K11" i="21"/>
  <c r="L11" i="21"/>
  <c r="J12" i="21"/>
  <c r="K12" i="21"/>
  <c r="L12" i="21"/>
  <c r="J13" i="21"/>
  <c r="K13" i="21"/>
  <c r="L13" i="21"/>
  <c r="J14" i="21"/>
  <c r="K14" i="21"/>
  <c r="L14" i="21"/>
  <c r="L7" i="21"/>
  <c r="J7" i="21"/>
  <c r="I4" i="22"/>
  <c r="I5" i="22"/>
  <c r="I6" i="22"/>
  <c r="I7" i="22"/>
  <c r="I8" i="22"/>
  <c r="I9" i="22"/>
  <c r="I10" i="22"/>
  <c r="I3" i="22"/>
  <c r="G8" i="21"/>
  <c r="G9" i="21"/>
  <c r="G10" i="21"/>
  <c r="G11" i="21"/>
  <c r="G12" i="21"/>
  <c r="G13" i="21"/>
  <c r="G14" i="21"/>
  <c r="G7" i="21"/>
  <c r="N26" i="21" s="1"/>
  <c r="O26" i="21" s="1"/>
  <c r="P26" i="21" s="1"/>
  <c r="E8" i="21"/>
  <c r="E9" i="21"/>
  <c r="E10" i="21"/>
  <c r="E11" i="21"/>
  <c r="E12" i="21"/>
  <c r="E13" i="21"/>
  <c r="E14" i="21"/>
  <c r="E7" i="21"/>
  <c r="O28" i="21" s="1"/>
  <c r="D14" i="21"/>
  <c r="D13" i="21"/>
  <c r="D12" i="21"/>
  <c r="D11" i="21"/>
  <c r="D10" i="21"/>
  <c r="D9" i="21"/>
  <c r="D8" i="21"/>
  <c r="D7" i="21"/>
  <c r="B8" i="21"/>
  <c r="B9" i="21"/>
  <c r="B10" i="21"/>
  <c r="B11" i="21"/>
  <c r="B12" i="21"/>
  <c r="B13" i="21"/>
  <c r="B14" i="21"/>
  <c r="B7" i="21"/>
  <c r="L10" i="22"/>
  <c r="L9" i="22"/>
  <c r="L8" i="22"/>
  <c r="L7" i="22"/>
  <c r="L6" i="22"/>
  <c r="K10" i="21" s="1"/>
  <c r="L5" i="22"/>
  <c r="K9" i="21" s="1"/>
  <c r="L4" i="22"/>
  <c r="K8" i="21" s="1"/>
  <c r="L3" i="22"/>
  <c r="K7" i="21" s="1"/>
  <c r="J3" i="22"/>
  <c r="F10" i="22"/>
  <c r="J10" i="22" s="1"/>
  <c r="F9" i="22"/>
  <c r="J9" i="22" s="1"/>
  <c r="F8" i="22"/>
  <c r="J8" i="22" s="1"/>
  <c r="F7" i="22"/>
  <c r="J7" i="22" s="1"/>
  <c r="F6" i="22"/>
  <c r="J6" i="22" s="1"/>
  <c r="F5" i="22"/>
  <c r="J5" i="22" s="1"/>
  <c r="F4" i="22"/>
  <c r="J4" i="22" s="1"/>
  <c r="F3" i="22"/>
  <c r="G13" i="19"/>
  <c r="H13" i="19" s="1"/>
  <c r="I13" i="19" s="1"/>
  <c r="J13" i="19" s="1"/>
  <c r="E19" i="14"/>
  <c r="F19" i="14" s="1"/>
  <c r="G5" i="20"/>
  <c r="G7" i="20" s="1"/>
  <c r="K20" i="14" s="1"/>
  <c r="I9" i="14"/>
  <c r="I10" i="14"/>
  <c r="I11" i="14"/>
  <c r="I12" i="14"/>
  <c r="I8" i="14"/>
  <c r="K29" i="14"/>
  <c r="C28" i="14"/>
  <c r="F9" i="19"/>
  <c r="G9" i="19" s="1"/>
  <c r="H9" i="19" s="1"/>
  <c r="I9" i="19" s="1"/>
  <c r="J9" i="19" s="1"/>
  <c r="E6" i="19"/>
  <c r="F6" i="19" s="1"/>
  <c r="G6" i="19" s="1"/>
  <c r="H6" i="19" s="1"/>
  <c r="I6" i="19" s="1"/>
  <c r="J6" i="19" s="1"/>
  <c r="H47" i="18"/>
  <c r="G47" i="18"/>
  <c r="F47" i="18"/>
  <c r="E47" i="18"/>
  <c r="D47" i="18"/>
  <c r="H34" i="18"/>
  <c r="G34" i="18"/>
  <c r="F34" i="18"/>
  <c r="E34" i="18"/>
  <c r="D34" i="18"/>
  <c r="E24" i="18"/>
  <c r="F24" i="18"/>
  <c r="G24" i="18"/>
  <c r="H24" i="18"/>
  <c r="E25" i="18"/>
  <c r="F25" i="18"/>
  <c r="G25" i="18"/>
  <c r="H25" i="18"/>
  <c r="E26" i="18"/>
  <c r="F26" i="18"/>
  <c r="G26" i="18"/>
  <c r="H26" i="18"/>
  <c r="E27" i="18"/>
  <c r="F27" i="18"/>
  <c r="G27" i="18"/>
  <c r="H27" i="18"/>
  <c r="E28" i="18"/>
  <c r="F28" i="18"/>
  <c r="G28" i="18"/>
  <c r="H28" i="18"/>
  <c r="E29" i="18"/>
  <c r="F29" i="18"/>
  <c r="G29" i="18"/>
  <c r="H29" i="18"/>
  <c r="E30" i="18"/>
  <c r="F30" i="18"/>
  <c r="G30" i="18"/>
  <c r="H30" i="18"/>
  <c r="E31" i="18"/>
  <c r="F31" i="18"/>
  <c r="G31" i="18"/>
  <c r="H31" i="18"/>
  <c r="E32" i="18"/>
  <c r="F32" i="18"/>
  <c r="G32" i="18"/>
  <c r="H32" i="18"/>
  <c r="E33" i="18"/>
  <c r="F33" i="18"/>
  <c r="F35" i="18" s="1"/>
  <c r="G33" i="18"/>
  <c r="H33" i="18"/>
  <c r="D25" i="18"/>
  <c r="D26" i="18"/>
  <c r="D27" i="18"/>
  <c r="D28" i="18"/>
  <c r="D29" i="18"/>
  <c r="D30" i="18"/>
  <c r="D31" i="18"/>
  <c r="D32" i="18"/>
  <c r="D33" i="18"/>
  <c r="D24" i="18"/>
  <c r="B25" i="18"/>
  <c r="B26" i="18"/>
  <c r="B27" i="18"/>
  <c r="B28" i="18"/>
  <c r="B29" i="18"/>
  <c r="B30" i="18"/>
  <c r="B31" i="18"/>
  <c r="B32" i="18"/>
  <c r="B24" i="18"/>
  <c r="H18" i="18"/>
  <c r="G18" i="18"/>
  <c r="F18" i="18"/>
  <c r="E18" i="18"/>
  <c r="D18" i="18"/>
  <c r="H17" i="18"/>
  <c r="G17" i="18"/>
  <c r="F17" i="18"/>
  <c r="E17" i="18"/>
  <c r="D17" i="18"/>
  <c r="H16" i="18"/>
  <c r="G16" i="18"/>
  <c r="F16" i="18"/>
  <c r="E16" i="18"/>
  <c r="D16" i="18"/>
  <c r="B17" i="18"/>
  <c r="B18" i="18"/>
  <c r="B16" i="18"/>
  <c r="E11" i="18"/>
  <c r="F11" i="18"/>
  <c r="G11" i="18"/>
  <c r="H11" i="18"/>
  <c r="E12" i="18"/>
  <c r="F12" i="18"/>
  <c r="G12" i="18"/>
  <c r="H12" i="18"/>
  <c r="D12" i="18"/>
  <c r="D11" i="18"/>
  <c r="E9" i="18"/>
  <c r="F9" i="18"/>
  <c r="G9" i="18"/>
  <c r="H9" i="18"/>
  <c r="E10" i="18"/>
  <c r="F10" i="18"/>
  <c r="G10" i="18"/>
  <c r="H10" i="18"/>
  <c r="D10" i="18"/>
  <c r="D9" i="18"/>
  <c r="B11" i="18"/>
  <c r="B12" i="18"/>
  <c r="B10" i="18"/>
  <c r="B9" i="18"/>
  <c r="L30" i="17"/>
  <c r="K30" i="17"/>
  <c r="J30" i="17"/>
  <c r="I30" i="17"/>
  <c r="H30" i="17"/>
  <c r="G30" i="17"/>
  <c r="F30" i="17"/>
  <c r="E30" i="17"/>
  <c r="D30" i="17"/>
  <c r="C30" i="17"/>
  <c r="H35" i="18" l="1"/>
  <c r="D19" i="18"/>
  <c r="E19" i="18"/>
  <c r="G35" i="18"/>
  <c r="E21" i="14"/>
  <c r="J35" i="14" s="1"/>
  <c r="P28" i="21"/>
  <c r="F19" i="18"/>
  <c r="N28" i="21"/>
  <c r="H19" i="18"/>
  <c r="G19" i="18"/>
  <c r="D13" i="18"/>
  <c r="D21" i="18" s="1"/>
  <c r="D37" i="18" s="1"/>
  <c r="F7" i="21"/>
  <c r="F14" i="21"/>
  <c r="F13" i="21"/>
  <c r="F12" i="21"/>
  <c r="F11" i="21"/>
  <c r="F10" i="21"/>
  <c r="F9" i="21"/>
  <c r="F8" i="21"/>
  <c r="E13" i="18"/>
  <c r="E21" i="18" s="1"/>
  <c r="E35" i="18"/>
  <c r="D35" i="18"/>
  <c r="G13" i="18"/>
  <c r="F13" i="18"/>
  <c r="H13" i="18"/>
  <c r="C74" i="6"/>
  <c r="D74" i="6"/>
  <c r="E40" i="7" s="1"/>
  <c r="E74" i="6"/>
  <c r="F40" i="7" s="1"/>
  <c r="F74" i="6"/>
  <c r="G40" i="7" s="1"/>
  <c r="G74" i="6"/>
  <c r="H40" i="7" s="1"/>
  <c r="H74" i="6"/>
  <c r="I40" i="7" s="1"/>
  <c r="I74" i="6"/>
  <c r="J40" i="7" s="1"/>
  <c r="J74" i="6"/>
  <c r="K40" i="7" s="1"/>
  <c r="K74" i="6"/>
  <c r="L40" i="7" s="1"/>
  <c r="B74" i="6"/>
  <c r="G41" i="7"/>
  <c r="G43" i="7"/>
  <c r="G36" i="7"/>
  <c r="G37" i="7"/>
  <c r="H37" i="7"/>
  <c r="I37" i="7"/>
  <c r="G39" i="7"/>
  <c r="H39" i="7"/>
  <c r="C76" i="6"/>
  <c r="D42" i="7" s="1"/>
  <c r="D76" i="6"/>
  <c r="E42" i="7" s="1"/>
  <c r="E76" i="6"/>
  <c r="F38" i="7" s="1"/>
  <c r="F76" i="6"/>
  <c r="G38" i="7" s="1"/>
  <c r="G76" i="6"/>
  <c r="H38" i="7" s="1"/>
  <c r="H76" i="6"/>
  <c r="I38" i="7" s="1"/>
  <c r="I76" i="6"/>
  <c r="J38" i="7" s="1"/>
  <c r="J76" i="6"/>
  <c r="K42" i="7" s="1"/>
  <c r="K76" i="6"/>
  <c r="L42" i="7" s="1"/>
  <c r="B76" i="6"/>
  <c r="C41" i="7" s="1"/>
  <c r="D31" i="7"/>
  <c r="E31" i="7"/>
  <c r="F31" i="7"/>
  <c r="G31" i="7"/>
  <c r="H31" i="7"/>
  <c r="I31" i="7"/>
  <c r="J31" i="7"/>
  <c r="K31" i="7"/>
  <c r="L31" i="7"/>
  <c r="D32" i="7"/>
  <c r="E32" i="7"/>
  <c r="F32" i="7"/>
  <c r="G32" i="7"/>
  <c r="H32" i="7"/>
  <c r="I32" i="7"/>
  <c r="J32" i="7"/>
  <c r="K32" i="7"/>
  <c r="L32" i="7"/>
  <c r="D33" i="7"/>
  <c r="E33" i="7"/>
  <c r="F33" i="7"/>
  <c r="G33" i="7"/>
  <c r="H33" i="7"/>
  <c r="I33" i="7"/>
  <c r="J33" i="7"/>
  <c r="K33" i="7"/>
  <c r="L33" i="7"/>
  <c r="D34" i="7"/>
  <c r="E34" i="7"/>
  <c r="F34" i="7"/>
  <c r="G34" i="7"/>
  <c r="H34" i="7"/>
  <c r="I34" i="7"/>
  <c r="J34" i="7"/>
  <c r="K34" i="7"/>
  <c r="L34" i="7"/>
  <c r="C33" i="7"/>
  <c r="C31" i="7"/>
  <c r="C34" i="7"/>
  <c r="C32" i="7"/>
  <c r="D30" i="7"/>
  <c r="E30" i="7"/>
  <c r="F30" i="7"/>
  <c r="G30" i="7"/>
  <c r="H30" i="7"/>
  <c r="I30" i="7"/>
  <c r="J30" i="7"/>
  <c r="K30" i="7"/>
  <c r="L30" i="7"/>
  <c r="C30" i="7"/>
  <c r="B31" i="7"/>
  <c r="E28" i="7"/>
  <c r="F28" i="7"/>
  <c r="G28" i="7"/>
  <c r="H28" i="7"/>
  <c r="I28" i="7"/>
  <c r="J28" i="7"/>
  <c r="K28" i="7"/>
  <c r="L28" i="7"/>
  <c r="D28" i="7"/>
  <c r="C28" i="7"/>
  <c r="D6" i="7"/>
  <c r="E6" i="7"/>
  <c r="F6" i="7"/>
  <c r="G6" i="7"/>
  <c r="H6" i="7"/>
  <c r="I6" i="7"/>
  <c r="J6" i="7"/>
  <c r="K6" i="7"/>
  <c r="L6" i="7"/>
  <c r="C6" i="7"/>
  <c r="B32" i="7"/>
  <c r="B33" i="7"/>
  <c r="B34" i="7"/>
  <c r="B37" i="7"/>
  <c r="B38" i="7"/>
  <c r="B39" i="7"/>
  <c r="B40" i="7"/>
  <c r="B41" i="7"/>
  <c r="B42" i="7"/>
  <c r="B43" i="7"/>
  <c r="B26" i="7"/>
  <c r="B4" i="7"/>
  <c r="B23" i="7"/>
  <c r="C9" i="7"/>
  <c r="D9" i="7"/>
  <c r="E9" i="7"/>
  <c r="F9" i="7"/>
  <c r="G9" i="7"/>
  <c r="H9" i="7"/>
  <c r="I9" i="7"/>
  <c r="J9" i="7"/>
  <c r="K9" i="7"/>
  <c r="L9" i="7"/>
  <c r="C10" i="7"/>
  <c r="D10" i="7"/>
  <c r="E10" i="7"/>
  <c r="F10" i="7"/>
  <c r="G10" i="7"/>
  <c r="H10" i="7"/>
  <c r="I10" i="7"/>
  <c r="J10" i="7"/>
  <c r="K10" i="7"/>
  <c r="L10" i="7"/>
  <c r="C11" i="7"/>
  <c r="D11" i="7"/>
  <c r="E11" i="7"/>
  <c r="F11" i="7"/>
  <c r="G11" i="7"/>
  <c r="H11" i="7"/>
  <c r="I11" i="7"/>
  <c r="J11" i="7"/>
  <c r="K11" i="7"/>
  <c r="L11" i="7"/>
  <c r="C12" i="7"/>
  <c r="D12" i="7"/>
  <c r="E12" i="7"/>
  <c r="F12" i="7"/>
  <c r="G12" i="7"/>
  <c r="H12" i="7"/>
  <c r="I12" i="7"/>
  <c r="J12" i="7"/>
  <c r="K12" i="7"/>
  <c r="L12" i="7"/>
  <c r="C13" i="7"/>
  <c r="D13" i="7"/>
  <c r="E13" i="7"/>
  <c r="F13" i="7"/>
  <c r="G13" i="7"/>
  <c r="H13" i="7"/>
  <c r="I13" i="7"/>
  <c r="J13" i="7"/>
  <c r="K13" i="7"/>
  <c r="L13" i="7"/>
  <c r="C14" i="7"/>
  <c r="D14" i="7"/>
  <c r="E14" i="7"/>
  <c r="F14" i="7"/>
  <c r="G14" i="7"/>
  <c r="H14" i="7"/>
  <c r="I14" i="7"/>
  <c r="J14" i="7"/>
  <c r="K14" i="7"/>
  <c r="L14" i="7"/>
  <c r="C15" i="7"/>
  <c r="D15" i="7"/>
  <c r="E15" i="7"/>
  <c r="F15" i="7"/>
  <c r="G15" i="7"/>
  <c r="H15" i="7"/>
  <c r="I15" i="7"/>
  <c r="J15" i="7"/>
  <c r="K15" i="7"/>
  <c r="L15" i="7"/>
  <c r="C16" i="7"/>
  <c r="D16" i="7"/>
  <c r="E16" i="7"/>
  <c r="F16" i="7"/>
  <c r="G16" i="7"/>
  <c r="H16" i="7"/>
  <c r="I16" i="7"/>
  <c r="J16" i="7"/>
  <c r="K16" i="7"/>
  <c r="L16" i="7"/>
  <c r="C17" i="7"/>
  <c r="D17" i="7"/>
  <c r="E17" i="7"/>
  <c r="F17" i="7"/>
  <c r="G17" i="7"/>
  <c r="H17" i="7"/>
  <c r="I17" i="7"/>
  <c r="J17" i="7"/>
  <c r="K17" i="7"/>
  <c r="L17" i="7"/>
  <c r="C18" i="7"/>
  <c r="D18" i="7"/>
  <c r="E18" i="7"/>
  <c r="F18" i="7"/>
  <c r="G18" i="7"/>
  <c r="H18" i="7"/>
  <c r="I18" i="7"/>
  <c r="J18" i="7"/>
  <c r="K18" i="7"/>
  <c r="L18" i="7"/>
  <c r="C19" i="7"/>
  <c r="D19" i="7"/>
  <c r="E19" i="7"/>
  <c r="F19" i="7"/>
  <c r="G19" i="7"/>
  <c r="H19" i="7"/>
  <c r="I19" i="7"/>
  <c r="J19" i="7"/>
  <c r="K19" i="7"/>
  <c r="L19" i="7"/>
  <c r="C20" i="7"/>
  <c r="D20" i="7"/>
  <c r="E20" i="7"/>
  <c r="F20" i="7"/>
  <c r="G20" i="7"/>
  <c r="H20" i="7"/>
  <c r="I20" i="7"/>
  <c r="J20" i="7"/>
  <c r="K20" i="7"/>
  <c r="L20" i="7"/>
  <c r="C21" i="7"/>
  <c r="D21" i="7"/>
  <c r="E21" i="7"/>
  <c r="F21" i="7"/>
  <c r="G21" i="7"/>
  <c r="H21" i="7"/>
  <c r="I21" i="7"/>
  <c r="J21" i="7"/>
  <c r="K21" i="7"/>
  <c r="L21" i="7"/>
  <c r="C22" i="7"/>
  <c r="D22" i="7"/>
  <c r="E22" i="7"/>
  <c r="F22" i="7"/>
  <c r="G22" i="7"/>
  <c r="H22" i="7"/>
  <c r="I22" i="7"/>
  <c r="J22" i="7"/>
  <c r="K22" i="7"/>
  <c r="L22" i="7"/>
  <c r="D8" i="7"/>
  <c r="E8" i="7"/>
  <c r="F8" i="7"/>
  <c r="G8" i="7"/>
  <c r="H8" i="7"/>
  <c r="I8" i="7"/>
  <c r="J8" i="7"/>
  <c r="K8" i="7"/>
  <c r="L8" i="7"/>
  <c r="C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8" i="7"/>
  <c r="K32" i="6"/>
  <c r="E8" i="19" s="1"/>
  <c r="E10" i="19" s="1"/>
  <c r="J32" i="6"/>
  <c r="K23" i="7" s="1"/>
  <c r="I32" i="6"/>
  <c r="J23" i="7" s="1"/>
  <c r="H32" i="6"/>
  <c r="I23" i="7" s="1"/>
  <c r="G32" i="6"/>
  <c r="H23" i="7" s="1"/>
  <c r="F32" i="6"/>
  <c r="G23" i="7" s="1"/>
  <c r="E32" i="6"/>
  <c r="F23" i="7" s="1"/>
  <c r="D32" i="6"/>
  <c r="E23" i="7" s="1"/>
  <c r="C32" i="6"/>
  <c r="D23" i="7" s="1"/>
  <c r="B32" i="6"/>
  <c r="C23" i="7" s="1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H15" i="14"/>
  <c r="H14" i="14"/>
  <c r="G15" i="14"/>
  <c r="G14" i="14"/>
  <c r="K12" i="14"/>
  <c r="K11" i="14"/>
  <c r="K10" i="14"/>
  <c r="K9" i="14"/>
  <c r="C29" i="14"/>
  <c r="L2" i="13"/>
  <c r="G2" i="13"/>
  <c r="B2" i="13"/>
  <c r="D14" i="12"/>
  <c r="D4" i="13" a="1"/>
  <c r="D4" i="13" s="1"/>
  <c r="D4" i="6"/>
  <c r="D20" i="12"/>
  <c r="D21" i="12"/>
  <c r="D22" i="12"/>
  <c r="D23" i="12"/>
  <c r="D19" i="12"/>
  <c r="J37" i="7" l="1"/>
  <c r="H36" i="7"/>
  <c r="D40" i="7"/>
  <c r="I43" i="7"/>
  <c r="I36" i="7"/>
  <c r="C37" i="7"/>
  <c r="I42" i="7"/>
  <c r="C38" i="7"/>
  <c r="K41" i="7"/>
  <c r="J36" i="7"/>
  <c r="C39" i="7"/>
  <c r="L41" i="7"/>
  <c r="L39" i="7"/>
  <c r="J41" i="7"/>
  <c r="C36" i="7"/>
  <c r="J42" i="7"/>
  <c r="J39" i="7"/>
  <c r="I41" i="7"/>
  <c r="K36" i="7"/>
  <c r="I39" i="7"/>
  <c r="H41" i="7"/>
  <c r="E37" i="18"/>
  <c r="F43" i="7"/>
  <c r="D37" i="7"/>
  <c r="D43" i="7"/>
  <c r="K39" i="7"/>
  <c r="F36" i="7"/>
  <c r="E36" i="7"/>
  <c r="F41" i="7"/>
  <c r="C40" i="7"/>
  <c r="E38" i="7"/>
  <c r="K43" i="7"/>
  <c r="F21" i="18"/>
  <c r="F37" i="18" s="1"/>
  <c r="E43" i="7"/>
  <c r="D38" i="7"/>
  <c r="J43" i="7"/>
  <c r="G21" i="18"/>
  <c r="G37" i="18" s="1"/>
  <c r="E39" i="7"/>
  <c r="F37" i="7"/>
  <c r="D39" i="7"/>
  <c r="E37" i="7"/>
  <c r="F39" i="7"/>
  <c r="C43" i="7"/>
  <c r="E41" i="7"/>
  <c r="C42" i="7"/>
  <c r="D41" i="7"/>
  <c r="L43" i="7"/>
  <c r="L37" i="7"/>
  <c r="K37" i="7"/>
  <c r="H43" i="7"/>
  <c r="H12" i="21"/>
  <c r="P12" i="21"/>
  <c r="H7" i="21"/>
  <c r="P7" i="21"/>
  <c r="L36" i="7"/>
  <c r="H21" i="18"/>
  <c r="M7" i="15"/>
  <c r="M6" i="15"/>
  <c r="H13" i="21"/>
  <c r="P13" i="21"/>
  <c r="L38" i="7"/>
  <c r="K38" i="7"/>
  <c r="H42" i="7"/>
  <c r="L23" i="7"/>
  <c r="F42" i="7"/>
  <c r="H10" i="21"/>
  <c r="P10" i="21"/>
  <c r="H11" i="21"/>
  <c r="P11" i="21"/>
  <c r="G42" i="7"/>
  <c r="D36" i="7"/>
  <c r="E48" i="18"/>
  <c r="E54" i="18" s="1"/>
  <c r="H8" i="21"/>
  <c r="P8" i="21"/>
  <c r="H9" i="21"/>
  <c r="P9" i="21"/>
  <c r="H14" i="21"/>
  <c r="P14" i="21"/>
  <c r="I15" i="14"/>
  <c r="C30" i="14"/>
  <c r="D29" i="14" s="1"/>
  <c r="I14" i="14"/>
  <c r="E28" i="14" s="1"/>
  <c r="D13" i="13"/>
  <c r="D12" i="13"/>
  <c r="D11" i="13"/>
  <c r="D10" i="13"/>
  <c r="D9" i="13"/>
  <c r="D8" i="13"/>
  <c r="D7" i="13"/>
  <c r="D6" i="13"/>
  <c r="D5" i="13"/>
  <c r="D15" i="12"/>
  <c r="D16" i="12"/>
  <c r="E16" i="12" s="1"/>
  <c r="D17" i="12"/>
  <c r="E17" i="12" s="1"/>
  <c r="D18" i="12"/>
  <c r="E14" i="12"/>
  <c r="F48" i="18" l="1"/>
  <c r="F54" i="18" s="1"/>
  <c r="G48" i="18"/>
  <c r="G54" i="18" s="1"/>
  <c r="O14" i="21"/>
  <c r="N14" i="21"/>
  <c r="O9" i="21"/>
  <c r="N9" i="21"/>
  <c r="O13" i="21"/>
  <c r="N13" i="21"/>
  <c r="O8" i="21"/>
  <c r="N8" i="21"/>
  <c r="O11" i="21"/>
  <c r="N11" i="21"/>
  <c r="O10" i="21"/>
  <c r="N10" i="21"/>
  <c r="H37" i="18"/>
  <c r="H48" i="18"/>
  <c r="H54" i="18" s="1"/>
  <c r="P20" i="21"/>
  <c r="P17" i="21"/>
  <c r="P19" i="21"/>
  <c r="P27" i="21" s="1"/>
  <c r="P18" i="21"/>
  <c r="P16" i="21"/>
  <c r="P21" i="21"/>
  <c r="N7" i="21"/>
  <c r="O7" i="21"/>
  <c r="K35" i="14"/>
  <c r="E29" i="14"/>
  <c r="E32" i="14"/>
  <c r="K28" i="14" s="1"/>
  <c r="O12" i="21"/>
  <c r="N12" i="21"/>
  <c r="J8" i="15"/>
  <c r="D30" i="14"/>
  <c r="D28" i="14"/>
  <c r="D32" i="14" s="1"/>
  <c r="E5" i="13"/>
  <c r="D17" i="13"/>
  <c r="D14" i="13"/>
  <c r="E14" i="13" s="1"/>
  <c r="D16" i="13"/>
  <c r="D18" i="13"/>
  <c r="E18" i="13" s="1"/>
  <c r="D19" i="13"/>
  <c r="E6" i="13"/>
  <c r="E7" i="13"/>
  <c r="E8" i="13"/>
  <c r="E9" i="13"/>
  <c r="E10" i="13"/>
  <c r="E11" i="13"/>
  <c r="E12" i="13"/>
  <c r="E13" i="13"/>
  <c r="D15" i="13"/>
  <c r="E18" i="12"/>
  <c r="E15" i="12"/>
  <c r="L52" i="8"/>
  <c r="D26" i="12"/>
  <c r="E5" i="12"/>
  <c r="E6" i="12"/>
  <c r="E7" i="12"/>
  <c r="E8" i="12"/>
  <c r="E9" i="12"/>
  <c r="E10" i="12"/>
  <c r="E11" i="12"/>
  <c r="E12" i="12"/>
  <c r="E13" i="12"/>
  <c r="E4" i="12"/>
  <c r="E19" i="13" l="1"/>
  <c r="E15" i="13"/>
  <c r="J14" i="15"/>
  <c r="J8" i="14"/>
  <c r="P29" i="21"/>
  <c r="P25" i="21"/>
  <c r="D27" i="12"/>
  <c r="E30" i="14"/>
  <c r="K36" i="14"/>
  <c r="O19" i="21"/>
  <c r="O25" i="21" s="1"/>
  <c r="O27" i="21" s="1"/>
  <c r="O29" i="21" s="1"/>
  <c r="O31" i="21" s="1"/>
  <c r="O16" i="21"/>
  <c r="O20" i="21"/>
  <c r="O18" i="21"/>
  <c r="O17" i="21"/>
  <c r="O21" i="21"/>
  <c r="N18" i="21"/>
  <c r="N17" i="21"/>
  <c r="N21" i="21"/>
  <c r="N20" i="21"/>
  <c r="N19" i="21"/>
  <c r="N25" i="21" s="1"/>
  <c r="N27" i="21" s="1"/>
  <c r="N29" i="21" s="1"/>
  <c r="N16" i="21"/>
  <c r="E16" i="13"/>
  <c r="E17" i="13"/>
  <c r="D25" i="12"/>
  <c r="F6" i="23" l="1"/>
  <c r="E6" i="23" s="1"/>
  <c r="N31" i="21"/>
  <c r="D6" i="23"/>
  <c r="C6" i="23" s="1"/>
  <c r="P31" i="21"/>
  <c r="K8" i="14"/>
  <c r="J15" i="14"/>
  <c r="J14" i="14"/>
  <c r="M37" i="8"/>
  <c r="M42" i="8" s="1"/>
  <c r="M16" i="8"/>
  <c r="K14" i="14" l="1"/>
  <c r="K15" i="14"/>
  <c r="K27" i="14" s="1"/>
  <c r="K30" i="14" s="1"/>
  <c r="K21" i="14" s="1"/>
  <c r="K22" i="14" s="1"/>
  <c r="J36" i="14" s="1"/>
  <c r="K37" i="14" s="1"/>
  <c r="D19" i="19" s="1"/>
  <c r="D99" i="8"/>
  <c r="E99" i="8"/>
  <c r="F99" i="8"/>
  <c r="G99" i="8"/>
  <c r="H99" i="8"/>
  <c r="I99" i="8"/>
  <c r="J99" i="8"/>
  <c r="K99" i="8"/>
  <c r="L99" i="8"/>
  <c r="D100" i="8"/>
  <c r="E100" i="8"/>
  <c r="F100" i="8"/>
  <c r="G100" i="8"/>
  <c r="H100" i="8"/>
  <c r="I100" i="8"/>
  <c r="J100" i="8"/>
  <c r="J107" i="8" s="1"/>
  <c r="K100" i="8"/>
  <c r="L100" i="8"/>
  <c r="D101" i="8"/>
  <c r="E101" i="8"/>
  <c r="F101" i="8"/>
  <c r="G101" i="8"/>
  <c r="H101" i="8"/>
  <c r="I101" i="8"/>
  <c r="J101" i="8"/>
  <c r="K101" i="8"/>
  <c r="L101" i="8"/>
  <c r="D102" i="8"/>
  <c r="E102" i="8"/>
  <c r="F102" i="8"/>
  <c r="G102" i="8"/>
  <c r="H102" i="8"/>
  <c r="I102" i="8"/>
  <c r="J102" i="8"/>
  <c r="K102" i="8"/>
  <c r="L102" i="8"/>
  <c r="D103" i="8"/>
  <c r="E103" i="8"/>
  <c r="F103" i="8"/>
  <c r="G103" i="8"/>
  <c r="H103" i="8"/>
  <c r="I103" i="8"/>
  <c r="J103" i="8"/>
  <c r="K103" i="8"/>
  <c r="L103" i="8"/>
  <c r="D104" i="8"/>
  <c r="E104" i="8"/>
  <c r="F104" i="8"/>
  <c r="G104" i="8"/>
  <c r="H104" i="8"/>
  <c r="I104" i="8"/>
  <c r="J104" i="8"/>
  <c r="K104" i="8"/>
  <c r="L104" i="8"/>
  <c r="D105" i="8"/>
  <c r="E105" i="8"/>
  <c r="F105" i="8"/>
  <c r="G105" i="8"/>
  <c r="H105" i="8"/>
  <c r="I105" i="8"/>
  <c r="J105" i="8"/>
  <c r="K105" i="8"/>
  <c r="L105" i="8"/>
  <c r="D106" i="8"/>
  <c r="E106" i="8"/>
  <c r="F106" i="8"/>
  <c r="G106" i="8"/>
  <c r="H106" i="8"/>
  <c r="I106" i="8"/>
  <c r="J106" i="8"/>
  <c r="K106" i="8"/>
  <c r="L106" i="8"/>
  <c r="C100" i="8"/>
  <c r="C101" i="8"/>
  <c r="C102" i="8"/>
  <c r="C103" i="8"/>
  <c r="C104" i="8"/>
  <c r="C105" i="8"/>
  <c r="C106" i="8"/>
  <c r="C99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G90" i="8"/>
  <c r="H90" i="8"/>
  <c r="I90" i="8"/>
  <c r="J90" i="8"/>
  <c r="K90" i="8"/>
  <c r="L90" i="8"/>
  <c r="D91" i="8"/>
  <c r="E91" i="8"/>
  <c r="F91" i="8"/>
  <c r="G91" i="8"/>
  <c r="H91" i="8"/>
  <c r="I91" i="8"/>
  <c r="J91" i="8"/>
  <c r="K91" i="8"/>
  <c r="L91" i="8"/>
  <c r="D92" i="8"/>
  <c r="E92" i="8"/>
  <c r="F92" i="8"/>
  <c r="G92" i="8"/>
  <c r="H92" i="8"/>
  <c r="I92" i="8"/>
  <c r="J92" i="8"/>
  <c r="K92" i="8"/>
  <c r="L92" i="8"/>
  <c r="D93" i="8"/>
  <c r="E93" i="8"/>
  <c r="F93" i="8"/>
  <c r="G93" i="8"/>
  <c r="H93" i="8"/>
  <c r="I93" i="8"/>
  <c r="J93" i="8"/>
  <c r="K93" i="8"/>
  <c r="L93" i="8"/>
  <c r="D94" i="8"/>
  <c r="E94" i="8"/>
  <c r="F94" i="8"/>
  <c r="G94" i="8"/>
  <c r="H94" i="8"/>
  <c r="I94" i="8"/>
  <c r="J94" i="8"/>
  <c r="K94" i="8"/>
  <c r="L94" i="8"/>
  <c r="D95" i="8"/>
  <c r="E95" i="8"/>
  <c r="F95" i="8"/>
  <c r="G95" i="8"/>
  <c r="H95" i="8"/>
  <c r="I95" i="8"/>
  <c r="J95" i="8"/>
  <c r="K95" i="8"/>
  <c r="L95" i="8"/>
  <c r="C88" i="8"/>
  <c r="C89" i="8"/>
  <c r="C90" i="8"/>
  <c r="C91" i="8"/>
  <c r="C92" i="8"/>
  <c r="C93" i="8"/>
  <c r="C94" i="8"/>
  <c r="C95" i="8"/>
  <c r="C87" i="8"/>
  <c r="C96" i="8" s="1"/>
  <c r="S7" i="9"/>
  <c r="D83" i="8"/>
  <c r="E83" i="8"/>
  <c r="F83" i="8"/>
  <c r="G83" i="8"/>
  <c r="H83" i="8"/>
  <c r="I83" i="8"/>
  <c r="J83" i="8"/>
  <c r="K83" i="8"/>
  <c r="L83" i="8"/>
  <c r="C83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D78" i="8"/>
  <c r="E78" i="8"/>
  <c r="F78" i="8"/>
  <c r="G78" i="8"/>
  <c r="H78" i="8"/>
  <c r="I78" i="8"/>
  <c r="J78" i="8"/>
  <c r="K78" i="8"/>
  <c r="L78" i="8"/>
  <c r="D79" i="8"/>
  <c r="E79" i="8"/>
  <c r="F79" i="8"/>
  <c r="G79" i="8"/>
  <c r="H79" i="8"/>
  <c r="I79" i="8"/>
  <c r="J79" i="8"/>
  <c r="K79" i="8"/>
  <c r="L79" i="8"/>
  <c r="D80" i="8"/>
  <c r="E80" i="8"/>
  <c r="F80" i="8"/>
  <c r="G80" i="8"/>
  <c r="H80" i="8"/>
  <c r="I80" i="8"/>
  <c r="J80" i="8"/>
  <c r="K80" i="8"/>
  <c r="L80" i="8"/>
  <c r="D81" i="8"/>
  <c r="E81" i="8"/>
  <c r="F81" i="8"/>
  <c r="G81" i="8"/>
  <c r="H81" i="8"/>
  <c r="I81" i="8"/>
  <c r="J81" i="8"/>
  <c r="K81" i="8"/>
  <c r="L81" i="8"/>
  <c r="D82" i="8"/>
  <c r="E82" i="8"/>
  <c r="F82" i="8"/>
  <c r="G82" i="8"/>
  <c r="H82" i="8"/>
  <c r="I82" i="8"/>
  <c r="J82" i="8"/>
  <c r="K82" i="8"/>
  <c r="L82" i="8"/>
  <c r="C76" i="8"/>
  <c r="C77" i="8"/>
  <c r="C78" i="8"/>
  <c r="C79" i="8"/>
  <c r="C80" i="8"/>
  <c r="C81" i="8"/>
  <c r="C82" i="8"/>
  <c r="C75" i="8"/>
  <c r="C51" i="8"/>
  <c r="D51" i="8"/>
  <c r="E51" i="8"/>
  <c r="F51" i="8"/>
  <c r="G51" i="8"/>
  <c r="H51" i="8"/>
  <c r="I51" i="8"/>
  <c r="J51" i="8"/>
  <c r="K51" i="8"/>
  <c r="L51" i="8"/>
  <c r="C52" i="8"/>
  <c r="D52" i="8"/>
  <c r="E52" i="8"/>
  <c r="F52" i="8"/>
  <c r="G52" i="8"/>
  <c r="H52" i="8"/>
  <c r="I52" i="8"/>
  <c r="J52" i="8"/>
  <c r="K52" i="8"/>
  <c r="C53" i="8"/>
  <c r="D53" i="8"/>
  <c r="E53" i="8"/>
  <c r="F53" i="8"/>
  <c r="G53" i="8"/>
  <c r="H53" i="8"/>
  <c r="I53" i="8"/>
  <c r="J53" i="8"/>
  <c r="K53" i="8"/>
  <c r="L53" i="8"/>
  <c r="C54" i="8"/>
  <c r="D54" i="8"/>
  <c r="E54" i="8"/>
  <c r="F54" i="8"/>
  <c r="G54" i="8"/>
  <c r="H54" i="8"/>
  <c r="I54" i="8"/>
  <c r="J54" i="8"/>
  <c r="K54" i="8"/>
  <c r="L54" i="8"/>
  <c r="C55" i="8"/>
  <c r="D55" i="8"/>
  <c r="E55" i="8"/>
  <c r="F55" i="8"/>
  <c r="G55" i="8"/>
  <c r="H55" i="8"/>
  <c r="I55" i="8"/>
  <c r="J55" i="8"/>
  <c r="K55" i="8"/>
  <c r="L55" i="8"/>
  <c r="C57" i="8"/>
  <c r="D57" i="8"/>
  <c r="E57" i="8"/>
  <c r="F57" i="8"/>
  <c r="G57" i="8"/>
  <c r="H57" i="8"/>
  <c r="I57" i="8"/>
  <c r="J57" i="8"/>
  <c r="K57" i="8"/>
  <c r="L57" i="8"/>
  <c r="C58" i="8"/>
  <c r="D58" i="8"/>
  <c r="E58" i="8"/>
  <c r="F58" i="8"/>
  <c r="G58" i="8"/>
  <c r="H58" i="8"/>
  <c r="I58" i="8"/>
  <c r="J58" i="8"/>
  <c r="K58" i="8"/>
  <c r="L58" i="8"/>
  <c r="C59" i="8"/>
  <c r="D59" i="8"/>
  <c r="E59" i="8"/>
  <c r="F59" i="8"/>
  <c r="G59" i="8"/>
  <c r="H59" i="8"/>
  <c r="I59" i="8"/>
  <c r="J59" i="8"/>
  <c r="K59" i="8"/>
  <c r="L59" i="8"/>
  <c r="C60" i="8"/>
  <c r="D60" i="8"/>
  <c r="E60" i="8"/>
  <c r="F60" i="8"/>
  <c r="G60" i="8"/>
  <c r="H60" i="8"/>
  <c r="I60" i="8"/>
  <c r="J60" i="8"/>
  <c r="K60" i="8"/>
  <c r="L60" i="8"/>
  <c r="C63" i="8"/>
  <c r="D63" i="8"/>
  <c r="E63" i="8"/>
  <c r="F63" i="8"/>
  <c r="G63" i="8"/>
  <c r="H63" i="8"/>
  <c r="I63" i="8"/>
  <c r="J63" i="8"/>
  <c r="K63" i="8"/>
  <c r="L63" i="8"/>
  <c r="C64" i="8"/>
  <c r="D64" i="8"/>
  <c r="E64" i="8"/>
  <c r="F64" i="8"/>
  <c r="G64" i="8"/>
  <c r="H64" i="8"/>
  <c r="I64" i="8"/>
  <c r="J64" i="8"/>
  <c r="K64" i="8"/>
  <c r="L64" i="8"/>
  <c r="C65" i="8"/>
  <c r="D65" i="8"/>
  <c r="E65" i="8"/>
  <c r="F65" i="8"/>
  <c r="G65" i="8"/>
  <c r="H65" i="8"/>
  <c r="I65" i="8"/>
  <c r="J65" i="8"/>
  <c r="K65" i="8"/>
  <c r="L65" i="8"/>
  <c r="C66" i="8" l="1"/>
  <c r="L107" i="8"/>
  <c r="F14" i="19"/>
  <c r="I14" i="19"/>
  <c r="J14" i="19"/>
  <c r="H14" i="19"/>
  <c r="G14" i="19"/>
  <c r="H107" i="8"/>
  <c r="F107" i="8"/>
  <c r="K107" i="8"/>
  <c r="I107" i="8"/>
  <c r="D107" i="8"/>
  <c r="C84" i="8"/>
  <c r="J96" i="8"/>
  <c r="H96" i="8"/>
  <c r="F84" i="8"/>
  <c r="G96" i="8"/>
  <c r="H84" i="8"/>
  <c r="E84" i="8"/>
  <c r="F96" i="8"/>
  <c r="K84" i="8"/>
  <c r="D84" i="8"/>
  <c r="E96" i="8"/>
  <c r="D96" i="8"/>
  <c r="G84" i="8"/>
  <c r="L84" i="8"/>
  <c r="L96" i="8"/>
  <c r="L109" i="8" s="1"/>
  <c r="J84" i="8"/>
  <c r="K96" i="8"/>
  <c r="I84" i="8"/>
  <c r="I96" i="8"/>
  <c r="C107" i="8"/>
  <c r="G107" i="8"/>
  <c r="E107" i="8"/>
  <c r="C109" i="8"/>
  <c r="C61" i="8"/>
  <c r="C68" i="8" s="1"/>
  <c r="C70" i="8" s="1"/>
  <c r="K61" i="8"/>
  <c r="H61" i="8"/>
  <c r="F61" i="8"/>
  <c r="D61" i="8"/>
  <c r="J61" i="8"/>
  <c r="L66" i="8"/>
  <c r="J66" i="8"/>
  <c r="H66" i="8"/>
  <c r="D66" i="8"/>
  <c r="I61" i="8"/>
  <c r="G61" i="8"/>
  <c r="E61" i="8"/>
  <c r="K66" i="8"/>
  <c r="L61" i="8"/>
  <c r="I66" i="8"/>
  <c r="G66" i="8"/>
  <c r="F66" i="8"/>
  <c r="E66" i="8"/>
  <c r="L37" i="8"/>
  <c r="L42" i="8" s="1"/>
  <c r="K37" i="8"/>
  <c r="K42" i="8" s="1"/>
  <c r="J37" i="8"/>
  <c r="J42" i="8" s="1"/>
  <c r="I37" i="8"/>
  <c r="I42" i="8" s="1"/>
  <c r="H37" i="8"/>
  <c r="H42" i="8" s="1"/>
  <c r="G37" i="8"/>
  <c r="G42" i="8" s="1"/>
  <c r="F37" i="8"/>
  <c r="F42" i="8" s="1"/>
  <c r="E37" i="8"/>
  <c r="E42" i="8" s="1"/>
  <c r="D37" i="8"/>
  <c r="D42" i="8" s="1"/>
  <c r="C37" i="8"/>
  <c r="C42" i="8" s="1"/>
  <c r="M31" i="8"/>
  <c r="D31" i="8"/>
  <c r="E31" i="8"/>
  <c r="F31" i="8"/>
  <c r="G31" i="8"/>
  <c r="H31" i="8"/>
  <c r="I31" i="8"/>
  <c r="J31" i="8"/>
  <c r="K31" i="8"/>
  <c r="L31" i="8"/>
  <c r="C31" i="8"/>
  <c r="M28" i="8"/>
  <c r="C16" i="8"/>
  <c r="D16" i="8"/>
  <c r="E16" i="8"/>
  <c r="C22" i="8"/>
  <c r="D22" i="8"/>
  <c r="E22" i="8"/>
  <c r="C25" i="8"/>
  <c r="D25" i="8"/>
  <c r="E25" i="8"/>
  <c r="C10" i="8"/>
  <c r="D10" i="8"/>
  <c r="E10" i="8"/>
  <c r="M25" i="8"/>
  <c r="L25" i="8"/>
  <c r="K25" i="8"/>
  <c r="J25" i="8"/>
  <c r="I25" i="8"/>
  <c r="H25" i="8"/>
  <c r="G25" i="8"/>
  <c r="F25" i="8"/>
  <c r="M22" i="8"/>
  <c r="G22" i="8"/>
  <c r="H22" i="8"/>
  <c r="I22" i="8"/>
  <c r="J22" i="8"/>
  <c r="K22" i="8"/>
  <c r="L22" i="8"/>
  <c r="F22" i="8"/>
  <c r="F10" i="8"/>
  <c r="F16" i="8"/>
  <c r="L16" i="8"/>
  <c r="K16" i="8"/>
  <c r="J16" i="8"/>
  <c r="I16" i="8"/>
  <c r="H16" i="8"/>
  <c r="G16" i="8"/>
  <c r="M10" i="8"/>
  <c r="G10" i="8"/>
  <c r="H10" i="8"/>
  <c r="I10" i="8"/>
  <c r="J10" i="8"/>
  <c r="K10" i="8"/>
  <c r="L10" i="8"/>
  <c r="J109" i="8" l="1"/>
  <c r="H109" i="8"/>
  <c r="E109" i="8"/>
  <c r="F109" i="8"/>
  <c r="D109" i="8"/>
  <c r="I109" i="8"/>
  <c r="K109" i="8"/>
  <c r="M32" i="8"/>
  <c r="G40" i="11"/>
  <c r="G109" i="8"/>
  <c r="F40" i="11"/>
  <c r="L40" i="11"/>
  <c r="D40" i="11"/>
  <c r="H40" i="11"/>
  <c r="I9" i="11"/>
  <c r="E40" i="11"/>
  <c r="C40" i="11"/>
  <c r="C39" i="11"/>
  <c r="H68" i="8"/>
  <c r="H70" i="8" s="1"/>
  <c r="F9" i="11"/>
  <c r="K9" i="11"/>
  <c r="K40" i="11"/>
  <c r="K68" i="8"/>
  <c r="K70" i="8" s="1"/>
  <c r="M34" i="8"/>
  <c r="D68" i="8"/>
  <c r="D70" i="8" s="1"/>
  <c r="I40" i="11"/>
  <c r="J68" i="8"/>
  <c r="J70" i="8" s="1"/>
  <c r="J40" i="11"/>
  <c r="D9" i="11"/>
  <c r="L9" i="11"/>
  <c r="E9" i="11"/>
  <c r="G9" i="11"/>
  <c r="H9" i="11"/>
  <c r="J9" i="11"/>
  <c r="F68" i="8"/>
  <c r="F70" i="8" s="1"/>
  <c r="G68" i="8"/>
  <c r="G70" i="8" s="1"/>
  <c r="I68" i="8"/>
  <c r="I70" i="8" s="1"/>
  <c r="E68" i="8"/>
  <c r="E70" i="8" s="1"/>
  <c r="L68" i="8"/>
  <c r="L70" i="8" s="1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D38" i="19" s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7" i="8" s="1"/>
  <c r="D38" i="11" s="1"/>
  <c r="D4" i="1"/>
  <c r="E7" i="8" s="1"/>
  <c r="E38" i="11" s="1"/>
  <c r="E4" i="1"/>
  <c r="F7" i="8" s="1"/>
  <c r="F38" i="11" s="1"/>
  <c r="F4" i="1"/>
  <c r="G7" i="8" s="1"/>
  <c r="G38" i="11" s="1"/>
  <c r="G4" i="1"/>
  <c r="H7" i="8" s="1"/>
  <c r="H38" i="11" s="1"/>
  <c r="H4" i="1"/>
  <c r="I7" i="8" s="1"/>
  <c r="I38" i="11" s="1"/>
  <c r="I4" i="1"/>
  <c r="J7" i="8" s="1"/>
  <c r="J38" i="11" s="1"/>
  <c r="J4" i="1"/>
  <c r="K4" i="1"/>
  <c r="K21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G13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C7" i="8" s="1"/>
  <c r="A1" i="1"/>
  <c r="E1" i="6"/>
  <c r="H1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L6" i="1" l="1"/>
  <c r="B2" i="19"/>
  <c r="B2" i="21"/>
  <c r="B2" i="18"/>
  <c r="J39" i="11"/>
  <c r="E23" i="2"/>
  <c r="E39" i="11"/>
  <c r="C14" i="3"/>
  <c r="L39" i="11"/>
  <c r="F14" i="1"/>
  <c r="I39" i="11"/>
  <c r="E1" i="2"/>
  <c r="H39" i="11"/>
  <c r="J14" i="3"/>
  <c r="G20" i="2"/>
  <c r="L3" i="8"/>
  <c r="L3" i="11"/>
  <c r="M39" i="8"/>
  <c r="D39" i="11"/>
  <c r="H3" i="8"/>
  <c r="H3" i="11"/>
  <c r="F29" i="11"/>
  <c r="F35" i="11" s="1"/>
  <c r="F27" i="11"/>
  <c r="F33" i="11" s="1"/>
  <c r="F31" i="11"/>
  <c r="F30" i="11"/>
  <c r="F28" i="11"/>
  <c r="F34" i="11" s="1"/>
  <c r="F39" i="11"/>
  <c r="L5" i="1"/>
  <c r="G3" i="8"/>
  <c r="G3" i="11"/>
  <c r="G14" i="3"/>
  <c r="C11" i="8"/>
  <c r="C31" i="11"/>
  <c r="C29" i="11"/>
  <c r="C30" i="11"/>
  <c r="C27" i="11"/>
  <c r="C28" i="11"/>
  <c r="J3" i="8"/>
  <c r="J3" i="11"/>
  <c r="I3" i="8"/>
  <c r="I3" i="11"/>
  <c r="N40" i="11"/>
  <c r="F3" i="8"/>
  <c r="F3" i="11"/>
  <c r="J21" i="2"/>
  <c r="C3" i="8"/>
  <c r="C3" i="11"/>
  <c r="H13" i="8"/>
  <c r="H19" i="8" s="1"/>
  <c r="H25" i="11" s="1"/>
  <c r="H29" i="11"/>
  <c r="H35" i="11" s="1"/>
  <c r="H31" i="11"/>
  <c r="H27" i="11"/>
  <c r="H33" i="11" s="1"/>
  <c r="H30" i="11"/>
  <c r="H28" i="11"/>
  <c r="H34" i="11" s="1"/>
  <c r="J14" i="1"/>
  <c r="D8" i="8"/>
  <c r="D5" i="11" s="1"/>
  <c r="D29" i="11"/>
  <c r="D31" i="11"/>
  <c r="D28" i="11"/>
  <c r="D27" i="11"/>
  <c r="D30" i="11"/>
  <c r="F14" i="3"/>
  <c r="H16" i="2"/>
  <c r="E21" i="2"/>
  <c r="M40" i="11"/>
  <c r="B2" i="8"/>
  <c r="B2" i="11"/>
  <c r="D3" i="8"/>
  <c r="D3" i="11"/>
  <c r="K39" i="11"/>
  <c r="E29" i="11"/>
  <c r="E35" i="11" s="1"/>
  <c r="E31" i="11"/>
  <c r="E28" i="11"/>
  <c r="E34" i="11" s="1"/>
  <c r="E27" i="11"/>
  <c r="E33" i="11" s="1"/>
  <c r="E30" i="11"/>
  <c r="E6" i="1"/>
  <c r="E19" i="1" s="1"/>
  <c r="E14" i="3"/>
  <c r="G16" i="2"/>
  <c r="C38" i="11"/>
  <c r="K3" i="8"/>
  <c r="K3" i="11"/>
  <c r="E3" i="8"/>
  <c r="E3" i="11"/>
  <c r="J11" i="8"/>
  <c r="J31" i="11"/>
  <c r="J30" i="11"/>
  <c r="J28" i="11"/>
  <c r="J34" i="11" s="1"/>
  <c r="J29" i="11"/>
  <c r="J35" i="11" s="1"/>
  <c r="J27" i="11"/>
  <c r="J33" i="11" s="1"/>
  <c r="I26" i="8"/>
  <c r="I18" i="11" s="1"/>
  <c r="I27" i="11"/>
  <c r="I33" i="11" s="1"/>
  <c r="I31" i="11"/>
  <c r="I28" i="11"/>
  <c r="I34" i="11" s="1"/>
  <c r="I29" i="11"/>
  <c r="I35" i="11" s="1"/>
  <c r="I30" i="11"/>
  <c r="G8" i="8"/>
  <c r="G5" i="11" s="1"/>
  <c r="G29" i="11"/>
  <c r="G35" i="11" s="1"/>
  <c r="G31" i="11"/>
  <c r="G27" i="11"/>
  <c r="G33" i="11" s="1"/>
  <c r="G30" i="11"/>
  <c r="G28" i="11"/>
  <c r="G34" i="11" s="1"/>
  <c r="B21" i="2"/>
  <c r="E1" i="3"/>
  <c r="G14" i="1"/>
  <c r="D14" i="3"/>
  <c r="G39" i="11"/>
  <c r="N9" i="11"/>
  <c r="M9" i="11"/>
  <c r="D21" i="2"/>
  <c r="I21" i="2"/>
  <c r="D23" i="2"/>
  <c r="I14" i="3"/>
  <c r="K16" i="2"/>
  <c r="H21" i="2"/>
  <c r="I23" i="2"/>
  <c r="K14" i="1"/>
  <c r="F8" i="8"/>
  <c r="F5" i="11" s="1"/>
  <c r="G21" i="2"/>
  <c r="G6" i="1"/>
  <c r="G19" i="1" s="1"/>
  <c r="J13" i="8"/>
  <c r="J14" i="8" s="1"/>
  <c r="J11" i="11" s="1"/>
  <c r="H11" i="8"/>
  <c r="C17" i="8"/>
  <c r="C17" i="11" s="1"/>
  <c r="I8" i="8"/>
  <c r="I5" i="11" s="1"/>
  <c r="H26" i="8"/>
  <c r="H18" i="11" s="1"/>
  <c r="I23" i="8"/>
  <c r="I11" i="8"/>
  <c r="H23" i="8"/>
  <c r="J17" i="8"/>
  <c r="J17" i="11" s="1"/>
  <c r="H17" i="8"/>
  <c r="H17" i="11" s="1"/>
  <c r="J23" i="8"/>
  <c r="I17" i="8"/>
  <c r="I17" i="11" s="1"/>
  <c r="E13" i="8"/>
  <c r="E23" i="8"/>
  <c r="G26" i="8"/>
  <c r="G18" i="11" s="1"/>
  <c r="F16" i="2"/>
  <c r="C21" i="2"/>
  <c r="D6" i="1"/>
  <c r="D19" i="1" s="1"/>
  <c r="E17" i="8"/>
  <c r="E17" i="11" s="1"/>
  <c r="B23" i="2"/>
  <c r="C13" i="8"/>
  <c r="C23" i="8"/>
  <c r="C26" i="8"/>
  <c r="C18" i="11" s="1"/>
  <c r="L11" i="1"/>
  <c r="D16" i="2"/>
  <c r="C6" i="1"/>
  <c r="C19" i="1" s="1"/>
  <c r="J23" i="2"/>
  <c r="M7" i="8"/>
  <c r="M35" i="8" s="1"/>
  <c r="F11" i="8"/>
  <c r="F13" i="8"/>
  <c r="J23" i="1"/>
  <c r="I23" i="1"/>
  <c r="D11" i="8"/>
  <c r="K23" i="2"/>
  <c r="F23" i="2"/>
  <c r="E20" i="2"/>
  <c r="D13" i="8"/>
  <c r="D26" i="8"/>
  <c r="D18" i="11" s="1"/>
  <c r="F21" i="2"/>
  <c r="G11" i="8"/>
  <c r="C16" i="2"/>
  <c r="C20" i="2"/>
  <c r="F17" i="8"/>
  <c r="F17" i="11" s="1"/>
  <c r="K7" i="8"/>
  <c r="J16" i="2"/>
  <c r="J8" i="8"/>
  <c r="J5" i="11" s="1"/>
  <c r="E8" i="8"/>
  <c r="E5" i="11" s="1"/>
  <c r="G23" i="8"/>
  <c r="F23" i="8"/>
  <c r="H23" i="1"/>
  <c r="K6" i="1"/>
  <c r="K19" i="1" s="1"/>
  <c r="L7" i="8"/>
  <c r="D20" i="2"/>
  <c r="J26" i="8"/>
  <c r="J18" i="11" s="1"/>
  <c r="F26" i="8"/>
  <c r="F18" i="11" s="1"/>
  <c r="C14" i="1"/>
  <c r="A1" i="2"/>
  <c r="A1" i="4" s="1"/>
  <c r="A1" i="3"/>
  <c r="E26" i="8"/>
  <c r="E18" i="11" s="1"/>
  <c r="L10" i="1"/>
  <c r="K20" i="2"/>
  <c r="H14" i="3"/>
  <c r="L12" i="1"/>
  <c r="L13" i="1" s="1"/>
  <c r="L14" i="1" s="1"/>
  <c r="D13" i="1"/>
  <c r="E13" i="1" s="1"/>
  <c r="E14" i="1" s="1"/>
  <c r="G13" i="8"/>
  <c r="G19" i="8" s="1"/>
  <c r="G25" i="11" s="1"/>
  <c r="E11" i="8"/>
  <c r="G17" i="8"/>
  <c r="G17" i="11" s="1"/>
  <c r="D23" i="8"/>
  <c r="L4" i="1"/>
  <c r="L19" i="1" s="1"/>
  <c r="L24" i="1" s="1"/>
  <c r="H8" i="8"/>
  <c r="H5" i="11" s="1"/>
  <c r="I13" i="8"/>
  <c r="I14" i="8" s="1"/>
  <c r="I11" i="11" s="1"/>
  <c r="D17" i="8"/>
  <c r="D17" i="11" s="1"/>
  <c r="H14" i="8"/>
  <c r="H11" i="11" s="1"/>
  <c r="G23" i="2"/>
  <c r="H14" i="1"/>
  <c r="C23" i="2"/>
  <c r="L8" i="1"/>
  <c r="N8" i="1" s="1"/>
  <c r="D24" i="2"/>
  <c r="B16" i="2"/>
  <c r="H23" i="2"/>
  <c r="L9" i="1"/>
  <c r="M9" i="1" s="1"/>
  <c r="B14" i="1"/>
  <c r="K24" i="2"/>
  <c r="J24" i="2"/>
  <c r="I14" i="1"/>
  <c r="H24" i="2"/>
  <c r="F24" i="2"/>
  <c r="E24" i="2"/>
  <c r="K14" i="3"/>
  <c r="I24" i="2"/>
  <c r="G24" i="2"/>
  <c r="B6" i="1"/>
  <c r="B19" i="1" s="1"/>
  <c r="F20" i="2"/>
  <c r="L7" i="1"/>
  <c r="E16" i="2"/>
  <c r="J20" i="2"/>
  <c r="J6" i="1"/>
  <c r="J19" i="1" s="1"/>
  <c r="B20" i="2"/>
  <c r="I16" i="2"/>
  <c r="B14" i="3"/>
  <c r="I6" i="1"/>
  <c r="I19" i="1" s="1"/>
  <c r="C24" i="2"/>
  <c r="I20" i="2"/>
  <c r="H20" i="2"/>
  <c r="K23" i="1"/>
  <c r="H6" i="1"/>
  <c r="H19" i="1" s="1"/>
  <c r="F6" i="1"/>
  <c r="F19" i="1" s="1"/>
  <c r="E1" i="4"/>
  <c r="H45" i="18" l="1"/>
  <c r="H62" i="18"/>
  <c r="H6" i="18"/>
  <c r="F62" i="18"/>
  <c r="F6" i="18"/>
  <c r="F45" i="18"/>
  <c r="E6" i="18"/>
  <c r="E62" i="18"/>
  <c r="E45" i="18"/>
  <c r="D62" i="18"/>
  <c r="D45" i="18"/>
  <c r="D6" i="18"/>
  <c r="G62" i="18"/>
  <c r="G45" i="18"/>
  <c r="G6" i="18"/>
  <c r="J36" i="11"/>
  <c r="E36" i="11"/>
  <c r="L27" i="11"/>
  <c r="L33" i="11" s="1"/>
  <c r="L30" i="11"/>
  <c r="N30" i="11" s="1"/>
  <c r="L28" i="11"/>
  <c r="L34" i="11" s="1"/>
  <c r="L29" i="11"/>
  <c r="L35" i="11" s="1"/>
  <c r="L31" i="11"/>
  <c r="L38" i="11"/>
  <c r="K27" i="11"/>
  <c r="K33" i="11" s="1"/>
  <c r="K31" i="11"/>
  <c r="M31" i="11" s="1"/>
  <c r="K30" i="11"/>
  <c r="K28" i="11"/>
  <c r="K34" i="11" s="1"/>
  <c r="K29" i="11"/>
  <c r="K35" i="11" s="1"/>
  <c r="K38" i="11"/>
  <c r="L23" i="1"/>
  <c r="M23" i="1" s="1"/>
  <c r="M4" i="1" s="1"/>
  <c r="M6" i="1" s="1"/>
  <c r="N11" i="1"/>
  <c r="G36" i="11"/>
  <c r="D33" i="11"/>
  <c r="D34" i="11"/>
  <c r="M39" i="11"/>
  <c r="N39" i="11"/>
  <c r="F36" i="11"/>
  <c r="C34" i="11"/>
  <c r="M45" i="8"/>
  <c r="M46" i="8" s="1"/>
  <c r="M43" i="8"/>
  <c r="D35" i="11"/>
  <c r="C33" i="11"/>
  <c r="H36" i="11"/>
  <c r="I36" i="11"/>
  <c r="K24" i="1"/>
  <c r="M24" i="1" s="1"/>
  <c r="C35" i="11"/>
  <c r="G21" i="11"/>
  <c r="G13" i="11"/>
  <c r="G19" i="11" s="1"/>
  <c r="H21" i="11"/>
  <c r="H6" i="11"/>
  <c r="H13" i="11"/>
  <c r="H19" i="11" s="1"/>
  <c r="I24" i="1"/>
  <c r="M11" i="1"/>
  <c r="J24" i="1"/>
  <c r="J19" i="8"/>
  <c r="J25" i="11" s="1"/>
  <c r="I19" i="8"/>
  <c r="I25" i="11" s="1"/>
  <c r="G20" i="8"/>
  <c r="G12" i="11" s="1"/>
  <c r="G28" i="8"/>
  <c r="L25" i="1"/>
  <c r="J25" i="1"/>
  <c r="K8" i="8"/>
  <c r="K5" i="11" s="1"/>
  <c r="K11" i="8"/>
  <c r="K13" i="8"/>
  <c r="K17" i="8"/>
  <c r="K17" i="11" s="1"/>
  <c r="N17" i="11" s="1"/>
  <c r="K26" i="8"/>
  <c r="K18" i="11" s="1"/>
  <c r="K23" i="8"/>
  <c r="F14" i="8"/>
  <c r="F11" i="11" s="1"/>
  <c r="F19" i="8"/>
  <c r="F25" i="11" s="1"/>
  <c r="H25" i="1"/>
  <c r="M29" i="8"/>
  <c r="M23" i="8"/>
  <c r="M8" i="8"/>
  <c r="M11" i="8"/>
  <c r="M17" i="8"/>
  <c r="M13" i="8"/>
  <c r="M26" i="8"/>
  <c r="G14" i="8"/>
  <c r="G11" i="11" s="1"/>
  <c r="H20" i="8"/>
  <c r="H12" i="11" s="1"/>
  <c r="H28" i="8"/>
  <c r="D38" i="18" s="1"/>
  <c r="D14" i="1"/>
  <c r="L8" i="8"/>
  <c r="L5" i="11" s="1"/>
  <c r="L17" i="8"/>
  <c r="L17" i="11" s="1"/>
  <c r="L23" i="8"/>
  <c r="L26" i="8"/>
  <c r="L18" i="11" s="1"/>
  <c r="L11" i="8"/>
  <c r="L13" i="8"/>
  <c r="K25" i="1"/>
  <c r="C19" i="8"/>
  <c r="C14" i="8"/>
  <c r="C11" i="11" s="1"/>
  <c r="D19" i="8"/>
  <c r="D25" i="11" s="1"/>
  <c r="D14" i="8"/>
  <c r="D11" i="11" s="1"/>
  <c r="E19" i="8"/>
  <c r="E25" i="11" s="1"/>
  <c r="E14" i="8"/>
  <c r="E11" i="11" s="1"/>
  <c r="I25" i="1"/>
  <c r="H24" i="1"/>
  <c r="M8" i="1"/>
  <c r="N9" i="1"/>
  <c r="M25" i="1" l="1"/>
  <c r="M14" i="1" s="1"/>
  <c r="M29" i="11"/>
  <c r="M35" i="11"/>
  <c r="N28" i="11"/>
  <c r="N27" i="11"/>
  <c r="M10" i="1"/>
  <c r="M12" i="1" s="1"/>
  <c r="M13" i="1" s="1"/>
  <c r="M30" i="11"/>
  <c r="D50" i="18"/>
  <c r="D52" i="18" s="1"/>
  <c r="D40" i="18"/>
  <c r="H7" i="11"/>
  <c r="M27" i="11"/>
  <c r="C25" i="11"/>
  <c r="N34" i="11"/>
  <c r="M38" i="11"/>
  <c r="N38" i="11"/>
  <c r="D36" i="11"/>
  <c r="N33" i="11"/>
  <c r="C36" i="11"/>
  <c r="M33" i="11"/>
  <c r="N29" i="11"/>
  <c r="N35" i="11"/>
  <c r="M34" i="11"/>
  <c r="N31" i="11"/>
  <c r="N24" i="1"/>
  <c r="N23" i="1"/>
  <c r="N4" i="1" s="1"/>
  <c r="K36" i="11"/>
  <c r="M28" i="11"/>
  <c r="L36" i="11"/>
  <c r="N5" i="11"/>
  <c r="N18" i="11"/>
  <c r="M5" i="11"/>
  <c r="M18" i="11"/>
  <c r="M17" i="11"/>
  <c r="E21" i="11"/>
  <c r="E13" i="11"/>
  <c r="E19" i="11" s="1"/>
  <c r="E6" i="11"/>
  <c r="F21" i="11"/>
  <c r="F13" i="11"/>
  <c r="F19" i="11" s="1"/>
  <c r="F6" i="11"/>
  <c r="I20" i="8"/>
  <c r="I12" i="11" s="1"/>
  <c r="I21" i="11"/>
  <c r="I6" i="11"/>
  <c r="I13" i="11"/>
  <c r="I19" i="11" s="1"/>
  <c r="G6" i="11"/>
  <c r="J20" i="8"/>
  <c r="J12" i="11" s="1"/>
  <c r="J21" i="11"/>
  <c r="J6" i="11"/>
  <c r="J13" i="11"/>
  <c r="J19" i="11" s="1"/>
  <c r="D21" i="11"/>
  <c r="D13" i="11"/>
  <c r="D6" i="11"/>
  <c r="C21" i="11"/>
  <c r="C13" i="11"/>
  <c r="J28" i="8"/>
  <c r="F38" i="18" s="1"/>
  <c r="I28" i="8"/>
  <c r="E38" i="18" s="1"/>
  <c r="D20" i="8"/>
  <c r="D12" i="11" s="1"/>
  <c r="D28" i="8"/>
  <c r="C20" i="8"/>
  <c r="C12" i="11" s="1"/>
  <c r="C28" i="8"/>
  <c r="L14" i="8"/>
  <c r="L11" i="11" s="1"/>
  <c r="L19" i="8"/>
  <c r="L25" i="11" s="1"/>
  <c r="K19" i="8"/>
  <c r="K25" i="11" s="1"/>
  <c r="N25" i="11" s="1"/>
  <c r="K14" i="8"/>
  <c r="K11" i="11" s="1"/>
  <c r="H29" i="8"/>
  <c r="H14" i="11" s="1"/>
  <c r="H34" i="8"/>
  <c r="H32" i="8"/>
  <c r="N25" i="1"/>
  <c r="N14" i="1" s="1"/>
  <c r="F20" i="8"/>
  <c r="F12" i="11" s="1"/>
  <c r="F28" i="8"/>
  <c r="M15" i="1"/>
  <c r="M14" i="8"/>
  <c r="M19" i="8"/>
  <c r="M20" i="8" s="1"/>
  <c r="E20" i="8"/>
  <c r="E12" i="11" s="1"/>
  <c r="E28" i="8"/>
  <c r="G29" i="8"/>
  <c r="G14" i="11" s="1"/>
  <c r="G34" i="8"/>
  <c r="G32" i="8"/>
  <c r="M5" i="1"/>
  <c r="M11" i="11" l="1"/>
  <c r="F7" i="11"/>
  <c r="E50" i="18"/>
  <c r="E52" i="18" s="1"/>
  <c r="E55" i="18" s="1"/>
  <c r="E40" i="18"/>
  <c r="E65" i="18" s="1"/>
  <c r="F50" i="18"/>
  <c r="F52" i="18" s="1"/>
  <c r="F55" i="18" s="1"/>
  <c r="F64" i="18" s="1"/>
  <c r="F40" i="18"/>
  <c r="F65" i="18" s="1"/>
  <c r="F67" i="18" s="1"/>
  <c r="M25" i="11"/>
  <c r="I4" i="13" a="1"/>
  <c r="M36" i="11"/>
  <c r="N6" i="1"/>
  <c r="N10" i="1" s="1"/>
  <c r="N12" i="1" s="1"/>
  <c r="N13" i="1" s="1"/>
  <c r="N15" i="1" s="1"/>
  <c r="N36" i="11"/>
  <c r="C19" i="11"/>
  <c r="N11" i="11"/>
  <c r="D19" i="11"/>
  <c r="H23" i="11"/>
  <c r="H8" i="11"/>
  <c r="K21" i="11"/>
  <c r="K6" i="11"/>
  <c r="K13" i="11"/>
  <c r="K19" i="11" s="1"/>
  <c r="G7" i="11"/>
  <c r="D7" i="11"/>
  <c r="L21" i="11"/>
  <c r="L6" i="11"/>
  <c r="L13" i="11"/>
  <c r="L19" i="11" s="1"/>
  <c r="G23" i="11"/>
  <c r="I34" i="8"/>
  <c r="I7" i="11"/>
  <c r="E7" i="11"/>
  <c r="J29" i="8"/>
  <c r="J14" i="11" s="1"/>
  <c r="J7" i="11"/>
  <c r="J32" i="8"/>
  <c r="J34" i="8"/>
  <c r="I29" i="8"/>
  <c r="I14" i="11" s="1"/>
  <c r="I32" i="8"/>
  <c r="H35" i="8"/>
  <c r="H15" i="11" s="1"/>
  <c r="H39" i="8"/>
  <c r="K20" i="8"/>
  <c r="K12" i="11" s="1"/>
  <c r="K28" i="8"/>
  <c r="D29" i="8"/>
  <c r="D14" i="11" s="1"/>
  <c r="D34" i="8"/>
  <c r="D32" i="8"/>
  <c r="F29" i="8"/>
  <c r="F14" i="11" s="1"/>
  <c r="F34" i="8"/>
  <c r="G8" i="11" s="1"/>
  <c r="F32" i="8"/>
  <c r="G39" i="8"/>
  <c r="G35" i="8"/>
  <c r="G15" i="11" s="1"/>
  <c r="L20" i="8"/>
  <c r="L12" i="11" s="1"/>
  <c r="L28" i="8"/>
  <c r="H38" i="18" s="1"/>
  <c r="E34" i="8"/>
  <c r="E29" i="8"/>
  <c r="E14" i="11" s="1"/>
  <c r="E32" i="8"/>
  <c r="C29" i="8"/>
  <c r="C14" i="11" s="1"/>
  <c r="C34" i="8"/>
  <c r="C23" i="11" s="1"/>
  <c r="C32" i="8"/>
  <c r="K7" i="11" l="1"/>
  <c r="G38" i="18"/>
  <c r="E64" i="18"/>
  <c r="H50" i="18"/>
  <c r="H52" i="18" s="1"/>
  <c r="H55" i="18" s="1"/>
  <c r="H64" i="18" s="1"/>
  <c r="H40" i="18"/>
  <c r="H65" i="18" s="1"/>
  <c r="H67" i="18" s="1"/>
  <c r="E67" i="18"/>
  <c r="I4" i="13"/>
  <c r="I13" i="13"/>
  <c r="I11" i="13"/>
  <c r="I9" i="13"/>
  <c r="I5" i="13"/>
  <c r="J5" i="13" s="1"/>
  <c r="I12" i="13"/>
  <c r="J12" i="13" s="1"/>
  <c r="I10" i="13"/>
  <c r="J10" i="13" s="1"/>
  <c r="I8" i="13"/>
  <c r="I7" i="13"/>
  <c r="I6" i="13"/>
  <c r="J6" i="13" s="1"/>
  <c r="L7" i="11"/>
  <c r="M7" i="11" s="1"/>
  <c r="N5" i="1"/>
  <c r="N21" i="11"/>
  <c r="M12" i="11"/>
  <c r="N6" i="11"/>
  <c r="M6" i="11"/>
  <c r="N13" i="11"/>
  <c r="M21" i="11"/>
  <c r="M19" i="11"/>
  <c r="N12" i="11"/>
  <c r="N19" i="11"/>
  <c r="M13" i="11"/>
  <c r="J39" i="8"/>
  <c r="J45" i="8" s="1"/>
  <c r="J46" i="8" s="1"/>
  <c r="J22" i="11" s="1"/>
  <c r="J23" i="11"/>
  <c r="J8" i="11"/>
  <c r="I23" i="11"/>
  <c r="I8" i="11"/>
  <c r="F23" i="11"/>
  <c r="F8" i="11"/>
  <c r="I35" i="8"/>
  <c r="I15" i="11" s="1"/>
  <c r="E23" i="11"/>
  <c r="E8" i="11"/>
  <c r="D23" i="11"/>
  <c r="D8" i="11"/>
  <c r="I39" i="8"/>
  <c r="J35" i="8"/>
  <c r="J15" i="11" s="1"/>
  <c r="G45" i="8"/>
  <c r="G46" i="8" s="1"/>
  <c r="G22" i="11" s="1"/>
  <c r="G24" i="11" s="1"/>
  <c r="G43" i="8"/>
  <c r="E39" i="8"/>
  <c r="E35" i="8"/>
  <c r="E15" i="11" s="1"/>
  <c r="L29" i="8"/>
  <c r="L14" i="11" s="1"/>
  <c r="L34" i="8"/>
  <c r="L32" i="8"/>
  <c r="J43" i="8"/>
  <c r="F35" i="8"/>
  <c r="F15" i="11" s="1"/>
  <c r="F39" i="8"/>
  <c r="D39" i="8"/>
  <c r="D35" i="8"/>
  <c r="D15" i="11" s="1"/>
  <c r="K29" i="8"/>
  <c r="K14" i="11" s="1"/>
  <c r="K34" i="8"/>
  <c r="K32" i="8"/>
  <c r="H45" i="8"/>
  <c r="H46" i="8" s="1"/>
  <c r="H22" i="11" s="1"/>
  <c r="H24" i="11" s="1"/>
  <c r="H40" i="8"/>
  <c r="H43" i="8"/>
  <c r="C35" i="8"/>
  <c r="C15" i="11" s="1"/>
  <c r="C39" i="8"/>
  <c r="N7" i="11" l="1"/>
  <c r="G50" i="18"/>
  <c r="G52" i="18" s="1"/>
  <c r="G55" i="18" s="1"/>
  <c r="G40" i="18"/>
  <c r="G65" i="18" s="1"/>
  <c r="J7" i="13"/>
  <c r="J9" i="13"/>
  <c r="J8" i="13"/>
  <c r="N14" i="11"/>
  <c r="J11" i="13"/>
  <c r="J13" i="13"/>
  <c r="I15" i="13"/>
  <c r="I16" i="13"/>
  <c r="I17" i="13"/>
  <c r="I18" i="13"/>
  <c r="I19" i="13"/>
  <c r="I14" i="13"/>
  <c r="J14" i="13" s="1"/>
  <c r="J24" i="11"/>
  <c r="J40" i="8"/>
  <c r="M14" i="11"/>
  <c r="L23" i="11"/>
  <c r="L8" i="11"/>
  <c r="I45" i="8"/>
  <c r="I46" i="8" s="1"/>
  <c r="I22" i="11" s="1"/>
  <c r="I24" i="11" s="1"/>
  <c r="I40" i="8"/>
  <c r="K23" i="11"/>
  <c r="K8" i="11"/>
  <c r="I43" i="8"/>
  <c r="F40" i="8"/>
  <c r="F45" i="8"/>
  <c r="F46" i="8" s="1"/>
  <c r="F22" i="11" s="1"/>
  <c r="F24" i="11" s="1"/>
  <c r="F43" i="8"/>
  <c r="C45" i="8"/>
  <c r="C46" i="8" s="1"/>
  <c r="C22" i="11" s="1"/>
  <c r="C43" i="8"/>
  <c r="E40" i="8"/>
  <c r="E45" i="8"/>
  <c r="E46" i="8" s="1"/>
  <c r="E22" i="11" s="1"/>
  <c r="E24" i="11" s="1"/>
  <c r="E43" i="8"/>
  <c r="K39" i="8"/>
  <c r="K35" i="8"/>
  <c r="K15" i="11" s="1"/>
  <c r="D45" i="8"/>
  <c r="D46" i="8" s="1"/>
  <c r="D22" i="11" s="1"/>
  <c r="D40" i="8"/>
  <c r="D43" i="8"/>
  <c r="L39" i="8"/>
  <c r="M40" i="8" s="1"/>
  <c r="L35" i="8"/>
  <c r="L15" i="11" s="1"/>
  <c r="G40" i="8"/>
  <c r="J18" i="13" l="1"/>
  <c r="J16" i="13"/>
  <c r="G64" i="18"/>
  <c r="H57" i="18"/>
  <c r="E11" i="19" s="1"/>
  <c r="H58" i="18"/>
  <c r="G67" i="18"/>
  <c r="J17" i="13"/>
  <c r="N4" i="13" a="1"/>
  <c r="N4" i="13" s="1"/>
  <c r="M15" i="11"/>
  <c r="J15" i="13"/>
  <c r="J19" i="13"/>
  <c r="M8" i="11"/>
  <c r="N15" i="11"/>
  <c r="N23" i="11"/>
  <c r="M23" i="11"/>
  <c r="D24" i="11"/>
  <c r="N8" i="11"/>
  <c r="C24" i="11"/>
  <c r="L40" i="8"/>
  <c r="L45" i="8"/>
  <c r="L46" i="8" s="1"/>
  <c r="L22" i="11" s="1"/>
  <c r="L24" i="11" s="1"/>
  <c r="L43" i="8"/>
  <c r="K40" i="8"/>
  <c r="K45" i="8"/>
  <c r="K46" i="8" s="1"/>
  <c r="K22" i="11" s="1"/>
  <c r="K24" i="11" s="1"/>
  <c r="K43" i="8"/>
  <c r="H70" i="18" l="1"/>
  <c r="D17" i="19" s="1"/>
  <c r="F8" i="19" s="1"/>
  <c r="H69" i="18"/>
  <c r="F11" i="19"/>
  <c r="G11" i="19" s="1"/>
  <c r="H11" i="19" s="1"/>
  <c r="I11" i="19" s="1"/>
  <c r="E12" i="19"/>
  <c r="N5" i="13"/>
  <c r="N6" i="13"/>
  <c r="N17" i="13" s="1"/>
  <c r="N7" i="13"/>
  <c r="N8" i="13"/>
  <c r="N9" i="13"/>
  <c r="N10" i="13"/>
  <c r="N11" i="13"/>
  <c r="N12" i="13"/>
  <c r="O12" i="13" s="1"/>
  <c r="N13" i="13"/>
  <c r="O13" i="13" s="1"/>
  <c r="O5" i="13"/>
  <c r="O9" i="13"/>
  <c r="O7" i="13"/>
  <c r="O10" i="13"/>
  <c r="O6" i="13"/>
  <c r="O8" i="13"/>
  <c r="O11" i="13"/>
  <c r="N24" i="11"/>
  <c r="M24" i="11"/>
  <c r="M22" i="11"/>
  <c r="N22" i="11"/>
  <c r="N18" i="13" l="1"/>
  <c r="O18" i="13" s="1"/>
  <c r="F10" i="19"/>
  <c r="F12" i="19" s="1"/>
  <c r="F15" i="19" s="1"/>
  <c r="G8" i="19"/>
  <c r="N15" i="13"/>
  <c r="N19" i="13"/>
  <c r="N14" i="13"/>
  <c r="O14" i="13" s="1"/>
  <c r="N16" i="13"/>
  <c r="O16" i="13" s="1"/>
  <c r="O19" i="13"/>
  <c r="O15" i="13" l="1"/>
  <c r="H8" i="19"/>
  <c r="G10" i="19"/>
  <c r="G12" i="19" s="1"/>
  <c r="G15" i="19" s="1"/>
  <c r="O17" i="13"/>
  <c r="I8" i="19" l="1"/>
  <c r="H10" i="19"/>
  <c r="H12" i="19" s="1"/>
  <c r="H15" i="19" s="1"/>
  <c r="J8" i="19" l="1"/>
  <c r="J10" i="19" s="1"/>
  <c r="J12" i="19" s="1"/>
  <c r="I10" i="19"/>
  <c r="I12" i="19" s="1"/>
  <c r="I15" i="19" s="1"/>
  <c r="D23" i="19" l="1"/>
  <c r="D26" i="19" s="1"/>
  <c r="D32" i="19" s="1"/>
  <c r="J15" i="19"/>
  <c r="D31" i="19" s="1"/>
  <c r="D33" i="19" l="1"/>
  <c r="F22" i="19" l="1"/>
  <c r="D37" i="19"/>
  <c r="D39" i="19" s="1"/>
  <c r="D42" i="19" l="1"/>
  <c r="F30" i="19"/>
</calcChain>
</file>

<file path=xl/sharedStrings.xml><?xml version="1.0" encoding="utf-8"?>
<sst xmlns="http://schemas.openxmlformats.org/spreadsheetml/2006/main" count="749" uniqueCount="462">
  <si>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</si>
  <si>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</si>
  <si>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</si>
  <si>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</si>
  <si>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</si>
  <si>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</si>
  <si>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</si>
  <si>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</si>
  <si>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</si>
  <si>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</si>
  <si>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</si>
  <si>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</si>
  <si>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</si>
  <si>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</si>
  <si>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</si>
  <si>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</si>
  <si>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</si>
  <si>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</si>
  <si>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</si>
  <si>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</si>
  <si>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</si>
  <si>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</si>
  <si>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</si>
  <si>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</si>
  <si>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</si>
  <si>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</si>
  <si>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</si>
  <si>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</si>
  <si>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</si>
  <si>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</si>
  <si>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</si>
  <si>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</si>
  <si>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</si>
  <si>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</si>
  <si>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</si>
  <si>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</si>
  <si>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</si>
  <si>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</si>
  <si>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</si>
  <si>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</si>
  <si>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</si>
  <si>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</si>
  <si>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</si>
  <si>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</si>
  <si>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</si>
  <si>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</si>
  <si>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</si>
  <si>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</si>
  <si>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</si>
  <si>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</si>
  <si>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</si>
  <si>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</si>
  <si>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</si>
  <si>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</si>
  <si>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</si>
  <si>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</si>
  <si>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</si>
  <si>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</si>
  <si>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</si>
  <si>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</si>
  <si>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</si>
  <si>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</si>
  <si>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</si>
  <si>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OIL &amp; NATURAL GAS CORPN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</si>
  <si>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</si>
  <si>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</si>
  <si>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</si>
  <si>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</si>
  <si>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</si>
  <si>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</si>
  <si>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</si>
  <si>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</si>
  <si>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</si>
  <si>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</si>
  <si>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</si>
  <si>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</si>
  <si>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</si>
  <si>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</si>
  <si>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</si>
  <si>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</si>
  <si>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</si>
  <si>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</si>
  <si>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</si>
  <si>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</si>
  <si>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</si>
  <si>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</si>
  <si>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</si>
  <si>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</si>
  <si>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</si>
  <si>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</si>
  <si>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</si>
  <si>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</si>
  <si>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</si>
  <si>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</si>
  <si>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</si>
  <si>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</si>
  <si>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Income Statement</t>
  </si>
  <si>
    <t>-</t>
  </si>
  <si>
    <t>Sales Growth(y-o-y)</t>
  </si>
  <si>
    <t>COGS</t>
  </si>
  <si>
    <t>COGS % of sales</t>
  </si>
  <si>
    <t>Gross Profit</t>
  </si>
  <si>
    <t>Selling and General Expenses</t>
  </si>
  <si>
    <t>EBITDA</t>
  </si>
  <si>
    <t>S&amp;G Expenses % of sales</t>
  </si>
  <si>
    <t>Gross Profit Margin % of sales</t>
  </si>
  <si>
    <t>EBITDA % of sales</t>
  </si>
  <si>
    <t>Interest % of sales</t>
  </si>
  <si>
    <t>Depreciation % of sales</t>
  </si>
  <si>
    <t xml:space="preserve">EBT </t>
  </si>
  <si>
    <t>EBT % of sales</t>
  </si>
  <si>
    <t xml:space="preserve">Tax </t>
  </si>
  <si>
    <t>Effective Tax Rate</t>
  </si>
  <si>
    <t>Net Profit</t>
  </si>
  <si>
    <t>Net Margins</t>
  </si>
  <si>
    <t>No of Equity Shares</t>
  </si>
  <si>
    <t>Dividend per Share</t>
  </si>
  <si>
    <t>EPS Growth Rate</t>
  </si>
  <si>
    <t>Dividend payout ratio</t>
  </si>
  <si>
    <t>Retained Earnings</t>
  </si>
  <si>
    <t>Balance Sheet</t>
  </si>
  <si>
    <t xml:space="preserve">Total lIabilities </t>
  </si>
  <si>
    <t>Fixed Assets Net Block</t>
  </si>
  <si>
    <t>Total Assets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</si>
  <si>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</si>
  <si>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</si>
  <si>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</si>
  <si>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</si>
  <si>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</si>
  <si>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</si>
  <si>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</si>
  <si>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</si>
  <si>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</si>
  <si>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</si>
  <si>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</si>
  <si>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</si>
  <si>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</si>
  <si>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</si>
  <si>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Subsidy received</t>
  </si>
  <si>
    <t>Interest received</t>
  </si>
  <si>
    <t>Dividends received</t>
  </si>
  <si>
    <t>Investment in group cos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</si>
  <si>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</si>
  <si>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</si>
  <si>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</si>
  <si>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</si>
  <si>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</si>
  <si>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</si>
  <si>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</si>
  <si>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</si>
  <si>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</si>
  <si>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</si>
  <si>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</si>
  <si>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</si>
  <si>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</si>
  <si>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>Cash from Operating Activities</t>
  </si>
  <si>
    <t>Operating Activities</t>
  </si>
  <si>
    <t>Investing Activities</t>
  </si>
  <si>
    <t>Cash from Investing Activities</t>
  </si>
  <si>
    <t>Cash from Financing Activities</t>
  </si>
  <si>
    <t>Financing Activities</t>
  </si>
  <si>
    <t>EBITDA Growth</t>
  </si>
  <si>
    <t>EBIT Growth</t>
  </si>
  <si>
    <t>Net Profit Growth</t>
  </si>
  <si>
    <t>Dividend Growth</t>
  </si>
  <si>
    <t>Sales Expenses % of Sales</t>
  </si>
  <si>
    <t>Depreciation % of Sales</t>
  </si>
  <si>
    <t>Operating Income % of Sales</t>
  </si>
  <si>
    <t>Gross Margin</t>
  </si>
  <si>
    <t>EBITDA Margin</t>
  </si>
  <si>
    <t>EBIT Margin</t>
  </si>
  <si>
    <t>Net Profit Margin</t>
  </si>
  <si>
    <t>EBT Margin</t>
  </si>
  <si>
    <t xml:space="preserve"> </t>
  </si>
  <si>
    <t>Return on Capital Employed</t>
  </si>
  <si>
    <t>Retained Earnings %</t>
  </si>
  <si>
    <t>Return on Equity %</t>
  </si>
  <si>
    <t>Self Sustained Growth Rate</t>
  </si>
  <si>
    <t>Interest Coverage Ratio</t>
  </si>
  <si>
    <t xml:space="preserve">  </t>
  </si>
  <si>
    <t>Debtor Turnover Ratio</t>
  </si>
  <si>
    <t>Creditor Turnver Ratio</t>
  </si>
  <si>
    <t xml:space="preserve">Inventory Turnover </t>
  </si>
  <si>
    <t>Fixed Asset Turnover</t>
  </si>
  <si>
    <t>Capital Turnover Ratio</t>
  </si>
  <si>
    <t>Mean</t>
  </si>
  <si>
    <t>Median</t>
  </si>
  <si>
    <t>Payable Days</t>
  </si>
  <si>
    <t>Inventory Days</t>
  </si>
  <si>
    <t>CFO/Sales</t>
  </si>
  <si>
    <t>CFO/Total Assets</t>
  </si>
  <si>
    <t>CFO/Total Debt</t>
  </si>
  <si>
    <t>Cash Conversion Cycle (in days)</t>
  </si>
  <si>
    <t>Trend</t>
  </si>
  <si>
    <t>Year Weight</t>
  </si>
  <si>
    <t xml:space="preserve">Year </t>
  </si>
  <si>
    <t>Arthematic Growth</t>
  </si>
  <si>
    <t>Geometric Growth</t>
  </si>
  <si>
    <t xml:space="preserve">Standard Deviation </t>
  </si>
  <si>
    <t>ONGC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</si>
  <si>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</si>
  <si>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</si>
  <si>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</si>
  <si>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</si>
  <si>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</si>
  <si>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</si>
  <si>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</si>
  <si>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</si>
  <si>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</si>
  <si>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</si>
  <si>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</si>
  <si>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</si>
  <si>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</si>
  <si>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</si>
  <si>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</si>
  <si>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</si>
  <si>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</si>
  <si>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</si>
  <si>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</si>
  <si>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</si>
  <si>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</si>
  <si>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</si>
  <si>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</si>
  <si>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EPS Growth</t>
  </si>
  <si>
    <t>Weighted Average Cost of Capital</t>
  </si>
  <si>
    <t>All figures are in INR unless stated otherwise</t>
  </si>
  <si>
    <t>PeerCompos</t>
  </si>
  <si>
    <t>Country</t>
  </si>
  <si>
    <t>Total Debt</t>
  </si>
  <si>
    <t>Total Equity</t>
  </si>
  <si>
    <t>Tax Rate</t>
  </si>
  <si>
    <t>Debt/</t>
  </si>
  <si>
    <t>Equity</t>
  </si>
  <si>
    <t>Capital</t>
  </si>
  <si>
    <t xml:space="preserve">Levered </t>
  </si>
  <si>
    <t>Beta 2</t>
  </si>
  <si>
    <t xml:space="preserve">Unlevered </t>
  </si>
  <si>
    <t>Beta 3</t>
  </si>
  <si>
    <t>Name of the Company</t>
  </si>
  <si>
    <t>Oil Indial</t>
  </si>
  <si>
    <t>Deep industries</t>
  </si>
  <si>
    <t>Hind. Oil Explore</t>
  </si>
  <si>
    <t>Asian Energy</t>
  </si>
  <si>
    <t>India</t>
  </si>
  <si>
    <t>Average</t>
  </si>
  <si>
    <t>Media</t>
  </si>
  <si>
    <t>Cost of Debt</t>
  </si>
  <si>
    <t>Pre-Tax Cost of Debt</t>
  </si>
  <si>
    <t>Post Tax cost of Debt</t>
  </si>
  <si>
    <t>Cost of Equity</t>
  </si>
  <si>
    <t>Risk Free Rate</t>
  </si>
  <si>
    <t>Equity Risk Premium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</si>
  <si>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</si>
  <si>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</si>
  <si>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Current</t>
  </si>
  <si>
    <t>Target</t>
  </si>
  <si>
    <t>Total  Debt</t>
  </si>
  <si>
    <t>Total Capital</t>
  </si>
  <si>
    <t xml:space="preserve">Date </t>
  </si>
  <si>
    <t>Closing Price</t>
  </si>
  <si>
    <t>ONGC Daily Returns</t>
  </si>
  <si>
    <t xml:space="preserve"> Return</t>
  </si>
  <si>
    <t>NIFTY Return</t>
  </si>
  <si>
    <t>Return</t>
  </si>
  <si>
    <t>Beta 1</t>
  </si>
  <si>
    <t>X Variable 1</t>
  </si>
  <si>
    <t>Beta Drifting</t>
  </si>
  <si>
    <t>Levered Raw Beta</t>
  </si>
  <si>
    <t>Raw Beta Weight</t>
  </si>
  <si>
    <t>Market Beta Weight</t>
  </si>
  <si>
    <t xml:space="preserve">Market Beta </t>
  </si>
  <si>
    <t>Adjusted Beta</t>
  </si>
  <si>
    <t>Regression Beta - One Year Dialy</t>
  </si>
  <si>
    <t>Common Size Statement</t>
  </si>
  <si>
    <t>Particulars</t>
  </si>
  <si>
    <t>Total Liabilities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</si>
  <si>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</si>
  <si>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</si>
  <si>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</si>
  <si>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</si>
  <si>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</si>
  <si>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</si>
  <si>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</si>
  <si>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</si>
  <si>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</si>
  <si>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</si>
  <si>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</si>
  <si>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</si>
  <si>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</si>
  <si>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</si>
  <si>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</si>
  <si>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</si>
  <si>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</si>
  <si>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</si>
  <si>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</si>
  <si>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</si>
  <si>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</si>
  <si>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</si>
  <si>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</si>
  <si>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</si>
  <si>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</si>
  <si>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</si>
  <si>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</si>
  <si>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</si>
  <si>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Calculation of ROIC</t>
  </si>
  <si>
    <t>Current Assets</t>
  </si>
  <si>
    <t xml:space="preserve">Trade receivables </t>
  </si>
  <si>
    <t xml:space="preserve">Other Assets 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</si>
  <si>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</si>
  <si>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</si>
  <si>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</si>
  <si>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</si>
  <si>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</si>
  <si>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</si>
  <si>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</si>
  <si>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</si>
  <si>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</si>
  <si>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</si>
  <si>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Acquisition of companies</t>
  </si>
  <si>
    <t>Change in Working Capital</t>
  </si>
  <si>
    <t>Marginal Tax Rate</t>
  </si>
  <si>
    <t xml:space="preserve">Reinvestment </t>
  </si>
  <si>
    <t>EBIT(1-T)</t>
  </si>
  <si>
    <t>Reinvestment Rate</t>
  </si>
  <si>
    <t>4 Year Average</t>
  </si>
  <si>
    <t>4 Year Median</t>
  </si>
  <si>
    <t>Intristic Growth</t>
  </si>
  <si>
    <t>Calculation of PV of FCFF</t>
  </si>
  <si>
    <t>Less: Reinvestmen Rate</t>
  </si>
  <si>
    <t>Free Cash Flow to Firm(FCFF)</t>
  </si>
  <si>
    <t>Mid Year Convention</t>
  </si>
  <si>
    <t>Discounting Factor</t>
  </si>
  <si>
    <t>PV of FCFF</t>
  </si>
  <si>
    <t>Expected Growth</t>
  </si>
  <si>
    <t>Terminal Growth</t>
  </si>
  <si>
    <t>WACC</t>
  </si>
  <si>
    <r>
      <t xml:space="preserve">Tax Rate </t>
    </r>
    <r>
      <rPr>
        <b/>
        <vertAlign val="superscript"/>
        <sz val="11"/>
        <rFont val="Calibri"/>
        <family val="2"/>
        <scheme val="minor"/>
      </rPr>
      <t>1</t>
    </r>
  </si>
  <si>
    <r>
      <t xml:space="preserve">Beta </t>
    </r>
    <r>
      <rPr>
        <b/>
        <vertAlign val="superscript"/>
        <sz val="1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</si>
  <si>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rFont val="Calibri"/>
        <family val="2"/>
        <scheme val="minor"/>
      </rPr>
      <t>3</t>
    </r>
  </si>
  <si>
    <t>Comps Median Unlevered Beta</t>
  </si>
  <si>
    <t>Target Debt / Equity</t>
  </si>
  <si>
    <t>Levered Beta</t>
  </si>
  <si>
    <t>Debt / Equity</t>
  </si>
  <si>
    <t>Debt</t>
  </si>
  <si>
    <t>Total Cost</t>
  </si>
  <si>
    <t>Total Weight</t>
  </si>
  <si>
    <t>Notes:</t>
  </si>
  <si>
    <t>1. Tax Rate considered as Marginal Tax Rate for the country</t>
  </si>
  <si>
    <t>2. Levered beta is based on 1 year dialy data</t>
  </si>
  <si>
    <t>3. Unlevered Beta = Levered Beta/(1+(1-Tax Rate)*Debt/Equity)</t>
  </si>
  <si>
    <t>4. Unlevered Beta = UnLevered Beta/(1+(1-Tax Rate)*Debt/Equity)</t>
  </si>
  <si>
    <t>Name</t>
  </si>
  <si>
    <t>P/E</t>
  </si>
  <si>
    <t>O N G C</t>
  </si>
  <si>
    <t>Oil India</t>
  </si>
  <si>
    <t>Deep Industries</t>
  </si>
  <si>
    <t>Hind.Oil Explor.</t>
  </si>
  <si>
    <t>Year</t>
  </si>
  <si>
    <t>Annual</t>
  </si>
  <si>
    <t>Returns on Markets</t>
  </si>
  <si>
    <t>Average Return</t>
  </si>
  <si>
    <t>Dividend Yeid</t>
  </si>
  <si>
    <t>Total Market Return</t>
  </si>
  <si>
    <t>Calculation of Terminal Value</t>
  </si>
  <si>
    <t>FCFF (n+1)</t>
  </si>
  <si>
    <t>Terminal Growth Rate</t>
  </si>
  <si>
    <t>Figures in crores</t>
  </si>
  <si>
    <t>Shares Outstanding</t>
  </si>
  <si>
    <t>Equity Value</t>
  </si>
  <si>
    <t>Net Debt</t>
  </si>
  <si>
    <t>Enterprice value</t>
  </si>
  <si>
    <t>Market Data</t>
  </si>
  <si>
    <t>Share Price</t>
  </si>
  <si>
    <t>Revenue</t>
  </si>
  <si>
    <t>Net Income</t>
  </si>
  <si>
    <t>Valuation</t>
  </si>
  <si>
    <t>Financials</t>
  </si>
  <si>
    <t xml:space="preserve">Company </t>
  </si>
  <si>
    <t>Ticker</t>
  </si>
  <si>
    <t>S.No.</t>
  </si>
  <si>
    <t>CMP Rs.</t>
  </si>
  <si>
    <t>No. Eq. Shares Cr.</t>
  </si>
  <si>
    <t>Debt Rs.Cr.</t>
  </si>
  <si>
    <t>Cash End Rs.Cr.</t>
  </si>
  <si>
    <t>EV Rs.Cr.</t>
  </si>
  <si>
    <t>Sales Rs.Cr.</t>
  </si>
  <si>
    <t>NP 12M Rs.Cr.</t>
  </si>
  <si>
    <t xml:space="preserve">Mar Cap Rs.Cr. </t>
  </si>
  <si>
    <t>Selan Expl. Tech</t>
  </si>
  <si>
    <t>Guj.Nat.Resour.</t>
  </si>
  <si>
    <t>Aban Offshore</t>
  </si>
  <si>
    <t>Market Value</t>
  </si>
  <si>
    <t>EV</t>
  </si>
  <si>
    <t>EBIT 12M Rs.Cr.</t>
  </si>
  <si>
    <t>Dep 12M Rs.Cr.</t>
  </si>
  <si>
    <t xml:space="preserve">EBITDA </t>
  </si>
  <si>
    <t>Net Debt'</t>
  </si>
  <si>
    <t>EV/Revenue</t>
  </si>
  <si>
    <t>EV/EBITDA</t>
  </si>
  <si>
    <t>High</t>
  </si>
  <si>
    <t>75th Percentile</t>
  </si>
  <si>
    <t>25th Percentile</t>
  </si>
  <si>
    <t>Low</t>
  </si>
  <si>
    <t>ONGC Comparable Valuation</t>
  </si>
  <si>
    <t>Implied Enterprice Value</t>
  </si>
  <si>
    <t>Implied Market Value</t>
  </si>
  <si>
    <t>Implied value per Share</t>
  </si>
  <si>
    <t>Source: Screnner.i, The Valuation School</t>
  </si>
  <si>
    <t>Football Field Analysis</t>
  </si>
  <si>
    <t>Comps</t>
  </si>
  <si>
    <t>DCF Bear</t>
  </si>
  <si>
    <t>DCF Base</t>
  </si>
  <si>
    <t>DCF Bull</t>
  </si>
  <si>
    <t>52W H/L</t>
  </si>
  <si>
    <t>Terminal Value</t>
  </si>
  <si>
    <t>PV ofTerminal Value</t>
  </si>
  <si>
    <t>Enterprise Value</t>
  </si>
  <si>
    <t>Less: Debt</t>
  </si>
  <si>
    <t>Add: Cash</t>
  </si>
  <si>
    <t>Value of Equity</t>
  </si>
  <si>
    <t>No of Shares</t>
  </si>
  <si>
    <t>Equity Value per Share</t>
  </si>
  <si>
    <t>Discount/Premium</t>
  </si>
  <si>
    <t>Calculation of Equity Value per Share</t>
  </si>
  <si>
    <t>Equity Share Price Senstivity Analysis</t>
  </si>
  <si>
    <t>EV Senstivity Analysis</t>
  </si>
  <si>
    <t>Open low</t>
  </si>
  <si>
    <t>Open High</t>
  </si>
  <si>
    <t xml:space="preserve">Adjusted  CLOSE </t>
  </si>
  <si>
    <t>Sorted Return</t>
  </si>
  <si>
    <t xml:space="preserve">Calaculation of VaR </t>
  </si>
  <si>
    <t xml:space="preserve">Std </t>
  </si>
  <si>
    <t>Min</t>
  </si>
  <si>
    <t>Max</t>
  </si>
  <si>
    <t>Percentile</t>
  </si>
  <si>
    <t>VaR</t>
  </si>
  <si>
    <t>Current Market Price</t>
  </si>
  <si>
    <t>Stock Price</t>
  </si>
  <si>
    <t>VaR(INR)</t>
  </si>
  <si>
    <t>Confidence</t>
  </si>
  <si>
    <t>Replication</t>
  </si>
  <si>
    <t>Simulated Returns</t>
  </si>
  <si>
    <t>Historical Approch</t>
  </si>
  <si>
    <t>Monte Carlo Simulation</t>
  </si>
  <si>
    <t>(NSE: ONGC | BSE Code: 500312)</t>
  </si>
  <si>
    <t>52 weeks (High INR - 345 &amp; Low - 205)</t>
  </si>
  <si>
    <t>INR 243</t>
  </si>
  <si>
    <t xml:space="preserve">About the Company </t>
  </si>
  <si>
    <r>
      <t>The </t>
    </r>
    <r>
      <rPr>
        <b/>
        <sz val="11"/>
        <color rgb="FF202122"/>
        <rFont val="Calibri"/>
        <family val="2"/>
        <scheme val="minor"/>
      </rPr>
      <t>Oil and Natural Gas Corporation Limited</t>
    </r>
    <r>
      <rPr>
        <sz val="11"/>
        <color rgb="FF202122"/>
        <rFont val="Calibri"/>
        <family val="2"/>
        <scheme val="minor"/>
      </rPr>
      <t> (</t>
    </r>
    <r>
      <rPr>
        <b/>
        <sz val="11"/>
        <color rgb="FF202122"/>
        <rFont val="Calibri"/>
        <family val="2"/>
        <scheme val="minor"/>
      </rPr>
      <t>ONGC</t>
    </r>
    <r>
      <rPr>
        <sz val="11"/>
        <color rgb="FF202122"/>
        <rFont val="Calibri"/>
        <family val="2"/>
        <scheme val="minor"/>
      </rPr>
      <t>) is an Indian </t>
    </r>
    <r>
      <rPr>
        <sz val="11"/>
        <color rgb="FF3366CC"/>
        <rFont val="Calibri"/>
        <family val="2"/>
        <scheme val="minor"/>
      </rPr>
      <t>central public sector undertaking</t>
    </r>
    <r>
      <rPr>
        <sz val="11"/>
        <color rgb="FF202122"/>
        <rFont val="Calibri"/>
        <family val="2"/>
        <scheme val="minor"/>
      </rPr>
      <t> which is the largest government-owned oil and gas explorer and producer in the country. It accounts for around 70 percent of India's domestic production of </t>
    </r>
    <r>
      <rPr>
        <sz val="11"/>
        <color rgb="FF3366CC"/>
        <rFont val="Calibri"/>
        <family val="2"/>
        <scheme val="minor"/>
      </rPr>
      <t>crude oil</t>
    </r>
    <r>
      <rPr>
        <sz val="11"/>
        <color rgb="FF202122"/>
        <rFont val="Calibri"/>
        <family val="2"/>
        <scheme val="minor"/>
      </rPr>
      <t> and around 84 percent of </t>
    </r>
    <r>
      <rPr>
        <sz val="11"/>
        <color rgb="FF3366CC"/>
        <rFont val="Calibri"/>
        <family val="2"/>
        <scheme val="minor"/>
      </rPr>
      <t>natural gas</t>
    </r>
    <r>
      <rPr>
        <sz val="11"/>
        <color rgb="FF202122"/>
        <rFont val="Calibri"/>
        <family val="2"/>
        <scheme val="minor"/>
      </rPr>
      <t>. Headquartered in </t>
    </r>
    <r>
      <rPr>
        <sz val="11"/>
        <color rgb="FF3366CC"/>
        <rFont val="Calibri"/>
        <family val="2"/>
        <scheme val="minor"/>
      </rPr>
      <t>Delhi</t>
    </r>
    <r>
      <rPr>
        <sz val="11"/>
        <color rgb="FF202122"/>
        <rFont val="Calibri"/>
        <family val="2"/>
        <scheme val="minor"/>
      </rPr>
      <t>, ONGC is under the </t>
    </r>
    <r>
      <rPr>
        <sz val="11"/>
        <color rgb="FF3366CC"/>
        <rFont val="Calibri"/>
        <family val="2"/>
        <scheme val="minor"/>
      </rPr>
      <t>ownership</t>
    </r>
    <r>
      <rPr>
        <sz val="11"/>
        <color rgb="FF202122"/>
        <rFont val="Calibri"/>
        <family val="2"/>
        <scheme val="minor"/>
      </rPr>
      <t> of the </t>
    </r>
    <r>
      <rPr>
        <sz val="11"/>
        <color rgb="FF3366CC"/>
        <rFont val="Calibri"/>
        <family val="2"/>
        <scheme val="minor"/>
      </rPr>
      <t>Government of India</t>
    </r>
    <r>
      <rPr>
        <sz val="11"/>
        <color rgb="FF202122"/>
        <rFont val="Calibri"/>
        <family val="2"/>
        <scheme val="minor"/>
      </rPr>
      <t> and administration of </t>
    </r>
    <r>
      <rPr>
        <sz val="11"/>
        <color rgb="FF3366CC"/>
        <rFont val="Calibri"/>
        <family val="2"/>
        <scheme val="minor"/>
      </rPr>
      <t>Ministry of Petroleum and Natural Gas</t>
    </r>
    <r>
      <rPr>
        <sz val="11"/>
        <color rgb="FF202122"/>
        <rFont val="Calibri"/>
        <family val="2"/>
        <scheme val="minor"/>
      </rPr>
      <t>. It was founded on 14 August 1956 by the Government of India. In November 2010, the Government of India conferred the </t>
    </r>
    <r>
      <rPr>
        <i/>
        <sz val="11"/>
        <color rgb="FF3366CC"/>
        <rFont val="Calibri"/>
        <family val="2"/>
        <scheme val="minor"/>
      </rPr>
      <t>Maharatna</t>
    </r>
    <r>
      <rPr>
        <sz val="11"/>
        <color rgb="FF202122"/>
        <rFont val="Calibri"/>
        <family val="2"/>
        <scheme val="minor"/>
      </rPr>
      <t> status to ONGC.</t>
    </r>
  </si>
  <si>
    <t>Return on Equity (ROE)</t>
  </si>
  <si>
    <t>Average Shareholder Equity</t>
  </si>
  <si>
    <t>ROE - Dupont Equation</t>
  </si>
  <si>
    <t>Net Profit Margin(A)</t>
  </si>
  <si>
    <t>Average Total Assets</t>
  </si>
  <si>
    <t>Asset Turnover Ratio(B)</t>
  </si>
  <si>
    <t>Return on Equity (A*B*C)</t>
  </si>
  <si>
    <t>Equity Multiplier (C)</t>
  </si>
  <si>
    <t>Return on Asset (ROA)</t>
  </si>
  <si>
    <t>Average Total Asset</t>
  </si>
  <si>
    <t>ROA - Dupont Equation</t>
  </si>
  <si>
    <t>Return on Asset (A*B)</t>
  </si>
  <si>
    <t>Financial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</si>
</sst>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\-#,##0.00\)"/>
    <numFmt numFmtId="167" formatCode="&quot;₹&quot;\ #,##0.00;\(&quot;₹&quot;\ #,##0.00\)"/>
    <numFmt numFmtId="168" formatCode="0.00&quot;x&quot;"/>
    <numFmt numFmtId="169" formatCode="0\ "/>
    <numFmt numFmtId="170" formatCode="#,##0.0"/>
    <numFmt numFmtId="171" formatCode="0&quot;A&quot;"/>
    <numFmt numFmtId="172" formatCode="0&quot;E&quot;"/>
    <numFmt numFmtId="173" formatCode="yyyy&quot;A&quot;"/>
    <numFmt numFmtId="174" formatCode="yyyy&quot;E&quot;"/>
    <numFmt numFmtId="175" formatCode="0.0"/>
    <numFmt numFmtId="176" formatCode="#,##0.0;\(#,##0.0\)"/>
    <numFmt numFmtId="177" formatCode="mmm\-yy&quot;A&quot;"/>
    <numFmt numFmtId="178" formatCode="mmm\-yy&quot;E&quot;"/>
    <numFmt numFmtId="179" formatCode="#,##0.00;\(#,##0.00\)"/>
    <numFmt numFmtId="180" formatCode="0.000"/>
    <numFmt numFmtId="181" formatCode="0.0\x"/>
    <numFmt numFmtId="182" formatCode="0.00\x"/>
    <numFmt numFmtId="184" formatCode="0.000%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Calibri"/>
      <family val="2"/>
      <scheme val="minor"/>
    </font>
    <font>
      <sz val="11"/>
      <color rgb="FF606F7B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b/>
      <i/>
      <sz val="9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b/>
      <sz val="11"/>
      <color rgb="FF202122"/>
      <name val="Calibri"/>
      <family val="2"/>
      <scheme val="minor"/>
    </font>
    <font>
      <sz val="11"/>
      <color rgb="FF3366CC"/>
      <name val="Calibri"/>
      <family val="2"/>
      <scheme val="minor"/>
    </font>
    <font>
      <i/>
      <sz val="11"/>
      <color rgb="FF3366CC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/>
      <top style="thin">
        <color auto="1"/>
      </top>
      <bottom style="thick">
        <color theme="5" tint="-0.2499465926084170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2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5" fillId="0" borderId="0" xfId="0" applyFont="1" applyFill="1"/>
    <xf numFmtId="17" fontId="5" fillId="0" borderId="0" xfId="0" applyNumberFormat="1" applyFont="1" applyFill="1"/>
    <xf numFmtId="17" fontId="5" fillId="0" borderId="0" xfId="0" applyNumberFormat="1" applyFont="1" applyFill="1" applyAlignment="1">
      <alignment horizontal="right"/>
    </xf>
    <xf numFmtId="0" fontId="10" fillId="0" borderId="0" xfId="0" applyFont="1"/>
    <xf numFmtId="10" fontId="10" fillId="0" borderId="0" xfId="0" applyNumberFormat="1" applyFont="1"/>
    <xf numFmtId="7" fontId="0" fillId="0" borderId="0" xfId="0" applyNumberFormat="1"/>
    <xf numFmtId="0" fontId="0" fillId="0" borderId="0" xfId="0" applyFill="1"/>
    <xf numFmtId="0" fontId="1" fillId="7" borderId="0" xfId="0" applyFont="1" applyFill="1"/>
    <xf numFmtId="0" fontId="0" fillId="7" borderId="0" xfId="0" applyFill="1"/>
    <xf numFmtId="0" fontId="1" fillId="0" borderId="1" xfId="0" applyFont="1" applyBorder="1"/>
    <xf numFmtId="7" fontId="1" fillId="0" borderId="1" xfId="0" applyNumberFormat="1" applyFont="1" applyBorder="1"/>
    <xf numFmtId="0" fontId="1" fillId="0" borderId="0" xfId="0" applyFont="1"/>
    <xf numFmtId="0" fontId="0" fillId="8" borderId="0" xfId="0" applyFill="1"/>
    <xf numFmtId="7" fontId="1" fillId="0" borderId="0" xfId="0" applyNumberFormat="1" applyFont="1"/>
    <xf numFmtId="0" fontId="11" fillId="0" borderId="0" xfId="0" applyFont="1"/>
    <xf numFmtId="43" fontId="1" fillId="0" borderId="1" xfId="1" applyFont="1" applyBorder="1"/>
    <xf numFmtId="43" fontId="1" fillId="0" borderId="1" xfId="1" applyFont="1" applyFill="1" applyBorder="1"/>
    <xf numFmtId="17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" fillId="8" borderId="0" xfId="0" applyFont="1" applyFill="1"/>
    <xf numFmtId="0" fontId="1" fillId="0" borderId="2" xfId="0" applyFont="1" applyBorder="1"/>
    <xf numFmtId="0" fontId="0" fillId="0" borderId="2" xfId="0" applyBorder="1"/>
    <xf numFmtId="167" fontId="0" fillId="0" borderId="0" xfId="0" applyNumberFormat="1"/>
    <xf numFmtId="167" fontId="1" fillId="0" borderId="1" xfId="0" applyNumberFormat="1" applyFont="1" applyBorder="1"/>
    <xf numFmtId="10" fontId="0" fillId="0" borderId="0" xfId="0" applyNumberFormat="1"/>
    <xf numFmtId="10" fontId="0" fillId="0" borderId="0" xfId="0" applyNumberFormat="1" applyBorder="1"/>
    <xf numFmtId="0" fontId="0" fillId="0" borderId="3" xfId="0" applyBorder="1"/>
    <xf numFmtId="10" fontId="0" fillId="0" borderId="3" xfId="0" applyNumberFormat="1" applyBorder="1"/>
    <xf numFmtId="168" fontId="0" fillId="0" borderId="0" xfId="0" applyNumberFormat="1"/>
    <xf numFmtId="168" fontId="0" fillId="0" borderId="3" xfId="0" applyNumberFormat="1" applyBorder="1"/>
    <xf numFmtId="169" fontId="0" fillId="0" borderId="0" xfId="0" applyNumberFormat="1"/>
    <xf numFmtId="0" fontId="0" fillId="0" borderId="3" xfId="0" applyNumberFormat="1" applyBorder="1"/>
    <xf numFmtId="169" fontId="0" fillId="0" borderId="3" xfId="0" applyNumberFormat="1" applyBorder="1"/>
    <xf numFmtId="10" fontId="0" fillId="0" borderId="0" xfId="6" applyNumberFormat="1" applyFont="1"/>
    <xf numFmtId="10" fontId="0" fillId="0" borderId="3" xfId="6" applyNumberFormat="1" applyFont="1" applyBorder="1"/>
    <xf numFmtId="3" fontId="14" fillId="8" borderId="0" xfId="0" applyNumberFormat="1" applyFont="1" applyFill="1" applyBorder="1" applyAlignment="1">
      <alignment horizontal="right" vertical="center" wrapText="1" indent="1"/>
    </xf>
    <xf numFmtId="0" fontId="0" fillId="8" borderId="0" xfId="0" applyFill="1" applyBorder="1"/>
    <xf numFmtId="3" fontId="12" fillId="8" borderId="0" xfId="0" applyNumberFormat="1" applyFont="1" applyFill="1" applyBorder="1" applyAlignment="1">
      <alignment horizontal="right" vertical="center" wrapText="1" indent="1"/>
    </xf>
    <xf numFmtId="9" fontId="14" fillId="8" borderId="0" xfId="0" applyNumberFormat="1" applyFont="1" applyFill="1" applyBorder="1" applyAlignment="1">
      <alignment horizontal="right" vertical="center" wrapText="1" indent="1"/>
    </xf>
    <xf numFmtId="0" fontId="14" fillId="8" borderId="0" xfId="0" applyFont="1" applyFill="1" applyBorder="1" applyAlignment="1">
      <alignment horizontal="right" vertical="center" wrapText="1" indent="1"/>
    </xf>
    <xf numFmtId="17" fontId="13" fillId="8" borderId="0" xfId="0" applyNumberFormat="1" applyFont="1" applyFill="1" applyBorder="1" applyAlignment="1">
      <alignment horizontal="right" vertical="center" wrapText="1" indent="1"/>
    </xf>
    <xf numFmtId="0" fontId="0" fillId="0" borderId="0" xfId="0" applyFont="1"/>
    <xf numFmtId="0" fontId="15" fillId="8" borderId="0" xfId="0" applyFont="1" applyFill="1" applyBorder="1" applyAlignment="1">
      <alignment horizontal="left" vertical="center" indent="2"/>
    </xf>
    <xf numFmtId="0" fontId="15" fillId="8" borderId="0" xfId="0" applyFont="1" applyFill="1" applyBorder="1" applyAlignment="1">
      <alignment horizontal="right" vertical="center" wrapText="1" indent="1"/>
    </xf>
    <xf numFmtId="17" fontId="16" fillId="8" borderId="0" xfId="0" applyNumberFormat="1" applyFont="1" applyFill="1" applyBorder="1" applyAlignment="1">
      <alignment horizontal="right" vertical="center" wrapText="1" indent="1"/>
    </xf>
    <xf numFmtId="3" fontId="15" fillId="8" borderId="0" xfId="0" applyNumberFormat="1" applyFont="1" applyFill="1" applyBorder="1" applyAlignment="1">
      <alignment horizontal="right" vertical="center" wrapText="1" indent="1"/>
    </xf>
    <xf numFmtId="0" fontId="2" fillId="9" borderId="0" xfId="0" applyFont="1" applyFill="1" applyAlignment="1">
      <alignment horizontal="right"/>
    </xf>
    <xf numFmtId="0" fontId="2" fillId="9" borderId="0" xfId="0" applyFont="1" applyFill="1" applyAlignment="1">
      <alignment horizontal="left"/>
    </xf>
    <xf numFmtId="170" fontId="17" fillId="8" borderId="0" xfId="0" applyNumberFormat="1" applyFont="1" applyFill="1" applyBorder="1" applyAlignment="1">
      <alignment vertical="center" wrapText="1"/>
    </xf>
    <xf numFmtId="10" fontId="0" fillId="0" borderId="0" xfId="0" applyNumberFormat="1" applyFont="1"/>
    <xf numFmtId="0" fontId="12" fillId="8" borderId="0" xfId="0" applyFont="1" applyFill="1" applyBorder="1" applyAlignment="1">
      <alignment horizontal="right" vertical="center" wrapText="1" indent="1"/>
    </xf>
    <xf numFmtId="0" fontId="0" fillId="8" borderId="0" xfId="0" applyFont="1" applyFill="1"/>
    <xf numFmtId="171" fontId="15" fillId="8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11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Continuous"/>
    </xf>
    <xf numFmtId="0" fontId="15" fillId="10" borderId="0" xfId="0" applyFont="1" applyFill="1" applyBorder="1" applyAlignment="1">
      <alignment horizontal="left" vertical="center" indent="2"/>
    </xf>
    <xf numFmtId="172" fontId="15" fillId="10" borderId="0" xfId="0" applyNumberFormat="1" applyFont="1" applyFill="1" applyBorder="1" applyAlignment="1">
      <alignment vertical="center" wrapText="1"/>
    </xf>
    <xf numFmtId="170" fontId="17" fillId="10" borderId="0" xfId="0" applyNumberFormat="1" applyFont="1" applyFill="1" applyBorder="1" applyAlignment="1">
      <alignment vertical="center" wrapText="1"/>
    </xf>
    <xf numFmtId="10" fontId="15" fillId="10" borderId="0" xfId="6" applyNumberFormat="1" applyFont="1" applyFill="1" applyBorder="1" applyAlignment="1">
      <alignment horizontal="right" vertical="center" wrapText="1" indent="1"/>
    </xf>
    <xf numFmtId="3" fontId="4" fillId="8" borderId="0" xfId="2" applyNumberFormat="1" applyFill="1" applyBorder="1" applyAlignment="1" applyProtection="1">
      <alignment horizontal="right" vertical="center" wrapText="1" indent="1"/>
    </xf>
    <xf numFmtId="0" fontId="4" fillId="0" borderId="0" xfId="2" applyAlignment="1" applyProtection="1"/>
    <xf numFmtId="0" fontId="2" fillId="6" borderId="0" xfId="0" applyFont="1" applyFill="1" applyAlignment="1">
      <alignment horizontal="center"/>
    </xf>
    <xf numFmtId="170" fontId="14" fillId="7" borderId="0" xfId="0" applyNumberFormat="1" applyFont="1" applyFill="1" applyBorder="1" applyAlignment="1">
      <alignment horizontal="right" vertical="center" wrapText="1" indent="1"/>
    </xf>
    <xf numFmtId="10" fontId="15" fillId="7" borderId="0" xfId="6" applyNumberFormat="1" applyFont="1" applyFill="1" applyBorder="1" applyAlignment="1">
      <alignment horizontal="right" vertical="center" wrapText="1" indent="1"/>
    </xf>
    <xf numFmtId="173" fontId="9" fillId="8" borderId="0" xfId="0" applyNumberFormat="1" applyFont="1" applyFill="1" applyBorder="1" applyAlignment="1">
      <alignment horizontal="right"/>
    </xf>
    <xf numFmtId="170" fontId="0" fillId="0" borderId="0" xfId="0" applyNumberFormat="1"/>
    <xf numFmtId="174" fontId="9" fillId="10" borderId="0" xfId="0" applyNumberFormat="1" applyFont="1" applyFill="1" applyBorder="1" applyAlignment="1">
      <alignment horizontal="right"/>
    </xf>
    <xf numFmtId="170" fontId="0" fillId="10" borderId="0" xfId="0" applyNumberFormat="1" applyFill="1"/>
    <xf numFmtId="10" fontId="0" fillId="10" borderId="0" xfId="0" applyNumberFormat="1" applyFill="1"/>
    <xf numFmtId="0" fontId="19" fillId="0" borderId="0" xfId="0" applyFont="1"/>
    <xf numFmtId="2" fontId="0" fillId="0" borderId="0" xfId="0" applyNumberFormat="1"/>
    <xf numFmtId="9" fontId="0" fillId="0" borderId="0" xfId="0" applyNumberFormat="1"/>
    <xf numFmtId="0" fontId="21" fillId="0" borderId="0" xfId="0" applyFont="1"/>
    <xf numFmtId="2" fontId="21" fillId="0" borderId="0" xfId="0" applyNumberFormat="1" applyFont="1"/>
    <xf numFmtId="10" fontId="21" fillId="0" borderId="0" xfId="0" applyNumberFormat="1" applyFont="1"/>
    <xf numFmtId="0" fontId="1" fillId="0" borderId="5" xfId="0" applyNumberFormat="1" applyFont="1" applyBorder="1"/>
    <xf numFmtId="0" fontId="1" fillId="0" borderId="3" xfId="0" applyNumberFormat="1" applyFont="1" applyBorder="1"/>
    <xf numFmtId="10" fontId="0" fillId="0" borderId="5" xfId="0" applyNumberFormat="1" applyBorder="1"/>
    <xf numFmtId="2" fontId="0" fillId="0" borderId="5" xfId="0" applyNumberFormat="1" applyBorder="1"/>
    <xf numFmtId="2" fontId="0" fillId="0" borderId="3" xfId="0" applyNumberFormat="1" applyBorder="1"/>
    <xf numFmtId="0" fontId="0" fillId="0" borderId="6" xfId="0" applyBorder="1"/>
    <xf numFmtId="0" fontId="1" fillId="0" borderId="3" xfId="0" applyFont="1" applyBorder="1"/>
    <xf numFmtId="0" fontId="0" fillId="0" borderId="7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2" fontId="1" fillId="0" borderId="3" xfId="0" applyNumberFormat="1" applyFont="1" applyBorder="1" applyAlignment="1">
      <alignment horizontal="right"/>
    </xf>
    <xf numFmtId="170" fontId="1" fillId="0" borderId="3" xfId="0" applyNumberFormat="1" applyFont="1" applyBorder="1" applyAlignment="1">
      <alignment horizontal="right"/>
    </xf>
    <xf numFmtId="170" fontId="0" fillId="0" borderId="0" xfId="0" applyNumberFormat="1" applyAlignment="1">
      <alignment horizontal="right"/>
    </xf>
    <xf numFmtId="2" fontId="0" fillId="7" borderId="0" xfId="0" applyNumberFormat="1" applyFill="1"/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right"/>
    </xf>
    <xf numFmtId="17" fontId="0" fillId="8" borderId="0" xfId="0" applyNumberFormat="1" applyFill="1"/>
    <xf numFmtId="0" fontId="2" fillId="8" borderId="0" xfId="0" applyFont="1" applyFill="1" applyAlignment="1"/>
    <xf numFmtId="17" fontId="1" fillId="0" borderId="3" xfId="0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43" fontId="0" fillId="0" borderId="0" xfId="0" applyNumberFormat="1"/>
    <xf numFmtId="10" fontId="1" fillId="0" borderId="0" xfId="0" applyNumberFormat="1" applyFont="1"/>
    <xf numFmtId="43" fontId="1" fillId="0" borderId="0" xfId="0" applyNumberFormat="1" applyFont="1"/>
    <xf numFmtId="17" fontId="1" fillId="0" borderId="0" xfId="0" applyNumberFormat="1" applyFont="1" applyBorder="1"/>
    <xf numFmtId="0" fontId="2" fillId="8" borderId="0" xfId="0" applyFont="1" applyFill="1"/>
    <xf numFmtId="17" fontId="2" fillId="8" borderId="0" xfId="0" applyNumberFormat="1" applyFont="1" applyFill="1"/>
    <xf numFmtId="3" fontId="1" fillId="0" borderId="1" xfId="0" applyNumberFormat="1" applyFont="1" applyBorder="1"/>
    <xf numFmtId="3" fontId="0" fillId="0" borderId="0" xfId="0" applyNumberFormat="1" applyBorder="1"/>
    <xf numFmtId="3" fontId="0" fillId="0" borderId="3" xfId="0" applyNumberFormat="1" applyBorder="1"/>
    <xf numFmtId="3" fontId="0" fillId="0" borderId="8" xfId="0" applyNumberFormat="1" applyBorder="1"/>
    <xf numFmtId="0" fontId="0" fillId="0" borderId="8" xfId="0" applyBorder="1"/>
    <xf numFmtId="3" fontId="1" fillId="0" borderId="8" xfId="0" applyNumberFormat="1" applyFont="1" applyBorder="1"/>
    <xf numFmtId="3" fontId="1" fillId="0" borderId="0" xfId="0" applyNumberFormat="1" applyFont="1" applyBorder="1"/>
    <xf numFmtId="3" fontId="0" fillId="0" borderId="9" xfId="0" applyNumberFormat="1" applyBorder="1"/>
    <xf numFmtId="3" fontId="1" fillId="0" borderId="10" xfId="0" applyNumberFormat="1" applyFont="1" applyBorder="1"/>
    <xf numFmtId="3" fontId="1" fillId="0" borderId="9" xfId="0" applyNumberFormat="1" applyFont="1" applyBorder="1"/>
    <xf numFmtId="3" fontId="0" fillId="0" borderId="10" xfId="0" applyNumberFormat="1" applyBorder="1"/>
    <xf numFmtId="0" fontId="0" fillId="6" borderId="0" xfId="0" applyFill="1"/>
    <xf numFmtId="0" fontId="9" fillId="0" borderId="0" xfId="0" applyFont="1"/>
    <xf numFmtId="175" fontId="0" fillId="0" borderId="0" xfId="0" applyNumberFormat="1"/>
    <xf numFmtId="0" fontId="1" fillId="0" borderId="11" xfId="0" applyFont="1" applyBorder="1"/>
    <xf numFmtId="0" fontId="0" fillId="0" borderId="11" xfId="0" applyBorder="1"/>
    <xf numFmtId="0" fontId="1" fillId="0" borderId="12" xfId="0" applyFont="1" applyBorder="1"/>
    <xf numFmtId="0" fontId="0" fillId="0" borderId="12" xfId="0" applyBorder="1"/>
    <xf numFmtId="10" fontId="1" fillId="0" borderId="11" xfId="0" applyNumberFormat="1" applyFont="1" applyBorder="1"/>
    <xf numFmtId="0" fontId="0" fillId="11" borderId="0" xfId="0" applyFill="1"/>
    <xf numFmtId="3" fontId="0" fillId="11" borderId="0" xfId="0" applyNumberFormat="1" applyFill="1"/>
    <xf numFmtId="4" fontId="0" fillId="0" borderId="0" xfId="0" applyNumberFormat="1"/>
    <xf numFmtId="10" fontId="0" fillId="11" borderId="0" xfId="0" applyNumberFormat="1" applyFill="1"/>
    <xf numFmtId="176" fontId="0" fillId="0" borderId="0" xfId="0" applyNumberFormat="1" applyBorder="1"/>
    <xf numFmtId="176" fontId="0" fillId="0" borderId="3" xfId="0" applyNumberFormat="1" applyBorder="1"/>
    <xf numFmtId="176" fontId="1" fillId="0" borderId="11" xfId="0" applyNumberFormat="1" applyFont="1" applyBorder="1"/>
    <xf numFmtId="176" fontId="0" fillId="0" borderId="0" xfId="0" applyNumberFormat="1"/>
    <xf numFmtId="176" fontId="0" fillId="0" borderId="12" xfId="0" applyNumberFormat="1" applyBorder="1"/>
    <xf numFmtId="176" fontId="0" fillId="0" borderId="11" xfId="0" applyNumberFormat="1" applyBorder="1"/>
    <xf numFmtId="176" fontId="1" fillId="0" borderId="0" xfId="0" applyNumberFormat="1" applyFont="1"/>
    <xf numFmtId="0" fontId="2" fillId="8" borderId="0" xfId="0" applyFont="1" applyFill="1" applyAlignment="1">
      <alignment horizontal="center"/>
    </xf>
    <xf numFmtId="177" fontId="2" fillId="6" borderId="0" xfId="0" applyNumberFormat="1" applyFont="1" applyFill="1"/>
    <xf numFmtId="178" fontId="2" fillId="6" borderId="0" xfId="0" applyNumberFormat="1" applyFont="1" applyFill="1"/>
    <xf numFmtId="0" fontId="1" fillId="0" borderId="13" xfId="0" applyFont="1" applyBorder="1"/>
    <xf numFmtId="179" fontId="0" fillId="0" borderId="0" xfId="0" applyNumberFormat="1"/>
    <xf numFmtId="10" fontId="0" fillId="0" borderId="6" xfId="0" applyNumberFormat="1" applyBorder="1"/>
    <xf numFmtId="10" fontId="1" fillId="7" borderId="6" xfId="0" applyNumberFormat="1" applyFont="1" applyFill="1" applyBorder="1"/>
    <xf numFmtId="0" fontId="22" fillId="7" borderId="5" xfId="0" applyFont="1" applyFill="1" applyBorder="1"/>
    <xf numFmtId="0" fontId="22" fillId="7" borderId="3" xfId="0" applyFont="1" applyFill="1" applyBorder="1"/>
    <xf numFmtId="10" fontId="1" fillId="7" borderId="0" xfId="0" applyNumberFormat="1" applyFont="1" applyFill="1" applyBorder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10" fontId="9" fillId="0" borderId="0" xfId="0" applyNumberFormat="1" applyFont="1"/>
    <xf numFmtId="9" fontId="21" fillId="0" borderId="7" xfId="0" applyNumberFormat="1" applyFont="1" applyBorder="1"/>
    <xf numFmtId="2" fontId="0" fillId="0" borderId="7" xfId="0" applyNumberFormat="1" applyBorder="1"/>
    <xf numFmtId="0" fontId="0" fillId="0" borderId="6" xfId="0" applyFill="1" applyBorder="1"/>
    <xf numFmtId="2" fontId="0" fillId="0" borderId="6" xfId="0" applyNumberFormat="1" applyBorder="1"/>
    <xf numFmtId="10" fontId="0" fillId="7" borderId="0" xfId="0" applyNumberFormat="1" applyFill="1" applyBorder="1"/>
    <xf numFmtId="0" fontId="0" fillId="0" borderId="14" xfId="0" applyBorder="1"/>
    <xf numFmtId="10" fontId="0" fillId="7" borderId="0" xfId="0" applyNumberFormat="1" applyFill="1"/>
    <xf numFmtId="2" fontId="0" fillId="0" borderId="0" xfId="0" applyNumberFormat="1" applyBorder="1" applyAlignment="1">
      <alignment horizontal="right"/>
    </xf>
    <xf numFmtId="0" fontId="1" fillId="0" borderId="14" xfId="0" applyFont="1" applyBorder="1"/>
    <xf numFmtId="0" fontId="0" fillId="0" borderId="6" xfId="0" applyFont="1" applyBorder="1"/>
    <xf numFmtId="0" fontId="0" fillId="0" borderId="15" xfId="0" applyBorder="1"/>
    <xf numFmtId="0" fontId="24" fillId="0" borderId="0" xfId="0" applyFont="1"/>
    <xf numFmtId="0" fontId="24" fillId="0" borderId="0" xfId="0" applyFont="1" applyAlignment="1">
      <alignment vertical="top"/>
    </xf>
    <xf numFmtId="10" fontId="1" fillId="7" borderId="0" xfId="0" applyNumberFormat="1" applyFont="1" applyFill="1"/>
    <xf numFmtId="2" fontId="1" fillId="7" borderId="6" xfId="0" applyNumberFormat="1" applyFont="1" applyFill="1" applyBorder="1"/>
    <xf numFmtId="0" fontId="26" fillId="8" borderId="0" xfId="0" applyFont="1" applyFill="1" applyAlignment="1">
      <alignment horizontal="right" vertical="center" wrapText="1" indent="1"/>
    </xf>
    <xf numFmtId="0" fontId="12" fillId="8" borderId="0" xfId="0" applyFont="1" applyFill="1" applyAlignment="1">
      <alignment horizontal="right" vertical="center" wrapText="1" indent="1"/>
    </xf>
    <xf numFmtId="0" fontId="4" fillId="8" borderId="0" xfId="2" applyFill="1" applyAlignment="1" applyProtection="1">
      <alignment horizontal="left" vertical="center" indent="1"/>
    </xf>
    <xf numFmtId="0" fontId="12" fillId="8" borderId="0" xfId="0" applyFont="1" applyFill="1" applyAlignment="1">
      <alignment horizontal="left" vertical="center" indent="2"/>
    </xf>
    <xf numFmtId="0" fontId="25" fillId="8" borderId="0" xfId="0" applyFont="1" applyFill="1" applyBorder="1" applyAlignment="1">
      <alignment horizontal="left" vertical="center" indent="1"/>
    </xf>
    <xf numFmtId="0" fontId="25" fillId="8" borderId="0" xfId="0" applyFont="1" applyFill="1" applyBorder="1" applyAlignment="1">
      <alignment horizontal="right" vertical="center" wrapText="1" indent="1"/>
    </xf>
    <xf numFmtId="0" fontId="26" fillId="8" borderId="0" xfId="0" applyFont="1" applyFill="1" applyBorder="1" applyAlignment="1">
      <alignment horizontal="left" vertical="center" indent="2"/>
    </xf>
    <xf numFmtId="0" fontId="4" fillId="8" borderId="0" xfId="2" applyFill="1" applyBorder="1" applyAlignment="1" applyProtection="1">
      <alignment horizontal="left" vertical="center" indent="1"/>
    </xf>
    <xf numFmtId="0" fontId="26" fillId="8" borderId="0" xfId="0" applyFont="1" applyFill="1" applyBorder="1" applyAlignment="1">
      <alignment horizontal="right" vertical="center" wrapText="1" indent="1"/>
    </xf>
    <xf numFmtId="0" fontId="12" fillId="8" borderId="0" xfId="0" applyFont="1" applyFill="1" applyBorder="1" applyAlignment="1">
      <alignment horizontal="left" vertical="center" indent="2"/>
    </xf>
    <xf numFmtId="180" fontId="0" fillId="0" borderId="0" xfId="0" applyNumberFormat="1"/>
    <xf numFmtId="0" fontId="9" fillId="8" borderId="0" xfId="0" applyFont="1" applyFill="1"/>
    <xf numFmtId="0" fontId="27" fillId="6" borderId="0" xfId="0" applyFont="1" applyFill="1"/>
    <xf numFmtId="0" fontId="2" fillId="6" borderId="0" xfId="0" applyFont="1" applyFill="1" applyBorder="1"/>
    <xf numFmtId="0" fontId="2" fillId="6" borderId="0" xfId="0" applyFont="1" applyFill="1" applyAlignment="1">
      <alignment wrapText="1"/>
    </xf>
    <xf numFmtId="0" fontId="2" fillId="6" borderId="0" xfId="0" applyFont="1" applyFill="1" applyBorder="1" applyAlignment="1"/>
    <xf numFmtId="0" fontId="2" fillId="8" borderId="0" xfId="0" applyFont="1" applyFill="1" applyAlignment="1">
      <alignment wrapText="1"/>
    </xf>
    <xf numFmtId="175" fontId="0" fillId="8" borderId="0" xfId="0" applyNumberFormat="1" applyFill="1"/>
    <xf numFmtId="1" fontId="0" fillId="0" borderId="0" xfId="0" applyNumberFormat="1"/>
    <xf numFmtId="1" fontId="0" fillId="8" borderId="0" xfId="0" applyNumberFormat="1" applyFill="1"/>
    <xf numFmtId="181" fontId="0" fillId="8" borderId="0" xfId="0" applyNumberFormat="1" applyFill="1"/>
    <xf numFmtId="181" fontId="0" fillId="0" borderId="0" xfId="0" applyNumberFormat="1"/>
    <xf numFmtId="1" fontId="0" fillId="7" borderId="0" xfId="0" applyNumberFormat="1" applyFill="1"/>
    <xf numFmtId="181" fontId="0" fillId="7" borderId="0" xfId="0" applyNumberFormat="1" applyFill="1"/>
    <xf numFmtId="181" fontId="1" fillId="7" borderId="0" xfId="0" applyNumberFormat="1" applyFont="1" applyFill="1"/>
    <xf numFmtId="0" fontId="2" fillId="6" borderId="0" xfId="0" applyFont="1" applyFill="1" applyAlignment="1">
      <alignment horizontal="right" wrapText="1"/>
    </xf>
    <xf numFmtId="0" fontId="0" fillId="7" borderId="1" xfId="0" applyFill="1" applyBorder="1"/>
    <xf numFmtId="175" fontId="0" fillId="7" borderId="1" xfId="0" applyNumberFormat="1" applyFill="1" applyBorder="1"/>
    <xf numFmtId="4" fontId="9" fillId="8" borderId="0" xfId="0" applyNumberFormat="1" applyFont="1" applyFill="1"/>
    <xf numFmtId="10" fontId="0" fillId="8" borderId="0" xfId="0" applyNumberFormat="1" applyFill="1"/>
    <xf numFmtId="10" fontId="21" fillId="7" borderId="0" xfId="0" applyNumberFormat="1" applyFont="1" applyFill="1"/>
    <xf numFmtId="0" fontId="1" fillId="0" borderId="17" xfId="0" applyFont="1" applyBorder="1"/>
    <xf numFmtId="4" fontId="22" fillId="8" borderId="17" xfId="0" applyNumberFormat="1" applyFont="1" applyFill="1" applyBorder="1"/>
    <xf numFmtId="2" fontId="0" fillId="8" borderId="0" xfId="0" applyNumberFormat="1" applyFill="1"/>
    <xf numFmtId="182" fontId="0" fillId="0" borderId="0" xfId="0" applyNumberFormat="1"/>
    <xf numFmtId="9" fontId="0" fillId="0" borderId="0" xfId="6" applyFont="1"/>
    <xf numFmtId="182" fontId="1" fillId="7" borderId="0" xfId="0" applyNumberFormat="1" applyFont="1" applyFill="1"/>
    <xf numFmtId="0" fontId="22" fillId="8" borderId="0" xfId="0" applyFont="1" applyFill="1" applyAlignment="1"/>
    <xf numFmtId="0" fontId="0" fillId="0" borderId="17" xfId="0" applyFont="1" applyBorder="1"/>
    <xf numFmtId="179" fontId="0" fillId="0" borderId="17" xfId="0" applyNumberFormat="1" applyFont="1" applyBorder="1"/>
    <xf numFmtId="4" fontId="0" fillId="8" borderId="0" xfId="0" applyNumberFormat="1" applyFill="1"/>
    <xf numFmtId="10" fontId="1" fillId="0" borderId="0" xfId="6" applyNumberFormat="1" applyFont="1"/>
    <xf numFmtId="4" fontId="0" fillId="7" borderId="0" xfId="0" applyNumberFormat="1" applyFill="1"/>
    <xf numFmtId="4" fontId="1" fillId="8" borderId="0" xfId="0" applyNumberFormat="1" applyFont="1" applyFill="1"/>
    <xf numFmtId="4" fontId="0" fillId="8" borderId="0" xfId="0" applyNumberFormat="1" applyFont="1" applyFill="1"/>
    <xf numFmtId="4" fontId="1" fillId="8" borderId="17" xfId="0" applyNumberFormat="1" applyFont="1" applyFill="1" applyBorder="1"/>
    <xf numFmtId="4" fontId="28" fillId="8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0" applyFont="1" applyFill="1" applyAlignment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" fillId="6" borderId="16" xfId="0" applyFont="1" applyFill="1" applyBorder="1" applyAlignment="1">
      <alignment horizontal="center"/>
    </xf>
    <xf numFmtId="15" fontId="0" fillId="0" borderId="0" xfId="0" applyNumberFormat="1"/>
    <xf numFmtId="184" fontId="0" fillId="0" borderId="0" xfId="6" applyNumberFormat="1" applyFont="1"/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43" fontId="29" fillId="0" borderId="0" xfId="0" applyNumberFormat="1" applyFont="1" applyAlignment="1">
      <alignment vertical="center"/>
    </xf>
    <xf numFmtId="0" fontId="30" fillId="0" borderId="0" xfId="0" applyFont="1" applyAlignment="1">
      <alignment horizontal="left" vertical="top"/>
    </xf>
    <xf numFmtId="0" fontId="0" fillId="0" borderId="12" xfId="0" applyBorder="1" applyAlignment="1">
      <alignment horizontal="left"/>
    </xf>
    <xf numFmtId="0" fontId="31" fillId="0" borderId="0" xfId="0" applyFont="1"/>
    <xf numFmtId="0" fontId="32" fillId="0" borderId="0" xfId="0" applyFont="1" applyAlignment="1">
      <alignment horizontal="left" wrapText="1"/>
    </xf>
    <xf numFmtId="0" fontId="36" fillId="6" borderId="0" xfId="0" applyFont="1" applyFill="1" applyAlignment="1">
      <alignment horizontal="center"/>
    </xf>
    <xf numFmtId="17" fontId="1" fillId="0" borderId="0" xfId="0" applyNumberFormat="1" applyFont="1"/>
    <xf numFmtId="10" fontId="1" fillId="7" borderId="0" xfId="6" applyNumberFormat="1" applyFont="1" applyFill="1"/>
    <xf numFmtId="182" fontId="1" fillId="7" borderId="0" xfId="6" applyNumberFormat="1" applyFont="1" applyFill="1"/>
    <xf numFmtId="0" fontId="37" fillId="0" borderId="0" xfId="0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333FF"/>
      <color rgb="FFFF9966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Forecasting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Forecasting!$C$4:$C$19</c:f>
              <c:numCache>
                <c:formatCode>yyyy"A"</c:formatCode>
                <c:ptCount val="16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  <c:pt idx="8">
                  <c:v>45016</c:v>
                </c:pt>
                <c:pt idx="9">
                  <c:v>45382</c:v>
                </c:pt>
                <c:pt idx="10" formatCode="yyyy&quot;E&quot;">
                  <c:v>45747</c:v>
                </c:pt>
                <c:pt idx="11" formatCode="yyyy&quot;E&quot;">
                  <c:v>46112</c:v>
                </c:pt>
                <c:pt idx="12" formatCode="yyyy&quot;E&quot;">
                  <c:v>46477</c:v>
                </c:pt>
                <c:pt idx="13" formatCode="yyyy&quot;E&quot;">
                  <c:v>46843</c:v>
                </c:pt>
                <c:pt idx="14" formatCode="yyyy&quot;E&quot;">
                  <c:v>47208</c:v>
                </c:pt>
                <c:pt idx="15" formatCode="yyyy&quot;E&quot;">
                  <c:v>47573</c:v>
                </c:pt>
              </c:numCache>
            </c:numRef>
          </c:cat>
          <c:val>
            <c:numRef>
              <c:f>Forecasting!$D$4:$D$19</c:f>
              <c:numCache>
                <c:formatCode>#,##0.0</c:formatCode>
                <c:ptCount val="16"/>
                <c:pt idx="0">
                  <c:v>160922.64000000001</c:v>
                </c:pt>
                <c:pt idx="1">
                  <c:v>124035.71</c:v>
                </c:pt>
                <c:pt idx="2">
                  <c:v>282506.11</c:v>
                </c:pt>
                <c:pt idx="3">
                  <c:v>322705.76</c:v>
                </c:pt>
                <c:pt idx="4">
                  <c:v>421623.93</c:v>
                </c:pt>
                <c:pt idx="5">
                  <c:v>396727.91</c:v>
                </c:pt>
                <c:pt idx="6">
                  <c:v>303848.90999999997</c:v>
                </c:pt>
                <c:pt idx="7">
                  <c:v>491246.24</c:v>
                </c:pt>
                <c:pt idx="8">
                  <c:v>632291.18000000005</c:v>
                </c:pt>
                <c:pt idx="9">
                  <c:v>591396.26</c:v>
                </c:pt>
                <c:pt idx="10">
                  <c:v>652539.96333333338</c:v>
                </c:pt>
                <c:pt idx="11">
                  <c:v>703414.4175757576</c:v>
                </c:pt>
                <c:pt idx="12">
                  <c:v>754288.87181818183</c:v>
                </c:pt>
                <c:pt idx="13">
                  <c:v>805163.32606060617</c:v>
                </c:pt>
                <c:pt idx="14">
                  <c:v>856037.78030303039</c:v>
                </c:pt>
                <c:pt idx="15">
                  <c:v>906912.23454545462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582592"/>
        <c:axId val="280739584"/>
      </c:barChart>
      <c:dateAx>
        <c:axId val="283582592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739584"/>
        <c:crosses val="autoZero"/>
        <c:auto val="1"/>
        <c:lblOffset val="100"/>
        <c:baseTimeUnit val="years"/>
      </c:dateAx>
      <c:valAx>
        <c:axId val="2807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5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</a:t>
            </a:r>
            <a:r>
              <a:rPr lang="en-IN" baseline="0"/>
              <a:t> Forecasting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Forecasting!$H$4:$H$19</c:f>
              <c:numCache>
                <c:formatCode>yyyy"A"</c:formatCode>
                <c:ptCount val="16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  <c:pt idx="8">
                  <c:v>45016</c:v>
                </c:pt>
                <c:pt idx="9">
                  <c:v>45382</c:v>
                </c:pt>
                <c:pt idx="10" formatCode="yyyy&quot;E&quot;">
                  <c:v>45747</c:v>
                </c:pt>
                <c:pt idx="11" formatCode="yyyy&quot;E&quot;">
                  <c:v>46112</c:v>
                </c:pt>
                <c:pt idx="12" formatCode="yyyy&quot;E&quot;">
                  <c:v>46477</c:v>
                </c:pt>
                <c:pt idx="13" formatCode="yyyy&quot;E&quot;">
                  <c:v>46843</c:v>
                </c:pt>
                <c:pt idx="14" formatCode="yyyy&quot;E&quot;">
                  <c:v>47208</c:v>
                </c:pt>
                <c:pt idx="15" formatCode="yyyy&quot;E&quot;">
                  <c:v>47573</c:v>
                </c:pt>
              </c:numCache>
            </c:numRef>
          </c:cat>
          <c:val>
            <c:numRef>
              <c:f>Forecasting!$I$4:$I$19</c:f>
              <c:numCache>
                <c:formatCode>#,##0.0</c:formatCode>
                <c:ptCount val="16"/>
                <c:pt idx="0">
                  <c:v>42312.320000000022</c:v>
                </c:pt>
                <c:pt idx="1">
                  <c:v>39134.630000000012</c:v>
                </c:pt>
                <c:pt idx="2">
                  <c:v>52803.669999999984</c:v>
                </c:pt>
                <c:pt idx="3">
                  <c:v>56889.06</c:v>
                </c:pt>
                <c:pt idx="4">
                  <c:v>74818.989999999991</c:v>
                </c:pt>
                <c:pt idx="5">
                  <c:v>52104.979999999967</c:v>
                </c:pt>
                <c:pt idx="6">
                  <c:v>49473.439999999988</c:v>
                </c:pt>
                <c:pt idx="7">
                  <c:v>79873.589999999967</c:v>
                </c:pt>
                <c:pt idx="8">
                  <c:v>75526.990000000107</c:v>
                </c:pt>
                <c:pt idx="9">
                  <c:v>102835.44000000003</c:v>
                </c:pt>
                <c:pt idx="10">
                  <c:v>92238.755333333364</c:v>
                </c:pt>
                <c:pt idx="11">
                  <c:v>97631.745212121241</c:v>
                </c:pt>
                <c:pt idx="12">
                  <c:v>103024.73509090912</c:v>
                </c:pt>
                <c:pt idx="13">
                  <c:v>108417.724969697</c:v>
                </c:pt>
                <c:pt idx="14">
                  <c:v>113810.71484848489</c:v>
                </c:pt>
                <c:pt idx="15">
                  <c:v>119203.70472727277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326616"/>
        <c:axId val="284555288"/>
      </c:barChart>
      <c:dateAx>
        <c:axId val="285326616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555288"/>
        <c:crosses val="autoZero"/>
        <c:auto val="1"/>
        <c:lblOffset val="100"/>
        <c:baseTimeUnit val="years"/>
      </c:dateAx>
      <c:valAx>
        <c:axId val="28455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26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EPS Forecasting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Forecasting!$M$4:$M$19</c:f>
              <c:numCache>
                <c:formatCode>yyyy"A"</c:formatCode>
                <c:ptCount val="16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  <c:pt idx="8">
                  <c:v>45016</c:v>
                </c:pt>
                <c:pt idx="9">
                  <c:v>45382</c:v>
                </c:pt>
                <c:pt idx="10" formatCode="yyyy&quot;E&quot;">
                  <c:v>45747</c:v>
                </c:pt>
                <c:pt idx="11" formatCode="yyyy&quot;E&quot;">
                  <c:v>46112</c:v>
                </c:pt>
                <c:pt idx="12" formatCode="yyyy&quot;E&quot;">
                  <c:v>46477</c:v>
                </c:pt>
                <c:pt idx="13" formatCode="yyyy&quot;E&quot;">
                  <c:v>46843</c:v>
                </c:pt>
                <c:pt idx="14" formatCode="yyyy&quot;E&quot;">
                  <c:v>47208</c:v>
                </c:pt>
                <c:pt idx="15" formatCode="yyyy&quot;E&quot;">
                  <c:v>47573</c:v>
                </c:pt>
              </c:numCache>
            </c:numRef>
          </c:cat>
          <c:val>
            <c:numRef>
              <c:f>Forecasting!$N$4:$N$19</c:f>
              <c:numCache>
                <c:formatCode>#,##0.0</c:formatCode>
                <c:ptCount val="16"/>
                <c:pt idx="0">
                  <c:v>9.1311520119689717</c:v>
                </c:pt>
                <c:pt idx="1">
                  <c:v>9.3774662593897169</c:v>
                </c:pt>
                <c:pt idx="2">
                  <c:v>12.814372097372425</c:v>
                </c:pt>
                <c:pt idx="3">
                  <c:v>12.186040893931363</c:v>
                </c:pt>
                <c:pt idx="4">
                  <c:v>19.372280470259046</c:v>
                </c:pt>
                <c:pt idx="5">
                  <c:v>8.3261686923205076</c:v>
                </c:pt>
                <c:pt idx="6">
                  <c:v>8.0202697868890152</c:v>
                </c:pt>
                <c:pt idx="7">
                  <c:v>33.780871680325568</c:v>
                </c:pt>
                <c:pt idx="8">
                  <c:v>26.078408305048455</c:v>
                </c:pt>
                <c:pt idx="9">
                  <c:v>35.070141411572088</c:v>
                </c:pt>
                <c:pt idx="10">
                  <c:v>31.803936218632355</c:v>
                </c:pt>
                <c:pt idx="11">
                  <c:v>34.419976047309561</c:v>
                </c:pt>
                <c:pt idx="12">
                  <c:v>37.036015875986777</c:v>
                </c:pt>
                <c:pt idx="13">
                  <c:v>39.652055704663979</c:v>
                </c:pt>
                <c:pt idx="14">
                  <c:v>42.268095533341182</c:v>
                </c:pt>
                <c:pt idx="15">
                  <c:v>44.884135362018398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558496"/>
        <c:axId val="284558880"/>
      </c:barChart>
      <c:dateAx>
        <c:axId val="284558496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558880"/>
        <c:crosses val="autoZero"/>
        <c:auto val="1"/>
        <c:lblOffset val="100"/>
        <c:baseTimeUnit val="years"/>
      </c:dateAx>
      <c:valAx>
        <c:axId val="2845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5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Football</a:t>
            </a:r>
            <a:r>
              <a:rPr lang="en-IN" b="1" baseline="0">
                <a:solidFill>
                  <a:srgbClr val="FF0000"/>
                </a:solidFill>
              </a:rPr>
              <a:t> Field Analysis - Summary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385833333333333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Analysis'!$B$6:$B$10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Analysis'!$C$6:$C$10</c:f>
              <c:numCache>
                <c:formatCode>#,##0.00</c:formatCode>
                <c:ptCount val="5"/>
                <c:pt idx="0">
                  <c:v>274.01874811636452</c:v>
                </c:pt>
                <c:pt idx="1">
                  <c:v>158.89582694081702</c:v>
                </c:pt>
                <c:pt idx="2">
                  <c:v>230.35187314393002</c:v>
                </c:pt>
                <c:pt idx="3">
                  <c:v>277.93384039596515</c:v>
                </c:pt>
                <c:pt idx="4">
                  <c:v>205</c:v>
                </c:pt>
              </c:numCache>
            </c:numRef>
          </c:val>
          <c:smooth val="0"/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759033245844269E-2"/>
                  <c:y val="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Analysis'!$B$6:$B$10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Analysis'!$D$6:$D$10</c:f>
              <c:numCache>
                <c:formatCode>#,##0.00</c:formatCode>
                <c:ptCount val="5"/>
                <c:pt idx="0">
                  <c:v>274.01874811636452</c:v>
                </c:pt>
                <c:pt idx="1">
                  <c:v>158.89582694081702</c:v>
                </c:pt>
                <c:pt idx="2">
                  <c:v>230.35187314393002</c:v>
                </c:pt>
                <c:pt idx="3">
                  <c:v>277.93384039596515</c:v>
                </c:pt>
                <c:pt idx="4">
                  <c:v>205</c:v>
                </c:pt>
              </c:numCache>
            </c:numRef>
          </c:val>
          <c:smooth val="0"/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Analysis'!$B$6:$B$10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Analysis'!$E$6:$E$10</c:f>
              <c:numCache>
                <c:formatCode>#,##0.00</c:formatCode>
                <c:ptCount val="5"/>
                <c:pt idx="0">
                  <c:v>1683.2930352916278</c:v>
                </c:pt>
                <c:pt idx="1">
                  <c:v>217.3519942625415</c:v>
                </c:pt>
                <c:pt idx="2">
                  <c:v>373.27306021626333</c:v>
                </c:pt>
                <c:pt idx="3">
                  <c:v>513.52990869261248</c:v>
                </c:pt>
                <c:pt idx="4">
                  <c:v>345</c:v>
                </c:pt>
              </c:numCache>
            </c:numRef>
          </c:val>
          <c:smooth val="0"/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0368110236220471E-2"/>
                  <c:y val="-3.0057961504811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Analysis'!$B$6:$B$10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Analysis'!$F$6:$F$10</c:f>
              <c:numCache>
                <c:formatCode>#,##0.00</c:formatCode>
                <c:ptCount val="5"/>
                <c:pt idx="0">
                  <c:v>1683.2930352916278</c:v>
                </c:pt>
                <c:pt idx="1">
                  <c:v>217.3519942625415</c:v>
                </c:pt>
                <c:pt idx="2">
                  <c:v>373.27306021626333</c:v>
                </c:pt>
                <c:pt idx="3">
                  <c:v>513.52990869261248</c:v>
                </c:pt>
                <c:pt idx="4">
                  <c:v>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84035632"/>
        <c:axId val="284036416"/>
      </c:stockChart>
      <c:catAx>
        <c:axId val="28403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36416"/>
        <c:crosses val="autoZero"/>
        <c:auto val="1"/>
        <c:lblAlgn val="ctr"/>
        <c:lblOffset val="100"/>
        <c:noMultiLvlLbl val="0"/>
      </c:catAx>
      <c:valAx>
        <c:axId val="28403641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356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Dialy</a:t>
            </a:r>
            <a:r>
              <a:rPr lang="en-IN" baseline="0"/>
              <a:t> Returns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Simulation'!$G$4:$G$10003</c:f>
              <c:numCache>
                <c:formatCode>General</c:formatCode>
                <c:ptCount val="10000"/>
                <c:pt idx="0">
                  <c:v>-2.9919121748114813E-2</c:v>
                </c:pt>
                <c:pt idx="1">
                  <c:v>-1.8944560430559063E-2</c:v>
                </c:pt>
                <c:pt idx="2">
                  <c:v>-3.2091247560447037E-3</c:v>
                </c:pt>
                <c:pt idx="3">
                  <c:v>-1.728131858493118E-2</c:v>
                </c:pt>
                <c:pt idx="4">
                  <c:v>-1.520402877440517E-2</c:v>
                </c:pt>
                <c:pt idx="5">
                  <c:v>-4.3901926054267799E-2</c:v>
                </c:pt>
                <c:pt idx="6">
                  <c:v>1.2577015712066011E-2</c:v>
                </c:pt>
                <c:pt idx="7">
                  <c:v>8.2705310632238613E-3</c:v>
                </c:pt>
                <c:pt idx="8">
                  <c:v>3.2275652051122847E-3</c:v>
                </c:pt>
                <c:pt idx="9">
                  <c:v>3.1488929829929235E-2</c:v>
                </c:pt>
                <c:pt idx="10">
                  <c:v>1.5533546243712937E-2</c:v>
                </c:pt>
                <c:pt idx="11">
                  <c:v>5.8673772273393029E-2</c:v>
                </c:pt>
                <c:pt idx="12">
                  <c:v>-1.7362650457169657E-2</c:v>
                </c:pt>
                <c:pt idx="13">
                  <c:v>-1.3515716964164233E-2</c:v>
                </c:pt>
                <c:pt idx="14">
                  <c:v>-2.0985872009435733E-2</c:v>
                </c:pt>
                <c:pt idx="15">
                  <c:v>2.8485681697704929E-3</c:v>
                </c:pt>
                <c:pt idx="16">
                  <c:v>-1.4458782240908208E-2</c:v>
                </c:pt>
                <c:pt idx="17">
                  <c:v>1.9924931247365173E-2</c:v>
                </c:pt>
                <c:pt idx="18">
                  <c:v>-1.1650490633204492E-2</c:v>
                </c:pt>
                <c:pt idx="19">
                  <c:v>-3.3158305385055438E-2</c:v>
                </c:pt>
                <c:pt idx="20">
                  <c:v>-1.9118864547986301E-2</c:v>
                </c:pt>
                <c:pt idx="21">
                  <c:v>5.4567866587995485E-2</c:v>
                </c:pt>
                <c:pt idx="22">
                  <c:v>-1.7692922760767886E-3</c:v>
                </c:pt>
                <c:pt idx="23">
                  <c:v>-2.467900802589933E-2</c:v>
                </c:pt>
                <c:pt idx="24">
                  <c:v>-1.0758197038849048E-2</c:v>
                </c:pt>
                <c:pt idx="25">
                  <c:v>2.1312951484294088E-2</c:v>
                </c:pt>
                <c:pt idx="26">
                  <c:v>-1.3730038349266142E-3</c:v>
                </c:pt>
                <c:pt idx="27">
                  <c:v>7.5367579192300721E-3</c:v>
                </c:pt>
                <c:pt idx="28">
                  <c:v>-3.7661931513493015E-2</c:v>
                </c:pt>
                <c:pt idx="29">
                  <c:v>1.5068510269980248E-2</c:v>
                </c:pt>
                <c:pt idx="30">
                  <c:v>5.063066142911371E-2</c:v>
                </c:pt>
                <c:pt idx="31">
                  <c:v>1.9199263244356404E-2</c:v>
                </c:pt>
                <c:pt idx="32">
                  <c:v>1.678106001288893E-2</c:v>
                </c:pt>
                <c:pt idx="33">
                  <c:v>-1.8607215265777789E-2</c:v>
                </c:pt>
                <c:pt idx="34">
                  <c:v>-1.5667262941138998E-2</c:v>
                </c:pt>
                <c:pt idx="35">
                  <c:v>1.6224576780363563E-3</c:v>
                </c:pt>
                <c:pt idx="36">
                  <c:v>1.1854499771065159E-2</c:v>
                </c:pt>
                <c:pt idx="37">
                  <c:v>-4.1432653791606154E-4</c:v>
                </c:pt>
                <c:pt idx="38">
                  <c:v>3.6353939736353966E-2</c:v>
                </c:pt>
                <c:pt idx="39">
                  <c:v>-3.704241312153006E-2</c:v>
                </c:pt>
                <c:pt idx="40">
                  <c:v>6.2927944529276886E-4</c:v>
                </c:pt>
                <c:pt idx="41">
                  <c:v>-2.3490147651774981E-3</c:v>
                </c:pt>
                <c:pt idx="42">
                  <c:v>-9.585133032543481E-3</c:v>
                </c:pt>
                <c:pt idx="43">
                  <c:v>6.8720449176690093E-3</c:v>
                </c:pt>
                <c:pt idx="44">
                  <c:v>-1.9631770047867425E-2</c:v>
                </c:pt>
                <c:pt idx="45">
                  <c:v>-1.6813226950272042E-2</c:v>
                </c:pt>
                <c:pt idx="46">
                  <c:v>-8.5827030089184464E-3</c:v>
                </c:pt>
                <c:pt idx="47">
                  <c:v>-1.882743151777513E-2</c:v>
                </c:pt>
                <c:pt idx="48">
                  <c:v>4.107614254777959E-3</c:v>
                </c:pt>
                <c:pt idx="49">
                  <c:v>-2.6249136257543743E-2</c:v>
                </c:pt>
                <c:pt idx="50">
                  <c:v>1.4995797069558496E-2</c:v>
                </c:pt>
                <c:pt idx="51">
                  <c:v>-7.9663694953583438E-3</c:v>
                </c:pt>
                <c:pt idx="52">
                  <c:v>-2.3328266432309151E-2</c:v>
                </c:pt>
                <c:pt idx="53">
                  <c:v>3.8513288125588817E-2</c:v>
                </c:pt>
                <c:pt idx="54">
                  <c:v>3.0628273608827025E-2</c:v>
                </c:pt>
                <c:pt idx="55">
                  <c:v>1.428371492388625E-2</c:v>
                </c:pt>
                <c:pt idx="56">
                  <c:v>1.9201811296542255E-2</c:v>
                </c:pt>
                <c:pt idx="57">
                  <c:v>2.2898952512944524E-2</c:v>
                </c:pt>
                <c:pt idx="58">
                  <c:v>-8.8867491720197259E-3</c:v>
                </c:pt>
                <c:pt idx="59">
                  <c:v>-3.2743084639937414E-2</c:v>
                </c:pt>
                <c:pt idx="60">
                  <c:v>7.2055799988337971E-3</c:v>
                </c:pt>
                <c:pt idx="61">
                  <c:v>-2.9079811564667452E-2</c:v>
                </c:pt>
                <c:pt idx="62">
                  <c:v>-3.9054952743868463E-3</c:v>
                </c:pt>
                <c:pt idx="63">
                  <c:v>-8.2794678233868747E-3</c:v>
                </c:pt>
                <c:pt idx="64">
                  <c:v>-2.9893009090885617E-2</c:v>
                </c:pt>
                <c:pt idx="65">
                  <c:v>4.091271801832707E-2</c:v>
                </c:pt>
                <c:pt idx="66">
                  <c:v>-8.0060762252995212E-3</c:v>
                </c:pt>
                <c:pt idx="67">
                  <c:v>-4.5384326086944829E-2</c:v>
                </c:pt>
                <c:pt idx="68">
                  <c:v>2.6202222645465817E-2</c:v>
                </c:pt>
                <c:pt idx="69">
                  <c:v>-5.0420141765158827E-3</c:v>
                </c:pt>
                <c:pt idx="70">
                  <c:v>-7.5898774655347358E-3</c:v>
                </c:pt>
                <c:pt idx="71">
                  <c:v>1.1480235739925507E-3</c:v>
                </c:pt>
                <c:pt idx="72">
                  <c:v>-2.0627319294193335E-3</c:v>
                </c:pt>
                <c:pt idx="73">
                  <c:v>-2.7309889649662802E-3</c:v>
                </c:pt>
                <c:pt idx="74">
                  <c:v>-2.4562554068121356E-2</c:v>
                </c:pt>
                <c:pt idx="75">
                  <c:v>5.7601688310180404E-3</c:v>
                </c:pt>
                <c:pt idx="76">
                  <c:v>-2.6452908098783749E-2</c:v>
                </c:pt>
                <c:pt idx="77">
                  <c:v>-6.201802254089386E-3</c:v>
                </c:pt>
                <c:pt idx="78">
                  <c:v>-2.0782447436771444E-2</c:v>
                </c:pt>
                <c:pt idx="79">
                  <c:v>-1.1907468990015813E-2</c:v>
                </c:pt>
                <c:pt idx="80">
                  <c:v>1.9863533546390279E-2</c:v>
                </c:pt>
                <c:pt idx="81">
                  <c:v>3.2692213800871155E-3</c:v>
                </c:pt>
                <c:pt idx="82">
                  <c:v>8.1922673214080855E-3</c:v>
                </c:pt>
                <c:pt idx="83">
                  <c:v>-6.4001553983487114E-2</c:v>
                </c:pt>
                <c:pt idx="84">
                  <c:v>-7.1285024081852461E-3</c:v>
                </c:pt>
                <c:pt idx="85">
                  <c:v>-2.487024852943464E-2</c:v>
                </c:pt>
                <c:pt idx="86">
                  <c:v>9.8843476963105074E-3</c:v>
                </c:pt>
                <c:pt idx="87">
                  <c:v>-4.6737999293203457E-3</c:v>
                </c:pt>
                <c:pt idx="88">
                  <c:v>1.368699418947235E-2</c:v>
                </c:pt>
                <c:pt idx="89">
                  <c:v>-3.1157434398002903E-2</c:v>
                </c:pt>
                <c:pt idx="90">
                  <c:v>-3.6371865515482167E-2</c:v>
                </c:pt>
                <c:pt idx="91">
                  <c:v>2.5300106430623023E-3</c:v>
                </c:pt>
                <c:pt idx="92">
                  <c:v>4.9557404749862935E-3</c:v>
                </c:pt>
                <c:pt idx="93">
                  <c:v>-5.5154719515529589E-3</c:v>
                </c:pt>
                <c:pt idx="94">
                  <c:v>8.3070793847613983E-3</c:v>
                </c:pt>
                <c:pt idx="95">
                  <c:v>2.0769460219706784E-2</c:v>
                </c:pt>
                <c:pt idx="96">
                  <c:v>-3.7393682875221184E-3</c:v>
                </c:pt>
                <c:pt idx="97">
                  <c:v>2.9694498894752328E-2</c:v>
                </c:pt>
                <c:pt idx="98">
                  <c:v>-5.9820699095691002E-3</c:v>
                </c:pt>
                <c:pt idx="99">
                  <c:v>2.2327821048291598E-2</c:v>
                </c:pt>
                <c:pt idx="100">
                  <c:v>2.7960560642873184E-3</c:v>
                </c:pt>
                <c:pt idx="101">
                  <c:v>-2.7013296353912135E-2</c:v>
                </c:pt>
                <c:pt idx="102">
                  <c:v>4.3669365365170548E-2</c:v>
                </c:pt>
                <c:pt idx="103">
                  <c:v>-2.67272308063639E-2</c:v>
                </c:pt>
                <c:pt idx="104">
                  <c:v>-3.4500860095152755E-2</c:v>
                </c:pt>
                <c:pt idx="105">
                  <c:v>-1.5143386907958412E-2</c:v>
                </c:pt>
                <c:pt idx="106">
                  <c:v>-4.8099972840182567E-2</c:v>
                </c:pt>
                <c:pt idx="107">
                  <c:v>1.0829424745575371E-2</c:v>
                </c:pt>
                <c:pt idx="108">
                  <c:v>2.6739439088233848E-2</c:v>
                </c:pt>
                <c:pt idx="109">
                  <c:v>-1.0162129258609589E-2</c:v>
                </c:pt>
                <c:pt idx="110">
                  <c:v>-8.851770052272008E-3</c:v>
                </c:pt>
                <c:pt idx="111">
                  <c:v>-1.9722381021635444E-2</c:v>
                </c:pt>
                <c:pt idx="112">
                  <c:v>4.6710105651271419E-3</c:v>
                </c:pt>
                <c:pt idx="113">
                  <c:v>4.5113920613584518E-2</c:v>
                </c:pt>
                <c:pt idx="114">
                  <c:v>-3.0485188327538732E-2</c:v>
                </c:pt>
                <c:pt idx="115">
                  <c:v>-4.8306138713994657E-3</c:v>
                </c:pt>
                <c:pt idx="116">
                  <c:v>9.1785375706669161E-5</c:v>
                </c:pt>
                <c:pt idx="117">
                  <c:v>2.2191716547767991E-2</c:v>
                </c:pt>
                <c:pt idx="118">
                  <c:v>2.1000603815543611E-2</c:v>
                </c:pt>
                <c:pt idx="119">
                  <c:v>-2.3149343077592269E-2</c:v>
                </c:pt>
                <c:pt idx="120">
                  <c:v>1.5119964753642766E-2</c:v>
                </c:pt>
                <c:pt idx="121">
                  <c:v>3.7504455554297468E-2</c:v>
                </c:pt>
                <c:pt idx="122">
                  <c:v>-6.8253320416674611E-3</c:v>
                </c:pt>
                <c:pt idx="123">
                  <c:v>-6.3360479527796148E-3</c:v>
                </c:pt>
                <c:pt idx="124">
                  <c:v>1.0129467672464129E-2</c:v>
                </c:pt>
                <c:pt idx="125">
                  <c:v>-1.3304151599336853E-2</c:v>
                </c:pt>
                <c:pt idx="126">
                  <c:v>-2.0118034192084033E-2</c:v>
                </c:pt>
                <c:pt idx="127">
                  <c:v>2.7987200946186282E-2</c:v>
                </c:pt>
                <c:pt idx="128">
                  <c:v>-6.3864402729281854E-3</c:v>
                </c:pt>
                <c:pt idx="129">
                  <c:v>2.1126243411125817E-2</c:v>
                </c:pt>
                <c:pt idx="130">
                  <c:v>-2.7431188043245548E-2</c:v>
                </c:pt>
                <c:pt idx="131">
                  <c:v>-1.1701152683631975E-2</c:v>
                </c:pt>
                <c:pt idx="132">
                  <c:v>1.0377520114750682E-2</c:v>
                </c:pt>
                <c:pt idx="133">
                  <c:v>-3.037976242368233E-2</c:v>
                </c:pt>
                <c:pt idx="134">
                  <c:v>-3.896726963360015E-2</c:v>
                </c:pt>
                <c:pt idx="135">
                  <c:v>-6.7275485087908513E-3</c:v>
                </c:pt>
                <c:pt idx="136">
                  <c:v>1.7753474899682979E-2</c:v>
                </c:pt>
                <c:pt idx="137">
                  <c:v>6.6259936645136613E-3</c:v>
                </c:pt>
                <c:pt idx="138">
                  <c:v>-3.1613484956464252E-2</c:v>
                </c:pt>
                <c:pt idx="139">
                  <c:v>-5.0798518842141246E-2</c:v>
                </c:pt>
                <c:pt idx="140">
                  <c:v>-5.0545741092164285E-3</c:v>
                </c:pt>
                <c:pt idx="141">
                  <c:v>-9.305007048348371E-3</c:v>
                </c:pt>
                <c:pt idx="142">
                  <c:v>-1.9713512994325551E-2</c:v>
                </c:pt>
                <c:pt idx="143">
                  <c:v>1.7223765396066761E-2</c:v>
                </c:pt>
                <c:pt idx="144">
                  <c:v>-2.3734105273137084E-2</c:v>
                </c:pt>
                <c:pt idx="145">
                  <c:v>-6.9647468452061091E-3</c:v>
                </c:pt>
                <c:pt idx="146">
                  <c:v>3.9701889813396639E-2</c:v>
                </c:pt>
                <c:pt idx="147">
                  <c:v>3.1247047697143652E-2</c:v>
                </c:pt>
                <c:pt idx="148">
                  <c:v>-4.404708937055743E-2</c:v>
                </c:pt>
                <c:pt idx="149">
                  <c:v>5.4502571708660394E-2</c:v>
                </c:pt>
                <c:pt idx="150">
                  <c:v>-2.5798168764451804E-2</c:v>
                </c:pt>
                <c:pt idx="151">
                  <c:v>-1.0167234740465828E-2</c:v>
                </c:pt>
                <c:pt idx="152">
                  <c:v>-4.6818311090137135E-2</c:v>
                </c:pt>
                <c:pt idx="153">
                  <c:v>-2.9190716016371524E-2</c:v>
                </c:pt>
                <c:pt idx="154">
                  <c:v>1.0886991850081972E-2</c:v>
                </c:pt>
                <c:pt idx="155">
                  <c:v>5.7224221882129056E-2</c:v>
                </c:pt>
                <c:pt idx="156">
                  <c:v>-2.3567063823529393E-2</c:v>
                </c:pt>
                <c:pt idx="157">
                  <c:v>-4.6089940677279832E-2</c:v>
                </c:pt>
                <c:pt idx="158">
                  <c:v>3.6072042357166469E-2</c:v>
                </c:pt>
                <c:pt idx="159">
                  <c:v>1.0462822686975355E-3</c:v>
                </c:pt>
                <c:pt idx="160">
                  <c:v>1.4846443059818097E-2</c:v>
                </c:pt>
                <c:pt idx="161">
                  <c:v>-6.7938729939462303E-3</c:v>
                </c:pt>
                <c:pt idx="162">
                  <c:v>-4.6290476604928493E-2</c:v>
                </c:pt>
                <c:pt idx="163">
                  <c:v>-1.5130063239300485E-2</c:v>
                </c:pt>
                <c:pt idx="164">
                  <c:v>-5.1827826701327982E-2</c:v>
                </c:pt>
                <c:pt idx="165">
                  <c:v>-8.5038556759507982E-3</c:v>
                </c:pt>
                <c:pt idx="166">
                  <c:v>-1.5179755572970847E-2</c:v>
                </c:pt>
                <c:pt idx="167">
                  <c:v>1.4460825706432883E-2</c:v>
                </c:pt>
                <c:pt idx="168">
                  <c:v>4.5754162334596168E-3</c:v>
                </c:pt>
                <c:pt idx="169">
                  <c:v>-4.6512213333737257E-2</c:v>
                </c:pt>
                <c:pt idx="170">
                  <c:v>-3.8329667080268887E-2</c:v>
                </c:pt>
                <c:pt idx="171">
                  <c:v>1.5162509448879745E-2</c:v>
                </c:pt>
                <c:pt idx="172">
                  <c:v>-1.1094729007636388E-3</c:v>
                </c:pt>
                <c:pt idx="173">
                  <c:v>4.8883762154133252E-2</c:v>
                </c:pt>
                <c:pt idx="174">
                  <c:v>-2.3549941245069254E-2</c:v>
                </c:pt>
                <c:pt idx="175">
                  <c:v>-1.5795253624857189E-2</c:v>
                </c:pt>
                <c:pt idx="176">
                  <c:v>-3.2143166289164628E-3</c:v>
                </c:pt>
                <c:pt idx="177">
                  <c:v>1.1289574709692149E-3</c:v>
                </c:pt>
                <c:pt idx="178">
                  <c:v>8.6515720146054017E-3</c:v>
                </c:pt>
                <c:pt idx="179">
                  <c:v>1.1981477193531286E-2</c:v>
                </c:pt>
                <c:pt idx="180">
                  <c:v>-6.4657304354928946E-2</c:v>
                </c:pt>
                <c:pt idx="181">
                  <c:v>-2.2496043120411431E-2</c:v>
                </c:pt>
                <c:pt idx="182">
                  <c:v>-1.4951729892384229E-2</c:v>
                </c:pt>
                <c:pt idx="183">
                  <c:v>1.5583056499284249E-2</c:v>
                </c:pt>
                <c:pt idx="184">
                  <c:v>8.9360744943608947E-3</c:v>
                </c:pt>
                <c:pt idx="185">
                  <c:v>-7.3166423524196663E-3</c:v>
                </c:pt>
                <c:pt idx="186">
                  <c:v>-1.0671571578440632E-2</c:v>
                </c:pt>
                <c:pt idx="187">
                  <c:v>-2.5349269793669169E-2</c:v>
                </c:pt>
                <c:pt idx="188">
                  <c:v>1.9000003188441434E-2</c:v>
                </c:pt>
                <c:pt idx="189">
                  <c:v>5.5734117324250619E-3</c:v>
                </c:pt>
                <c:pt idx="190">
                  <c:v>2.6102469015455761E-2</c:v>
                </c:pt>
                <c:pt idx="191">
                  <c:v>5.0961818060764108E-2</c:v>
                </c:pt>
                <c:pt idx="192">
                  <c:v>-3.3553508508942828E-2</c:v>
                </c:pt>
                <c:pt idx="193">
                  <c:v>1.5549132485695248E-2</c:v>
                </c:pt>
                <c:pt idx="194">
                  <c:v>-9.5723473139635428E-3</c:v>
                </c:pt>
                <c:pt idx="195">
                  <c:v>-4.3864928122776571E-3</c:v>
                </c:pt>
                <c:pt idx="196">
                  <c:v>-1.5699163388050334E-2</c:v>
                </c:pt>
                <c:pt idx="197">
                  <c:v>-6.0223675743185674E-3</c:v>
                </c:pt>
                <c:pt idx="198">
                  <c:v>-1.241366457557971E-2</c:v>
                </c:pt>
                <c:pt idx="199">
                  <c:v>1.9552877398912431E-2</c:v>
                </c:pt>
                <c:pt idx="200">
                  <c:v>6.5369317102479993E-2</c:v>
                </c:pt>
                <c:pt idx="201">
                  <c:v>-3.4958875873230794E-2</c:v>
                </c:pt>
                <c:pt idx="202">
                  <c:v>-3.1391309214274847E-2</c:v>
                </c:pt>
                <c:pt idx="203">
                  <c:v>-1.5232074823464378E-2</c:v>
                </c:pt>
                <c:pt idx="204">
                  <c:v>3.0022636515751541E-2</c:v>
                </c:pt>
                <c:pt idx="205">
                  <c:v>2.7303789452936742E-2</c:v>
                </c:pt>
                <c:pt idx="206">
                  <c:v>-2.1507386523149232E-2</c:v>
                </c:pt>
                <c:pt idx="207">
                  <c:v>1.281965041537347E-2</c:v>
                </c:pt>
                <c:pt idx="208">
                  <c:v>2.0389961907794685E-2</c:v>
                </c:pt>
                <c:pt idx="209">
                  <c:v>-3.6830359924489027E-2</c:v>
                </c:pt>
                <c:pt idx="210">
                  <c:v>3.008333737417725E-2</c:v>
                </c:pt>
                <c:pt idx="211">
                  <c:v>2.481045043588018E-3</c:v>
                </c:pt>
                <c:pt idx="212">
                  <c:v>4.5117336157305538E-2</c:v>
                </c:pt>
                <c:pt idx="213">
                  <c:v>-3.4783598418044973E-2</c:v>
                </c:pt>
                <c:pt idx="214">
                  <c:v>1.1566249623494236E-2</c:v>
                </c:pt>
                <c:pt idx="215">
                  <c:v>3.2749971300725843E-2</c:v>
                </c:pt>
                <c:pt idx="216">
                  <c:v>4.6319131399748135E-3</c:v>
                </c:pt>
                <c:pt idx="217">
                  <c:v>-9.2360526195178292E-3</c:v>
                </c:pt>
                <c:pt idx="218">
                  <c:v>2.1225895080275998E-4</c:v>
                </c:pt>
                <c:pt idx="219">
                  <c:v>-1.590437503426571E-2</c:v>
                </c:pt>
                <c:pt idx="220">
                  <c:v>-2.3886135346476826E-2</c:v>
                </c:pt>
                <c:pt idx="221">
                  <c:v>1.0423130653351428E-2</c:v>
                </c:pt>
                <c:pt idx="222">
                  <c:v>1.1511271084994569E-2</c:v>
                </c:pt>
                <c:pt idx="223">
                  <c:v>-9.4133215868860386E-3</c:v>
                </c:pt>
                <c:pt idx="224">
                  <c:v>-5.2468328025454328E-3</c:v>
                </c:pt>
                <c:pt idx="225">
                  <c:v>-2.9668090875425396E-2</c:v>
                </c:pt>
                <c:pt idx="226">
                  <c:v>-6.4812294387815404E-3</c:v>
                </c:pt>
                <c:pt idx="227">
                  <c:v>-1.4598522353812636E-2</c:v>
                </c:pt>
                <c:pt idx="228">
                  <c:v>1.5956560728551554E-2</c:v>
                </c:pt>
                <c:pt idx="229">
                  <c:v>1.2916614832728412E-2</c:v>
                </c:pt>
                <c:pt idx="230">
                  <c:v>-6.4474594326310135E-3</c:v>
                </c:pt>
                <c:pt idx="231">
                  <c:v>-4.9208493918106125E-2</c:v>
                </c:pt>
                <c:pt idx="232">
                  <c:v>-2.5570703625052447E-2</c:v>
                </c:pt>
                <c:pt idx="233">
                  <c:v>-2.085239255104258E-2</c:v>
                </c:pt>
                <c:pt idx="234">
                  <c:v>-1.5013049357170783E-2</c:v>
                </c:pt>
                <c:pt idx="235">
                  <c:v>-4.8508112667622109E-2</c:v>
                </c:pt>
                <c:pt idx="236">
                  <c:v>-1.6505590444144666E-2</c:v>
                </c:pt>
                <c:pt idx="237">
                  <c:v>7.1039050701616775E-3</c:v>
                </c:pt>
                <c:pt idx="238">
                  <c:v>-2.8597193373813674E-2</c:v>
                </c:pt>
                <c:pt idx="239">
                  <c:v>-3.1443813985369141E-2</c:v>
                </c:pt>
                <c:pt idx="240">
                  <c:v>-1.1124760280830127E-3</c:v>
                </c:pt>
                <c:pt idx="241">
                  <c:v>-5.2302713759474571E-3</c:v>
                </c:pt>
                <c:pt idx="242">
                  <c:v>-1.3219314575260648E-2</c:v>
                </c:pt>
                <c:pt idx="243">
                  <c:v>1.8558871832574286E-3</c:v>
                </c:pt>
                <c:pt idx="244">
                  <c:v>-1.3133329510698521E-2</c:v>
                </c:pt>
                <c:pt idx="245">
                  <c:v>-6.3541617523222252E-2</c:v>
                </c:pt>
                <c:pt idx="246">
                  <c:v>1.180138591976875E-2</c:v>
                </c:pt>
                <c:pt idx="247">
                  <c:v>-4.8207427005558523E-2</c:v>
                </c:pt>
                <c:pt idx="248">
                  <c:v>5.958054869015043E-3</c:v>
                </c:pt>
                <c:pt idx="249">
                  <c:v>-1.3391697902549481E-2</c:v>
                </c:pt>
                <c:pt idx="250">
                  <c:v>1.9422219833828511E-2</c:v>
                </c:pt>
                <c:pt idx="251">
                  <c:v>-1.0473184973342183E-2</c:v>
                </c:pt>
                <c:pt idx="252">
                  <c:v>-9.4541907243119155E-3</c:v>
                </c:pt>
                <c:pt idx="253">
                  <c:v>1.5640228708392642E-2</c:v>
                </c:pt>
                <c:pt idx="254">
                  <c:v>-4.4715400332710577E-2</c:v>
                </c:pt>
                <c:pt idx="255">
                  <c:v>1.0461450737454367E-2</c:v>
                </c:pt>
                <c:pt idx="256">
                  <c:v>-9.0448387499062685E-3</c:v>
                </c:pt>
                <c:pt idx="257">
                  <c:v>3.0075284149069462E-2</c:v>
                </c:pt>
                <c:pt idx="258">
                  <c:v>1.0591489153179569E-2</c:v>
                </c:pt>
                <c:pt idx="259">
                  <c:v>5.8409828198571212E-3</c:v>
                </c:pt>
                <c:pt idx="260">
                  <c:v>5.4336990152814367E-2</c:v>
                </c:pt>
                <c:pt idx="261">
                  <c:v>1.8150745391473173E-2</c:v>
                </c:pt>
                <c:pt idx="262">
                  <c:v>5.4263791908079617E-4</c:v>
                </c:pt>
                <c:pt idx="263">
                  <c:v>-1.706566972201715E-2</c:v>
                </c:pt>
                <c:pt idx="264">
                  <c:v>3.8440152135631303E-2</c:v>
                </c:pt>
                <c:pt idx="265">
                  <c:v>-1.3933749869307708E-2</c:v>
                </c:pt>
                <c:pt idx="266">
                  <c:v>1.9408477317287426E-2</c:v>
                </c:pt>
                <c:pt idx="267">
                  <c:v>5.3640000962755112E-2</c:v>
                </c:pt>
                <c:pt idx="268">
                  <c:v>1.9881329017212037E-2</c:v>
                </c:pt>
                <c:pt idx="269">
                  <c:v>9.5733868523084562E-3</c:v>
                </c:pt>
                <c:pt idx="270">
                  <c:v>-4.5752347364319795E-2</c:v>
                </c:pt>
                <c:pt idx="271">
                  <c:v>3.2517747386788143E-2</c:v>
                </c:pt>
                <c:pt idx="272">
                  <c:v>-1.2814147853753274E-2</c:v>
                </c:pt>
                <c:pt idx="273">
                  <c:v>-4.9118342954044159E-2</c:v>
                </c:pt>
                <c:pt idx="274">
                  <c:v>1.6186295824543707E-2</c:v>
                </c:pt>
                <c:pt idx="275">
                  <c:v>-1.0065387859297148E-2</c:v>
                </c:pt>
                <c:pt idx="276">
                  <c:v>-1.8100319660875729E-2</c:v>
                </c:pt>
                <c:pt idx="277">
                  <c:v>1.1464655431165278E-2</c:v>
                </c:pt>
                <c:pt idx="278">
                  <c:v>-2.0012402160058024E-2</c:v>
                </c:pt>
                <c:pt idx="279">
                  <c:v>2.5507370889556229E-2</c:v>
                </c:pt>
                <c:pt idx="280">
                  <c:v>-1.6892055382918547E-2</c:v>
                </c:pt>
                <c:pt idx="281">
                  <c:v>6.3559403295907743E-2</c:v>
                </c:pt>
                <c:pt idx="282">
                  <c:v>1.2793115450720219E-2</c:v>
                </c:pt>
                <c:pt idx="283">
                  <c:v>-2.0894597076887626E-2</c:v>
                </c:pt>
                <c:pt idx="284">
                  <c:v>1.4270055318073552E-2</c:v>
                </c:pt>
                <c:pt idx="285">
                  <c:v>1.3209830362044921E-2</c:v>
                </c:pt>
                <c:pt idx="286">
                  <c:v>2.1646001310326582E-2</c:v>
                </c:pt>
                <c:pt idx="287">
                  <c:v>4.4126013581836845E-3</c:v>
                </c:pt>
                <c:pt idx="288">
                  <c:v>-1.4407681873100969E-2</c:v>
                </c:pt>
                <c:pt idx="289">
                  <c:v>-2.4651848430766763E-2</c:v>
                </c:pt>
                <c:pt idx="290">
                  <c:v>3.3772373505557021E-2</c:v>
                </c:pt>
                <c:pt idx="291">
                  <c:v>-4.7627457080222743E-2</c:v>
                </c:pt>
                <c:pt idx="292">
                  <c:v>2.2492327270415315E-2</c:v>
                </c:pt>
                <c:pt idx="293">
                  <c:v>2.9982940657499273E-2</c:v>
                </c:pt>
                <c:pt idx="294">
                  <c:v>3.8665553049748737E-3</c:v>
                </c:pt>
                <c:pt idx="295">
                  <c:v>-4.5584228893487504E-2</c:v>
                </c:pt>
                <c:pt idx="296">
                  <c:v>-2.3719488301835755E-2</c:v>
                </c:pt>
                <c:pt idx="297">
                  <c:v>3.9161802187227472E-2</c:v>
                </c:pt>
                <c:pt idx="298">
                  <c:v>-6.2881039395408598E-4</c:v>
                </c:pt>
                <c:pt idx="299">
                  <c:v>-6.4070223268039941E-4</c:v>
                </c:pt>
                <c:pt idx="300">
                  <c:v>-3.132364840111506E-2</c:v>
                </c:pt>
                <c:pt idx="301">
                  <c:v>3.1027254118003358E-3</c:v>
                </c:pt>
                <c:pt idx="302">
                  <c:v>-4.1533286757465676E-3</c:v>
                </c:pt>
                <c:pt idx="303">
                  <c:v>-9.0909178459435878E-4</c:v>
                </c:pt>
                <c:pt idx="304">
                  <c:v>1.7450841668207321E-2</c:v>
                </c:pt>
                <c:pt idx="305">
                  <c:v>-8.9503806160303959E-3</c:v>
                </c:pt>
                <c:pt idx="306">
                  <c:v>1.2874177344581603E-2</c:v>
                </c:pt>
                <c:pt idx="307">
                  <c:v>-6.225632573877999E-3</c:v>
                </c:pt>
                <c:pt idx="308">
                  <c:v>-5.0570581706275021E-2</c:v>
                </c:pt>
                <c:pt idx="309">
                  <c:v>1.7995244784661458E-2</c:v>
                </c:pt>
                <c:pt idx="310">
                  <c:v>7.0630106366017884E-3</c:v>
                </c:pt>
                <c:pt idx="311">
                  <c:v>-3.4084096458022267E-2</c:v>
                </c:pt>
                <c:pt idx="312">
                  <c:v>3.1421722373989359E-2</c:v>
                </c:pt>
                <c:pt idx="313">
                  <c:v>1.5934340531961973E-2</c:v>
                </c:pt>
                <c:pt idx="314">
                  <c:v>-1.7322493170960511E-2</c:v>
                </c:pt>
                <c:pt idx="315">
                  <c:v>9.6978537552593249E-3</c:v>
                </c:pt>
                <c:pt idx="316">
                  <c:v>1.0412570781661652E-2</c:v>
                </c:pt>
                <c:pt idx="317">
                  <c:v>7.7720816952769921E-4</c:v>
                </c:pt>
                <c:pt idx="318">
                  <c:v>1.8334115647895721E-2</c:v>
                </c:pt>
                <c:pt idx="319">
                  <c:v>1.7233770984204994E-2</c:v>
                </c:pt>
                <c:pt idx="320">
                  <c:v>-1.5446385119260938E-2</c:v>
                </c:pt>
                <c:pt idx="321">
                  <c:v>5.1064220099585132E-2</c:v>
                </c:pt>
                <c:pt idx="322">
                  <c:v>4.7209259961147221E-2</c:v>
                </c:pt>
                <c:pt idx="323">
                  <c:v>-6.8855572156615603E-3</c:v>
                </c:pt>
                <c:pt idx="324">
                  <c:v>-1.359191052141432E-2</c:v>
                </c:pt>
                <c:pt idx="325">
                  <c:v>4.997066100031965E-3</c:v>
                </c:pt>
                <c:pt idx="326">
                  <c:v>-4.7768856263617834E-2</c:v>
                </c:pt>
                <c:pt idx="327">
                  <c:v>-5.0420831418246329E-3</c:v>
                </c:pt>
                <c:pt idx="328">
                  <c:v>-1.0254762637522808E-2</c:v>
                </c:pt>
                <c:pt idx="329">
                  <c:v>-6.3423866228473208E-3</c:v>
                </c:pt>
                <c:pt idx="330">
                  <c:v>2.8958712783099579E-4</c:v>
                </c:pt>
                <c:pt idx="331">
                  <c:v>2.9766201698913211E-2</c:v>
                </c:pt>
                <c:pt idx="332">
                  <c:v>-7.2814813348476871E-3</c:v>
                </c:pt>
                <c:pt idx="333">
                  <c:v>-1.0108918386807251E-2</c:v>
                </c:pt>
                <c:pt idx="334">
                  <c:v>-4.2625819377600696E-2</c:v>
                </c:pt>
                <c:pt idx="335">
                  <c:v>-2.1078873017356618E-2</c:v>
                </c:pt>
                <c:pt idx="336">
                  <c:v>2.1655561558664507E-2</c:v>
                </c:pt>
                <c:pt idx="337">
                  <c:v>3.4202849077188888E-2</c:v>
                </c:pt>
                <c:pt idx="338">
                  <c:v>-2.741316285135003E-5</c:v>
                </c:pt>
                <c:pt idx="339">
                  <c:v>3.7886124613058042E-2</c:v>
                </c:pt>
                <c:pt idx="340">
                  <c:v>-1.0815752361306137E-2</c:v>
                </c:pt>
                <c:pt idx="341">
                  <c:v>-6.4608141950171331E-3</c:v>
                </c:pt>
                <c:pt idx="342">
                  <c:v>-3.0859189937791746E-2</c:v>
                </c:pt>
                <c:pt idx="343">
                  <c:v>8.9049930041900146E-3</c:v>
                </c:pt>
                <c:pt idx="344">
                  <c:v>2.4448582261263882E-2</c:v>
                </c:pt>
                <c:pt idx="345">
                  <c:v>1.0170942093459442E-2</c:v>
                </c:pt>
                <c:pt idx="346">
                  <c:v>5.7220735032669987E-4</c:v>
                </c:pt>
                <c:pt idx="347">
                  <c:v>-8.1139959083848245E-3</c:v>
                </c:pt>
                <c:pt idx="348">
                  <c:v>3.3007358076826893E-2</c:v>
                </c:pt>
                <c:pt idx="349">
                  <c:v>2.1429372090749636E-2</c:v>
                </c:pt>
                <c:pt idx="350">
                  <c:v>1.9470337157671883E-2</c:v>
                </c:pt>
                <c:pt idx="351">
                  <c:v>2.9254383874492765E-2</c:v>
                </c:pt>
                <c:pt idx="352">
                  <c:v>1.1947263471170833E-2</c:v>
                </c:pt>
                <c:pt idx="353">
                  <c:v>-2.2353899160519844E-2</c:v>
                </c:pt>
                <c:pt idx="354">
                  <c:v>-1.3976525787405648E-2</c:v>
                </c:pt>
                <c:pt idx="355">
                  <c:v>-7.3016168384803046E-3</c:v>
                </c:pt>
                <c:pt idx="356">
                  <c:v>5.009224202465001E-3</c:v>
                </c:pt>
                <c:pt idx="357">
                  <c:v>-4.3363241841528628E-2</c:v>
                </c:pt>
                <c:pt idx="358">
                  <c:v>4.1102809668242701E-2</c:v>
                </c:pt>
                <c:pt idx="359">
                  <c:v>4.7777945643434808E-2</c:v>
                </c:pt>
                <c:pt idx="360">
                  <c:v>-5.0178495895915678E-2</c:v>
                </c:pt>
                <c:pt idx="361">
                  <c:v>5.1606075413297738E-3</c:v>
                </c:pt>
                <c:pt idx="362">
                  <c:v>5.2448288957875989E-2</c:v>
                </c:pt>
                <c:pt idx="363">
                  <c:v>1.631413732252434E-2</c:v>
                </c:pt>
                <c:pt idx="364">
                  <c:v>-2.3656806614763076E-2</c:v>
                </c:pt>
                <c:pt idx="365">
                  <c:v>-2.813262450453153E-2</c:v>
                </c:pt>
                <c:pt idx="366">
                  <c:v>3.7278110524237788E-2</c:v>
                </c:pt>
                <c:pt idx="367">
                  <c:v>5.8192409497859268E-3</c:v>
                </c:pt>
                <c:pt idx="368">
                  <c:v>-2.0590885383011757E-2</c:v>
                </c:pt>
                <c:pt idx="369">
                  <c:v>8.6467147547890262E-3</c:v>
                </c:pt>
                <c:pt idx="370">
                  <c:v>1.1511031596342949E-2</c:v>
                </c:pt>
                <c:pt idx="371">
                  <c:v>-3.2390889663750332E-2</c:v>
                </c:pt>
                <c:pt idx="372">
                  <c:v>1.145144235108124E-2</c:v>
                </c:pt>
                <c:pt idx="373">
                  <c:v>2.3699002786296844E-2</c:v>
                </c:pt>
                <c:pt idx="374">
                  <c:v>-1.8080246519758874E-3</c:v>
                </c:pt>
                <c:pt idx="375">
                  <c:v>2.9014231082922174E-2</c:v>
                </c:pt>
                <c:pt idx="376">
                  <c:v>-2.0045335998368424E-2</c:v>
                </c:pt>
                <c:pt idx="377">
                  <c:v>1.4270637508220675E-2</c:v>
                </c:pt>
                <c:pt idx="378">
                  <c:v>4.1765058189487142E-2</c:v>
                </c:pt>
                <c:pt idx="379">
                  <c:v>-1.4266040874551616E-2</c:v>
                </c:pt>
                <c:pt idx="380">
                  <c:v>-2.0488811686103454E-2</c:v>
                </c:pt>
                <c:pt idx="381">
                  <c:v>-1.9413423911558942E-2</c:v>
                </c:pt>
                <c:pt idx="382">
                  <c:v>2.0495844775788894E-2</c:v>
                </c:pt>
                <c:pt idx="383">
                  <c:v>-4.5845606309698767E-3</c:v>
                </c:pt>
                <c:pt idx="384">
                  <c:v>8.7234558492547375E-3</c:v>
                </c:pt>
                <c:pt idx="385">
                  <c:v>-1.1316041366983196E-4</c:v>
                </c:pt>
                <c:pt idx="386">
                  <c:v>7.18107201091856E-2</c:v>
                </c:pt>
                <c:pt idx="387">
                  <c:v>-1.8104245254153143E-3</c:v>
                </c:pt>
                <c:pt idx="388">
                  <c:v>-1.0054136631989027E-2</c:v>
                </c:pt>
                <c:pt idx="389">
                  <c:v>-2.7817683587427911E-2</c:v>
                </c:pt>
                <c:pt idx="390">
                  <c:v>-1.8832080210339559E-2</c:v>
                </c:pt>
                <c:pt idx="391">
                  <c:v>5.1078347608129786E-2</c:v>
                </c:pt>
                <c:pt idx="392">
                  <c:v>-9.916243274825258E-3</c:v>
                </c:pt>
                <c:pt idx="393">
                  <c:v>4.4841766794916742E-2</c:v>
                </c:pt>
                <c:pt idx="394">
                  <c:v>1.185942099577887E-2</c:v>
                </c:pt>
                <c:pt idx="395">
                  <c:v>8.3531205080423655E-3</c:v>
                </c:pt>
                <c:pt idx="396">
                  <c:v>-2.392713153836587E-2</c:v>
                </c:pt>
                <c:pt idx="397">
                  <c:v>5.5937738610828555E-2</c:v>
                </c:pt>
                <c:pt idx="398">
                  <c:v>-1.2269683997204992E-2</c:v>
                </c:pt>
                <c:pt idx="399">
                  <c:v>-1.9428566732004542E-2</c:v>
                </c:pt>
                <c:pt idx="400">
                  <c:v>1.5092488419208181E-2</c:v>
                </c:pt>
                <c:pt idx="401">
                  <c:v>1.5801830265630284E-2</c:v>
                </c:pt>
                <c:pt idx="402">
                  <c:v>-1.2327449555407573E-2</c:v>
                </c:pt>
                <c:pt idx="403">
                  <c:v>7.0676483155743167E-2</c:v>
                </c:pt>
                <c:pt idx="404">
                  <c:v>-5.8294528527448701E-3</c:v>
                </c:pt>
                <c:pt idx="405">
                  <c:v>-1.9612255189923228E-2</c:v>
                </c:pt>
                <c:pt idx="406">
                  <c:v>-3.1975911823811189E-2</c:v>
                </c:pt>
                <c:pt idx="407">
                  <c:v>1.6645324238082002E-2</c:v>
                </c:pt>
                <c:pt idx="408">
                  <c:v>-1.1108277755099769E-2</c:v>
                </c:pt>
                <c:pt idx="409">
                  <c:v>-1.3071618936034753E-2</c:v>
                </c:pt>
                <c:pt idx="410">
                  <c:v>-8.3233844081018749E-3</c:v>
                </c:pt>
                <c:pt idx="411">
                  <c:v>-2.2663439710803265E-3</c:v>
                </c:pt>
                <c:pt idx="412">
                  <c:v>4.5555883572194842E-3</c:v>
                </c:pt>
                <c:pt idx="413">
                  <c:v>-3.7498432928582279E-2</c:v>
                </c:pt>
                <c:pt idx="414">
                  <c:v>1.3248309710762796E-2</c:v>
                </c:pt>
                <c:pt idx="415">
                  <c:v>-1.0093987307983748E-2</c:v>
                </c:pt>
                <c:pt idx="416">
                  <c:v>-4.2348018048495022E-2</c:v>
                </c:pt>
                <c:pt idx="417">
                  <c:v>3.5561005995341559E-2</c:v>
                </c:pt>
                <c:pt idx="418">
                  <c:v>2.8032908736759304E-4</c:v>
                </c:pt>
                <c:pt idx="419">
                  <c:v>-2.0376950593702103E-2</c:v>
                </c:pt>
                <c:pt idx="420">
                  <c:v>-6.3025700051679793E-3</c:v>
                </c:pt>
                <c:pt idx="421">
                  <c:v>-4.0227258223150854E-3</c:v>
                </c:pt>
                <c:pt idx="422">
                  <c:v>1.0938246127580971E-3</c:v>
                </c:pt>
                <c:pt idx="423">
                  <c:v>1.7869133168476364E-2</c:v>
                </c:pt>
                <c:pt idx="424">
                  <c:v>-2.8792668320284577E-2</c:v>
                </c:pt>
                <c:pt idx="425">
                  <c:v>2.4806793478376728E-2</c:v>
                </c:pt>
                <c:pt idx="426">
                  <c:v>-2.78763798048598E-2</c:v>
                </c:pt>
                <c:pt idx="427">
                  <c:v>-3.2801362949840797E-2</c:v>
                </c:pt>
                <c:pt idx="428">
                  <c:v>-3.5123979289842897E-3</c:v>
                </c:pt>
                <c:pt idx="429">
                  <c:v>5.4425256096134571E-2</c:v>
                </c:pt>
                <c:pt idx="430">
                  <c:v>-1.3333339459990748E-2</c:v>
                </c:pt>
                <c:pt idx="431">
                  <c:v>5.1978955058571506E-3</c:v>
                </c:pt>
                <c:pt idx="432">
                  <c:v>-3.8411741496672844E-3</c:v>
                </c:pt>
                <c:pt idx="433">
                  <c:v>4.6771217759917057E-2</c:v>
                </c:pt>
                <c:pt idx="434">
                  <c:v>-1.5684213634352042E-2</c:v>
                </c:pt>
                <c:pt idx="435">
                  <c:v>2.8907703061141023E-2</c:v>
                </c:pt>
                <c:pt idx="436">
                  <c:v>-1.5328312193204307E-2</c:v>
                </c:pt>
                <c:pt idx="437">
                  <c:v>-2.4199287557213012E-2</c:v>
                </c:pt>
                <c:pt idx="438">
                  <c:v>-4.7548251346557838E-2</c:v>
                </c:pt>
                <c:pt idx="439">
                  <c:v>1.595305980774862E-2</c:v>
                </c:pt>
                <c:pt idx="440">
                  <c:v>2.4335445561247674E-2</c:v>
                </c:pt>
                <c:pt idx="441">
                  <c:v>1.5337329122965884E-2</c:v>
                </c:pt>
                <c:pt idx="442">
                  <c:v>4.145608532066377E-2</c:v>
                </c:pt>
                <c:pt idx="443">
                  <c:v>3.2368477445832709E-4</c:v>
                </c:pt>
                <c:pt idx="444">
                  <c:v>-2.3538491229594505E-2</c:v>
                </c:pt>
                <c:pt idx="445">
                  <c:v>-5.7823811906532862E-3</c:v>
                </c:pt>
                <c:pt idx="446">
                  <c:v>4.9394827302446601E-3</c:v>
                </c:pt>
                <c:pt idx="447">
                  <c:v>-1.207903243530295E-2</c:v>
                </c:pt>
                <c:pt idx="448">
                  <c:v>-1.7395309178234664E-2</c:v>
                </c:pt>
                <c:pt idx="449">
                  <c:v>2.4060110090086143E-2</c:v>
                </c:pt>
                <c:pt idx="450">
                  <c:v>-5.577952034514836E-2</c:v>
                </c:pt>
                <c:pt idx="451">
                  <c:v>-3.661062956875364E-2</c:v>
                </c:pt>
                <c:pt idx="452">
                  <c:v>-7.159179105611568E-3</c:v>
                </c:pt>
                <c:pt idx="453">
                  <c:v>-3.0138525803518494E-2</c:v>
                </c:pt>
                <c:pt idx="454">
                  <c:v>-2.5784550254182224E-2</c:v>
                </c:pt>
                <c:pt idx="455">
                  <c:v>1.2613124424099153E-2</c:v>
                </c:pt>
                <c:pt idx="456">
                  <c:v>-4.8593417476714883E-2</c:v>
                </c:pt>
                <c:pt idx="457">
                  <c:v>1.6963948996833823E-2</c:v>
                </c:pt>
                <c:pt idx="458">
                  <c:v>2.3493674597279621E-2</c:v>
                </c:pt>
                <c:pt idx="459">
                  <c:v>1.6570245940705727E-3</c:v>
                </c:pt>
                <c:pt idx="460">
                  <c:v>-2.9326407105465725E-2</c:v>
                </c:pt>
                <c:pt idx="461">
                  <c:v>-1.3312063053694603E-3</c:v>
                </c:pt>
                <c:pt idx="462">
                  <c:v>-2.5624630222369441E-3</c:v>
                </c:pt>
                <c:pt idx="463">
                  <c:v>2.3869458775764605E-2</c:v>
                </c:pt>
                <c:pt idx="464">
                  <c:v>-5.1238830420906038E-2</c:v>
                </c:pt>
                <c:pt idx="465">
                  <c:v>3.3660359055571493E-2</c:v>
                </c:pt>
                <c:pt idx="466">
                  <c:v>1.2623525294132115E-2</c:v>
                </c:pt>
                <c:pt idx="467">
                  <c:v>-5.5627058610200081E-3</c:v>
                </c:pt>
                <c:pt idx="468">
                  <c:v>-1.6161483005844988E-2</c:v>
                </c:pt>
                <c:pt idx="469">
                  <c:v>7.0913064006817572E-3</c:v>
                </c:pt>
                <c:pt idx="470">
                  <c:v>4.4290752863494744E-2</c:v>
                </c:pt>
                <c:pt idx="471">
                  <c:v>-3.3781865188992487E-3</c:v>
                </c:pt>
                <c:pt idx="472">
                  <c:v>-3.1627611405606799E-3</c:v>
                </c:pt>
                <c:pt idx="473">
                  <c:v>3.8215003882492785E-2</c:v>
                </c:pt>
                <c:pt idx="474">
                  <c:v>1.2125066858572069E-4</c:v>
                </c:pt>
                <c:pt idx="475">
                  <c:v>9.7534585149899374E-3</c:v>
                </c:pt>
                <c:pt idx="476">
                  <c:v>5.6145649196823692E-3</c:v>
                </c:pt>
                <c:pt idx="477">
                  <c:v>-3.2895396476079107E-2</c:v>
                </c:pt>
                <c:pt idx="478">
                  <c:v>7.0360842840581275E-3</c:v>
                </c:pt>
                <c:pt idx="479">
                  <c:v>1.4955111466190923E-2</c:v>
                </c:pt>
                <c:pt idx="480">
                  <c:v>-2.0289304044183779E-2</c:v>
                </c:pt>
                <c:pt idx="481">
                  <c:v>3.9111498758545638E-2</c:v>
                </c:pt>
                <c:pt idx="482">
                  <c:v>-4.6488242939371163E-2</c:v>
                </c:pt>
                <c:pt idx="483">
                  <c:v>1.1994266409410012E-3</c:v>
                </c:pt>
                <c:pt idx="484">
                  <c:v>-2.5719953301225007E-2</c:v>
                </c:pt>
                <c:pt idx="485">
                  <c:v>-3.9940839860148042E-2</c:v>
                </c:pt>
                <c:pt idx="486">
                  <c:v>6.1569293077212044E-4</c:v>
                </c:pt>
                <c:pt idx="487">
                  <c:v>2.9894889291903325E-2</c:v>
                </c:pt>
                <c:pt idx="488">
                  <c:v>3.7617204435062633E-2</c:v>
                </c:pt>
                <c:pt idx="489">
                  <c:v>2.6681787227137065E-2</c:v>
                </c:pt>
                <c:pt idx="490">
                  <c:v>-1.446683214883525E-2</c:v>
                </c:pt>
                <c:pt idx="491">
                  <c:v>-1.8096197222176875E-2</c:v>
                </c:pt>
                <c:pt idx="492">
                  <c:v>-2.8582424427953147E-2</c:v>
                </c:pt>
                <c:pt idx="493">
                  <c:v>1.6952241480273297E-2</c:v>
                </c:pt>
                <c:pt idx="494">
                  <c:v>2.5508710414403227E-2</c:v>
                </c:pt>
                <c:pt idx="495">
                  <c:v>4.3249896519247238E-3</c:v>
                </c:pt>
                <c:pt idx="496">
                  <c:v>2.2513928731509342E-2</c:v>
                </c:pt>
                <c:pt idx="497">
                  <c:v>9.2814409508767785E-3</c:v>
                </c:pt>
                <c:pt idx="498">
                  <c:v>-5.7522161269637287E-3</c:v>
                </c:pt>
                <c:pt idx="499">
                  <c:v>-2.1826442371473603E-2</c:v>
                </c:pt>
                <c:pt idx="500">
                  <c:v>2.1501549192123773E-2</c:v>
                </c:pt>
                <c:pt idx="501">
                  <c:v>1.9437828441078508E-2</c:v>
                </c:pt>
                <c:pt idx="502">
                  <c:v>-2.0303324460039462E-2</c:v>
                </c:pt>
                <c:pt idx="503">
                  <c:v>4.8045308755844697E-4</c:v>
                </c:pt>
                <c:pt idx="504">
                  <c:v>-2.3974207090727007E-2</c:v>
                </c:pt>
                <c:pt idx="505">
                  <c:v>-2.6922196727516071E-2</c:v>
                </c:pt>
                <c:pt idx="506">
                  <c:v>-1.3702821752758783E-2</c:v>
                </c:pt>
                <c:pt idx="507">
                  <c:v>-2.32315613253107E-2</c:v>
                </c:pt>
                <c:pt idx="508">
                  <c:v>1.4195022818708337E-2</c:v>
                </c:pt>
                <c:pt idx="509">
                  <c:v>3.5711454889582994E-2</c:v>
                </c:pt>
                <c:pt idx="510">
                  <c:v>2.7264941696965854E-2</c:v>
                </c:pt>
                <c:pt idx="511">
                  <c:v>1.4733983192776266E-2</c:v>
                </c:pt>
                <c:pt idx="512">
                  <c:v>-3.2946044719769793E-2</c:v>
                </c:pt>
                <c:pt idx="513">
                  <c:v>3.640850112019349E-2</c:v>
                </c:pt>
                <c:pt idx="514">
                  <c:v>-3.2392348415635604E-2</c:v>
                </c:pt>
                <c:pt idx="515">
                  <c:v>3.2474411765647949E-2</c:v>
                </c:pt>
                <c:pt idx="516">
                  <c:v>-1.7430412611773981E-2</c:v>
                </c:pt>
                <c:pt idx="517">
                  <c:v>-2.2382592469123962E-2</c:v>
                </c:pt>
                <c:pt idx="518">
                  <c:v>-2.4640616284973965E-2</c:v>
                </c:pt>
                <c:pt idx="519">
                  <c:v>-8.5518547547944902E-3</c:v>
                </c:pt>
                <c:pt idx="520">
                  <c:v>-2.2742525516200242E-2</c:v>
                </c:pt>
                <c:pt idx="521">
                  <c:v>2.3615874576522467E-2</c:v>
                </c:pt>
                <c:pt idx="522">
                  <c:v>-4.2250858006089541E-2</c:v>
                </c:pt>
                <c:pt idx="523">
                  <c:v>-3.4371459816287596E-4</c:v>
                </c:pt>
                <c:pt idx="524">
                  <c:v>6.3537719016900709E-3</c:v>
                </c:pt>
                <c:pt idx="525">
                  <c:v>-5.3545923610411737E-2</c:v>
                </c:pt>
                <c:pt idx="526">
                  <c:v>5.2467331767042352E-2</c:v>
                </c:pt>
                <c:pt idx="527">
                  <c:v>4.397320183857395E-2</c:v>
                </c:pt>
                <c:pt idx="528">
                  <c:v>-3.5041793653308568E-3</c:v>
                </c:pt>
                <c:pt idx="529">
                  <c:v>1.4823209803674948E-2</c:v>
                </c:pt>
                <c:pt idx="530">
                  <c:v>-1.5515861509007686E-2</c:v>
                </c:pt>
                <c:pt idx="531">
                  <c:v>1.7413652048124496E-2</c:v>
                </c:pt>
                <c:pt idx="532">
                  <c:v>-1.9838309704800421E-2</c:v>
                </c:pt>
                <c:pt idx="533">
                  <c:v>1.7889011049370358E-2</c:v>
                </c:pt>
                <c:pt idx="534">
                  <c:v>5.2021981321848508E-2</c:v>
                </c:pt>
                <c:pt idx="535">
                  <c:v>1.3478314036033744E-2</c:v>
                </c:pt>
                <c:pt idx="536">
                  <c:v>6.9875050385870552E-3</c:v>
                </c:pt>
                <c:pt idx="537">
                  <c:v>-2.6277979233600757E-2</c:v>
                </c:pt>
                <c:pt idx="538">
                  <c:v>5.3851776978587548E-2</c:v>
                </c:pt>
                <c:pt idx="539">
                  <c:v>2.3813864926673029E-3</c:v>
                </c:pt>
                <c:pt idx="540">
                  <c:v>-1.5639646367926485E-2</c:v>
                </c:pt>
                <c:pt idx="541">
                  <c:v>1.3752615312201942E-2</c:v>
                </c:pt>
                <c:pt idx="542">
                  <c:v>-4.2427454265096635E-2</c:v>
                </c:pt>
                <c:pt idx="543">
                  <c:v>1.0326150523028638E-3</c:v>
                </c:pt>
                <c:pt idx="544">
                  <c:v>1.5628349774250663E-2</c:v>
                </c:pt>
                <c:pt idx="545">
                  <c:v>-3.1406141545237014E-2</c:v>
                </c:pt>
                <c:pt idx="546">
                  <c:v>1.744803872889019E-2</c:v>
                </c:pt>
                <c:pt idx="547">
                  <c:v>-1.7899394672525111E-2</c:v>
                </c:pt>
                <c:pt idx="548">
                  <c:v>-9.0271242027257226E-3</c:v>
                </c:pt>
                <c:pt idx="549">
                  <c:v>-2.1998590071418682E-2</c:v>
                </c:pt>
                <c:pt idx="550">
                  <c:v>8.0101049647832503E-3</c:v>
                </c:pt>
                <c:pt idx="551">
                  <c:v>8.9906106558644734E-3</c:v>
                </c:pt>
                <c:pt idx="552">
                  <c:v>-2.0772492462561885E-2</c:v>
                </c:pt>
                <c:pt idx="553">
                  <c:v>-9.3501868475653373E-3</c:v>
                </c:pt>
                <c:pt idx="554">
                  <c:v>1.4325739208379705E-2</c:v>
                </c:pt>
                <c:pt idx="555">
                  <c:v>3.3331351931693648E-2</c:v>
                </c:pt>
                <c:pt idx="556">
                  <c:v>7.6360320895470044E-3</c:v>
                </c:pt>
                <c:pt idx="557">
                  <c:v>-4.1007091102192843E-3</c:v>
                </c:pt>
                <c:pt idx="558">
                  <c:v>-2.3779523072541903E-2</c:v>
                </c:pt>
                <c:pt idx="559">
                  <c:v>1.297455483881888E-3</c:v>
                </c:pt>
                <c:pt idx="560">
                  <c:v>-3.7063921858520228E-3</c:v>
                </c:pt>
                <c:pt idx="561">
                  <c:v>-3.7570890706103852E-2</c:v>
                </c:pt>
                <c:pt idx="562">
                  <c:v>6.4670768602407364E-2</c:v>
                </c:pt>
                <c:pt idx="563">
                  <c:v>3.4349672797963159E-2</c:v>
                </c:pt>
                <c:pt idx="564">
                  <c:v>2.3167432023632112E-2</c:v>
                </c:pt>
                <c:pt idx="565">
                  <c:v>2.7225391476297647E-3</c:v>
                </c:pt>
                <c:pt idx="566">
                  <c:v>5.9211493234926464E-3</c:v>
                </c:pt>
                <c:pt idx="567">
                  <c:v>5.3063074507682436E-3</c:v>
                </c:pt>
                <c:pt idx="568">
                  <c:v>-4.3523654074868832E-4</c:v>
                </c:pt>
                <c:pt idx="569">
                  <c:v>3.5509655355525235E-2</c:v>
                </c:pt>
                <c:pt idx="570">
                  <c:v>4.6142746839006051E-2</c:v>
                </c:pt>
                <c:pt idx="571">
                  <c:v>3.3524995015491847E-3</c:v>
                </c:pt>
                <c:pt idx="572">
                  <c:v>6.4594564485747161E-3</c:v>
                </c:pt>
                <c:pt idx="573">
                  <c:v>6.3557623414244365E-3</c:v>
                </c:pt>
                <c:pt idx="574">
                  <c:v>-6.6504757384277784E-3</c:v>
                </c:pt>
                <c:pt idx="575">
                  <c:v>3.9845956741943397E-3</c:v>
                </c:pt>
                <c:pt idx="576">
                  <c:v>-1.1930922923670732E-2</c:v>
                </c:pt>
                <c:pt idx="577">
                  <c:v>1.6646774518041949E-2</c:v>
                </c:pt>
                <c:pt idx="578">
                  <c:v>-8.4353409907957939E-3</c:v>
                </c:pt>
                <c:pt idx="579">
                  <c:v>6.8281599589161933E-3</c:v>
                </c:pt>
                <c:pt idx="580">
                  <c:v>1.1498707749764074E-2</c:v>
                </c:pt>
                <c:pt idx="581">
                  <c:v>1.352271871739438E-2</c:v>
                </c:pt>
                <c:pt idx="582">
                  <c:v>-2.8124031970009573E-2</c:v>
                </c:pt>
                <c:pt idx="583">
                  <c:v>-3.5207562193851287E-2</c:v>
                </c:pt>
                <c:pt idx="584">
                  <c:v>-5.1660132417672821E-3</c:v>
                </c:pt>
                <c:pt idx="585">
                  <c:v>-1.2819834274239319E-2</c:v>
                </c:pt>
                <c:pt idx="586">
                  <c:v>3.6620345703917472E-2</c:v>
                </c:pt>
                <c:pt idx="587">
                  <c:v>-2.5500754033342805E-2</c:v>
                </c:pt>
                <c:pt idx="588">
                  <c:v>1.8431150496615367E-2</c:v>
                </c:pt>
                <c:pt idx="589">
                  <c:v>3.1028556737957756E-2</c:v>
                </c:pt>
                <c:pt idx="590">
                  <c:v>4.040786206347554E-2</c:v>
                </c:pt>
                <c:pt idx="591">
                  <c:v>-3.734670948220054E-3</c:v>
                </c:pt>
                <c:pt idx="592">
                  <c:v>4.0404332913172483E-2</c:v>
                </c:pt>
                <c:pt idx="593">
                  <c:v>-3.1852410355123685E-2</c:v>
                </c:pt>
                <c:pt idx="594">
                  <c:v>-1.0705490731250079E-2</c:v>
                </c:pt>
                <c:pt idx="595">
                  <c:v>3.4990244797268318E-2</c:v>
                </c:pt>
                <c:pt idx="596">
                  <c:v>-8.4562063303860145E-3</c:v>
                </c:pt>
                <c:pt idx="597">
                  <c:v>-4.1951995968717126E-2</c:v>
                </c:pt>
                <c:pt idx="598">
                  <c:v>2.977567728995336E-2</c:v>
                </c:pt>
                <c:pt idx="599">
                  <c:v>4.2212307991644792E-2</c:v>
                </c:pt>
                <c:pt idx="600">
                  <c:v>2.8691269712969494E-2</c:v>
                </c:pt>
                <c:pt idx="601">
                  <c:v>3.2048901415856763E-2</c:v>
                </c:pt>
                <c:pt idx="602">
                  <c:v>1.1187884870443218E-2</c:v>
                </c:pt>
                <c:pt idx="603">
                  <c:v>1.0784619097016663E-2</c:v>
                </c:pt>
                <c:pt idx="604">
                  <c:v>-2.5551195526404669E-2</c:v>
                </c:pt>
                <c:pt idx="605">
                  <c:v>7.3469054022118323E-3</c:v>
                </c:pt>
                <c:pt idx="606">
                  <c:v>8.1646814988874123E-3</c:v>
                </c:pt>
                <c:pt idx="607">
                  <c:v>-9.8337537492189462E-4</c:v>
                </c:pt>
                <c:pt idx="608">
                  <c:v>-9.0327989263893228E-3</c:v>
                </c:pt>
                <c:pt idx="609">
                  <c:v>5.6548151040724075E-3</c:v>
                </c:pt>
                <c:pt idx="610">
                  <c:v>-1.0253858369663747E-2</c:v>
                </c:pt>
                <c:pt idx="611">
                  <c:v>-6.0806500542591874E-3</c:v>
                </c:pt>
                <c:pt idx="612">
                  <c:v>-5.2475666140416585E-2</c:v>
                </c:pt>
                <c:pt idx="613">
                  <c:v>4.0772631778034661E-2</c:v>
                </c:pt>
                <c:pt idx="614">
                  <c:v>9.9933207049426129E-3</c:v>
                </c:pt>
                <c:pt idx="615">
                  <c:v>-2.0766321880748367E-2</c:v>
                </c:pt>
                <c:pt idx="616">
                  <c:v>-2.4869466618727607E-2</c:v>
                </c:pt>
                <c:pt idx="617">
                  <c:v>-1.313721557502587E-2</c:v>
                </c:pt>
                <c:pt idx="618">
                  <c:v>4.4469076299545274E-2</c:v>
                </c:pt>
                <c:pt idx="619">
                  <c:v>-8.424954023165827E-3</c:v>
                </c:pt>
                <c:pt idx="620">
                  <c:v>1.7122040728620534E-2</c:v>
                </c:pt>
                <c:pt idx="621">
                  <c:v>1.8621429311715742E-2</c:v>
                </c:pt>
                <c:pt idx="622">
                  <c:v>-3.4372612492901321E-2</c:v>
                </c:pt>
                <c:pt idx="623">
                  <c:v>-7.6130853151486818E-3</c:v>
                </c:pt>
                <c:pt idx="624">
                  <c:v>1.3200291831049513E-2</c:v>
                </c:pt>
                <c:pt idx="625">
                  <c:v>1.3445130533348946E-2</c:v>
                </c:pt>
                <c:pt idx="626">
                  <c:v>1.2972928514132079E-2</c:v>
                </c:pt>
                <c:pt idx="627">
                  <c:v>-4.1056146242349899E-2</c:v>
                </c:pt>
                <c:pt idx="628">
                  <c:v>-1.8441967985845992E-2</c:v>
                </c:pt>
                <c:pt idx="629">
                  <c:v>1.7367446617517471E-4</c:v>
                </c:pt>
                <c:pt idx="630">
                  <c:v>-2.4234331019179199E-3</c:v>
                </c:pt>
                <c:pt idx="631">
                  <c:v>8.2794311742663898E-3</c:v>
                </c:pt>
                <c:pt idx="632">
                  <c:v>-9.032160510965467E-3</c:v>
                </c:pt>
                <c:pt idx="633">
                  <c:v>-7.8152624617473104E-3</c:v>
                </c:pt>
                <c:pt idx="634">
                  <c:v>1.9031282254594245E-2</c:v>
                </c:pt>
                <c:pt idx="635">
                  <c:v>2.3516974278540832E-2</c:v>
                </c:pt>
                <c:pt idx="636">
                  <c:v>-5.4838922919562549E-2</c:v>
                </c:pt>
                <c:pt idx="637">
                  <c:v>5.2339638117730423E-3</c:v>
                </c:pt>
                <c:pt idx="638">
                  <c:v>-2.8650799839402386E-2</c:v>
                </c:pt>
                <c:pt idx="639">
                  <c:v>2.0698392943906404E-2</c:v>
                </c:pt>
                <c:pt idx="640">
                  <c:v>1.5751140713154931E-2</c:v>
                </c:pt>
                <c:pt idx="641">
                  <c:v>3.1334614623118887E-2</c:v>
                </c:pt>
                <c:pt idx="642">
                  <c:v>4.6704146485697449E-2</c:v>
                </c:pt>
                <c:pt idx="643">
                  <c:v>-1.1183340273782125E-2</c:v>
                </c:pt>
                <c:pt idx="644">
                  <c:v>3.696883705332054E-2</c:v>
                </c:pt>
                <c:pt idx="645">
                  <c:v>-4.1449088713658294E-2</c:v>
                </c:pt>
                <c:pt idx="646">
                  <c:v>-4.6193238297177266E-3</c:v>
                </c:pt>
                <c:pt idx="647">
                  <c:v>1.6925868713473714E-2</c:v>
                </c:pt>
                <c:pt idx="648">
                  <c:v>-5.6420823152735243E-2</c:v>
                </c:pt>
                <c:pt idx="649">
                  <c:v>-8.6641650785812922E-3</c:v>
                </c:pt>
                <c:pt idx="650">
                  <c:v>-3.2843323380173269E-2</c:v>
                </c:pt>
                <c:pt idx="651">
                  <c:v>-1.7168347386361145E-2</c:v>
                </c:pt>
                <c:pt idx="652">
                  <c:v>-2.8698395348731819E-2</c:v>
                </c:pt>
                <c:pt idx="653">
                  <c:v>-3.5990030010935363E-2</c:v>
                </c:pt>
                <c:pt idx="654">
                  <c:v>-4.8926703494530675E-2</c:v>
                </c:pt>
                <c:pt idx="655">
                  <c:v>2.6478045453059606E-2</c:v>
                </c:pt>
                <c:pt idx="656">
                  <c:v>-1.1877474675693217E-2</c:v>
                </c:pt>
                <c:pt idx="657">
                  <c:v>2.5614461681565288E-2</c:v>
                </c:pt>
                <c:pt idx="658">
                  <c:v>1.4150774298675594E-2</c:v>
                </c:pt>
                <c:pt idx="659">
                  <c:v>8.4008308538842807E-3</c:v>
                </c:pt>
                <c:pt idx="660">
                  <c:v>-3.8987852860515065E-2</c:v>
                </c:pt>
                <c:pt idx="661">
                  <c:v>-9.1392805575252426E-3</c:v>
                </c:pt>
                <c:pt idx="662">
                  <c:v>2.9290494129186728E-2</c:v>
                </c:pt>
                <c:pt idx="663">
                  <c:v>-2.3270910215396897E-2</c:v>
                </c:pt>
                <c:pt idx="664">
                  <c:v>2.4319319796182803E-2</c:v>
                </c:pt>
                <c:pt idx="665">
                  <c:v>-1.3190937442438471E-2</c:v>
                </c:pt>
                <c:pt idx="666">
                  <c:v>5.0692471469736211E-2</c:v>
                </c:pt>
                <c:pt idx="667">
                  <c:v>-2.0156255143396057E-2</c:v>
                </c:pt>
                <c:pt idx="668">
                  <c:v>2.1619825647731704E-2</c:v>
                </c:pt>
                <c:pt idx="669">
                  <c:v>-2.1563125462294778E-2</c:v>
                </c:pt>
                <c:pt idx="670">
                  <c:v>7.6566569812542701E-3</c:v>
                </c:pt>
                <c:pt idx="671">
                  <c:v>1.0547682785978198E-2</c:v>
                </c:pt>
                <c:pt idx="672">
                  <c:v>9.8706819743298521E-3</c:v>
                </c:pt>
                <c:pt idx="673">
                  <c:v>1.3254340912728954E-3</c:v>
                </c:pt>
                <c:pt idx="674">
                  <c:v>-8.3361274694141001E-3</c:v>
                </c:pt>
                <c:pt idx="675">
                  <c:v>3.0173759165818076E-2</c:v>
                </c:pt>
                <c:pt idx="676">
                  <c:v>3.6551068396231443E-2</c:v>
                </c:pt>
                <c:pt idx="677">
                  <c:v>2.5757476405207546E-2</c:v>
                </c:pt>
                <c:pt idx="678">
                  <c:v>3.7533452245294419E-2</c:v>
                </c:pt>
                <c:pt idx="679">
                  <c:v>-6.6355035570391172E-3</c:v>
                </c:pt>
                <c:pt idx="680">
                  <c:v>-1.5242385262744441E-2</c:v>
                </c:pt>
                <c:pt idx="681">
                  <c:v>2.1039772645137376E-2</c:v>
                </c:pt>
                <c:pt idx="682">
                  <c:v>-1.2146203557676431E-2</c:v>
                </c:pt>
                <c:pt idx="683">
                  <c:v>-2.604332396050035E-2</c:v>
                </c:pt>
                <c:pt idx="684">
                  <c:v>-1.0653530860041322E-2</c:v>
                </c:pt>
                <c:pt idx="685">
                  <c:v>4.1109830399526814E-2</c:v>
                </c:pt>
                <c:pt idx="686">
                  <c:v>-2.6102589788457534E-2</c:v>
                </c:pt>
                <c:pt idx="687">
                  <c:v>-1.5246418469398591E-2</c:v>
                </c:pt>
                <c:pt idx="688">
                  <c:v>1.648907152093505E-2</c:v>
                </c:pt>
                <c:pt idx="689">
                  <c:v>9.197368240589008E-3</c:v>
                </c:pt>
                <c:pt idx="690">
                  <c:v>3.0353605514974624E-2</c:v>
                </c:pt>
                <c:pt idx="691">
                  <c:v>-4.0754842538188955E-3</c:v>
                </c:pt>
                <c:pt idx="692">
                  <c:v>9.6284767740215053E-3</c:v>
                </c:pt>
                <c:pt idx="693">
                  <c:v>3.8957495034718279E-2</c:v>
                </c:pt>
                <c:pt idx="694">
                  <c:v>-1.1931618021153249E-2</c:v>
                </c:pt>
                <c:pt idx="695">
                  <c:v>7.4797527400272141E-3</c:v>
                </c:pt>
                <c:pt idx="696">
                  <c:v>3.4825190030668023E-2</c:v>
                </c:pt>
                <c:pt idx="697">
                  <c:v>2.7373729887702127E-2</c:v>
                </c:pt>
                <c:pt idx="698">
                  <c:v>2.2848590206734267E-2</c:v>
                </c:pt>
                <c:pt idx="699">
                  <c:v>1.7736534044159848E-2</c:v>
                </c:pt>
                <c:pt idx="700">
                  <c:v>3.9010355893861967E-3</c:v>
                </c:pt>
                <c:pt idx="701">
                  <c:v>1.8735839984438098E-2</c:v>
                </c:pt>
                <c:pt idx="702">
                  <c:v>8.8225234392848417E-3</c:v>
                </c:pt>
                <c:pt idx="703">
                  <c:v>-1.6057479028531593E-2</c:v>
                </c:pt>
                <c:pt idx="704">
                  <c:v>-2.1351159740200791E-2</c:v>
                </c:pt>
                <c:pt idx="705">
                  <c:v>-6.4770410628019887E-2</c:v>
                </c:pt>
                <c:pt idx="706">
                  <c:v>-1.458954933851286E-4</c:v>
                </c:pt>
                <c:pt idx="707">
                  <c:v>4.0262596691518632E-2</c:v>
                </c:pt>
                <c:pt idx="708">
                  <c:v>-1.2672189781636691E-3</c:v>
                </c:pt>
                <c:pt idx="709">
                  <c:v>-3.1312948231067922E-2</c:v>
                </c:pt>
                <c:pt idx="710">
                  <c:v>1.4594923575967306E-3</c:v>
                </c:pt>
                <c:pt idx="711">
                  <c:v>-1.9125194696578566E-3</c:v>
                </c:pt>
                <c:pt idx="712">
                  <c:v>4.9546766468203357E-2</c:v>
                </c:pt>
                <c:pt idx="713">
                  <c:v>-9.1471944899195589E-3</c:v>
                </c:pt>
                <c:pt idx="714">
                  <c:v>3.6569565721797294E-2</c:v>
                </c:pt>
                <c:pt idx="715">
                  <c:v>-5.8693925078812624E-4</c:v>
                </c:pt>
                <c:pt idx="716">
                  <c:v>1.6526660488761568E-2</c:v>
                </c:pt>
                <c:pt idx="717">
                  <c:v>-1.5534400308454314E-2</c:v>
                </c:pt>
                <c:pt idx="718">
                  <c:v>-4.023106619632974E-2</c:v>
                </c:pt>
                <c:pt idx="719">
                  <c:v>4.9805180972265682E-2</c:v>
                </c:pt>
                <c:pt idx="720">
                  <c:v>-1.9181329190376611E-2</c:v>
                </c:pt>
                <c:pt idx="721">
                  <c:v>-1.1986903014707373E-2</c:v>
                </c:pt>
                <c:pt idx="722">
                  <c:v>2.4545873497786735E-2</c:v>
                </c:pt>
                <c:pt idx="723">
                  <c:v>1.1606690838116315E-2</c:v>
                </c:pt>
                <c:pt idx="724">
                  <c:v>-2.8966913541632049E-2</c:v>
                </c:pt>
                <c:pt idx="725">
                  <c:v>2.4267181777076631E-2</c:v>
                </c:pt>
                <c:pt idx="726">
                  <c:v>-2.8481999489280121E-2</c:v>
                </c:pt>
                <c:pt idx="727">
                  <c:v>4.8139967575723842E-3</c:v>
                </c:pt>
                <c:pt idx="728">
                  <c:v>9.7841325551694131E-3</c:v>
                </c:pt>
                <c:pt idx="729">
                  <c:v>-1.4984445470796064E-2</c:v>
                </c:pt>
                <c:pt idx="730">
                  <c:v>1.2412212170553581E-2</c:v>
                </c:pt>
                <c:pt idx="731">
                  <c:v>-1.1141829109016024E-3</c:v>
                </c:pt>
                <c:pt idx="732">
                  <c:v>-2.7489581440251301E-3</c:v>
                </c:pt>
                <c:pt idx="733">
                  <c:v>1.9080019257643313E-2</c:v>
                </c:pt>
                <c:pt idx="734">
                  <c:v>-3.9194782449743296E-3</c:v>
                </c:pt>
                <c:pt idx="735">
                  <c:v>1.3521304550118639E-2</c:v>
                </c:pt>
                <c:pt idx="736">
                  <c:v>3.0894614924534499E-3</c:v>
                </c:pt>
                <c:pt idx="737">
                  <c:v>-2.6193756178807863E-2</c:v>
                </c:pt>
                <c:pt idx="738">
                  <c:v>-3.5220987125724808E-2</c:v>
                </c:pt>
                <c:pt idx="739">
                  <c:v>-2.9731672604332241E-2</c:v>
                </c:pt>
                <c:pt idx="740">
                  <c:v>1.1146886068323744E-2</c:v>
                </c:pt>
                <c:pt idx="741">
                  <c:v>-4.2543715703802519E-2</c:v>
                </c:pt>
                <c:pt idx="742">
                  <c:v>2.498605384845897E-3</c:v>
                </c:pt>
                <c:pt idx="743">
                  <c:v>-2.6209168624585548E-2</c:v>
                </c:pt>
                <c:pt idx="744">
                  <c:v>1.6375663872989579E-2</c:v>
                </c:pt>
                <c:pt idx="745">
                  <c:v>-7.1012209873145465E-2</c:v>
                </c:pt>
                <c:pt idx="746">
                  <c:v>1.3191250990895629E-2</c:v>
                </c:pt>
                <c:pt idx="747">
                  <c:v>1.3667631806859063E-2</c:v>
                </c:pt>
                <c:pt idx="748">
                  <c:v>2.749936794749705E-3</c:v>
                </c:pt>
                <c:pt idx="749">
                  <c:v>-1.9879878299013769E-2</c:v>
                </c:pt>
                <c:pt idx="750">
                  <c:v>8.2164244218330441E-3</c:v>
                </c:pt>
                <c:pt idx="751">
                  <c:v>1.7788502490012462E-2</c:v>
                </c:pt>
                <c:pt idx="752">
                  <c:v>2.0936335511488324E-2</c:v>
                </c:pt>
                <c:pt idx="753">
                  <c:v>4.4934222623424933E-2</c:v>
                </c:pt>
                <c:pt idx="754">
                  <c:v>-5.7541067747046842E-2</c:v>
                </c:pt>
                <c:pt idx="755">
                  <c:v>-5.0809069183812984E-2</c:v>
                </c:pt>
                <c:pt idx="756">
                  <c:v>-2.7497595029816239E-2</c:v>
                </c:pt>
                <c:pt idx="757">
                  <c:v>1.8468399637523912E-2</c:v>
                </c:pt>
                <c:pt idx="758">
                  <c:v>4.9055438183940051E-2</c:v>
                </c:pt>
                <c:pt idx="759">
                  <c:v>-2.0170251046823514E-2</c:v>
                </c:pt>
                <c:pt idx="760">
                  <c:v>3.1977687098333631E-2</c:v>
                </c:pt>
                <c:pt idx="761">
                  <c:v>5.8780776950661615E-3</c:v>
                </c:pt>
                <c:pt idx="762">
                  <c:v>1.113338061152986E-2</c:v>
                </c:pt>
                <c:pt idx="763">
                  <c:v>7.0368032532684741E-2</c:v>
                </c:pt>
                <c:pt idx="764">
                  <c:v>3.0565232060509914E-2</c:v>
                </c:pt>
                <c:pt idx="765">
                  <c:v>-9.4383446207513336E-3</c:v>
                </c:pt>
                <c:pt idx="766">
                  <c:v>1.1226154370790062E-2</c:v>
                </c:pt>
                <c:pt idx="767">
                  <c:v>1.8456556974351182E-2</c:v>
                </c:pt>
                <c:pt idx="768">
                  <c:v>2.4713630026033884E-2</c:v>
                </c:pt>
                <c:pt idx="769">
                  <c:v>1.8997329693112849E-2</c:v>
                </c:pt>
                <c:pt idx="770">
                  <c:v>2.3778894106396595E-2</c:v>
                </c:pt>
                <c:pt idx="771">
                  <c:v>3.7207457131333048E-2</c:v>
                </c:pt>
                <c:pt idx="772">
                  <c:v>-2.3555300001889264E-2</c:v>
                </c:pt>
                <c:pt idx="773">
                  <c:v>-6.827095019768312E-3</c:v>
                </c:pt>
                <c:pt idx="774">
                  <c:v>1.2146661314362027E-2</c:v>
                </c:pt>
                <c:pt idx="775">
                  <c:v>4.6448776167289624E-2</c:v>
                </c:pt>
                <c:pt idx="776">
                  <c:v>-3.8571812895467406E-2</c:v>
                </c:pt>
                <c:pt idx="777">
                  <c:v>1.0013141176716917E-2</c:v>
                </c:pt>
                <c:pt idx="778">
                  <c:v>2.3110567562210471E-2</c:v>
                </c:pt>
                <c:pt idx="779">
                  <c:v>5.8877795081741978E-2</c:v>
                </c:pt>
                <c:pt idx="780">
                  <c:v>2.8907355608929874E-2</c:v>
                </c:pt>
                <c:pt idx="781">
                  <c:v>-1.013272683424456E-2</c:v>
                </c:pt>
                <c:pt idx="782">
                  <c:v>-1.6002798225375939E-2</c:v>
                </c:pt>
                <c:pt idx="783">
                  <c:v>-1.9125582806763804E-2</c:v>
                </c:pt>
                <c:pt idx="784">
                  <c:v>-2.4084114892319253E-2</c:v>
                </c:pt>
                <c:pt idx="785">
                  <c:v>-3.2399638965062531E-2</c:v>
                </c:pt>
                <c:pt idx="786">
                  <c:v>8.3082093695926989E-3</c:v>
                </c:pt>
                <c:pt idx="787">
                  <c:v>-2.2233654628078758E-2</c:v>
                </c:pt>
                <c:pt idx="788">
                  <c:v>1.3230095225049169E-2</c:v>
                </c:pt>
                <c:pt idx="789">
                  <c:v>6.4890211844131421E-3</c:v>
                </c:pt>
                <c:pt idx="790">
                  <c:v>2.2636980223000185E-2</c:v>
                </c:pt>
                <c:pt idx="791">
                  <c:v>-1.6407951113638738E-2</c:v>
                </c:pt>
                <c:pt idx="792">
                  <c:v>-1.2576763507306278E-2</c:v>
                </c:pt>
                <c:pt idx="793">
                  <c:v>1.5338123902080119E-2</c:v>
                </c:pt>
                <c:pt idx="794">
                  <c:v>2.7564466509324211E-2</c:v>
                </c:pt>
                <c:pt idx="795">
                  <c:v>1.2089075422996524E-2</c:v>
                </c:pt>
                <c:pt idx="796">
                  <c:v>-1.1545619877237951E-2</c:v>
                </c:pt>
                <c:pt idx="797">
                  <c:v>1.6319947953424889E-2</c:v>
                </c:pt>
                <c:pt idx="798">
                  <c:v>2.4182770927774939E-3</c:v>
                </c:pt>
                <c:pt idx="799">
                  <c:v>-1.1217386360229922E-2</c:v>
                </c:pt>
                <c:pt idx="800">
                  <c:v>2.6064240326389539E-2</c:v>
                </c:pt>
                <c:pt idx="801">
                  <c:v>-1.9809138051202577E-2</c:v>
                </c:pt>
                <c:pt idx="802">
                  <c:v>-2.0318845774802721E-2</c:v>
                </c:pt>
                <c:pt idx="803">
                  <c:v>-1.7755167617507981E-2</c:v>
                </c:pt>
                <c:pt idx="804">
                  <c:v>-5.8206486979889057E-3</c:v>
                </c:pt>
                <c:pt idx="805">
                  <c:v>-2.4106435567569577E-2</c:v>
                </c:pt>
                <c:pt idx="806">
                  <c:v>9.8068793938619059E-3</c:v>
                </c:pt>
                <c:pt idx="807">
                  <c:v>5.6319064800804917E-2</c:v>
                </c:pt>
                <c:pt idx="808">
                  <c:v>4.1168945200670617E-2</c:v>
                </c:pt>
                <c:pt idx="809">
                  <c:v>2.1441931725043797E-2</c:v>
                </c:pt>
                <c:pt idx="810">
                  <c:v>1.2496335517299595E-2</c:v>
                </c:pt>
                <c:pt idx="811">
                  <c:v>-3.8221379412908402E-2</c:v>
                </c:pt>
                <c:pt idx="812">
                  <c:v>-1.5646708370180718E-2</c:v>
                </c:pt>
                <c:pt idx="813">
                  <c:v>-3.921781101304183E-2</c:v>
                </c:pt>
                <c:pt idx="814">
                  <c:v>1.0529615764183927E-3</c:v>
                </c:pt>
                <c:pt idx="815">
                  <c:v>1.0638250431571373E-2</c:v>
                </c:pt>
                <c:pt idx="816">
                  <c:v>-2.8772212884860825E-2</c:v>
                </c:pt>
                <c:pt idx="817">
                  <c:v>-1.6720529569335306E-2</c:v>
                </c:pt>
                <c:pt idx="818">
                  <c:v>-1.8739553371230042E-2</c:v>
                </c:pt>
                <c:pt idx="819">
                  <c:v>-1.4551625065580585E-2</c:v>
                </c:pt>
                <c:pt idx="820">
                  <c:v>1.9803465886430935E-3</c:v>
                </c:pt>
                <c:pt idx="821">
                  <c:v>8.8268972257261862E-3</c:v>
                </c:pt>
                <c:pt idx="822">
                  <c:v>6.8169538066344495E-4</c:v>
                </c:pt>
                <c:pt idx="823">
                  <c:v>6.1023217561351675E-3</c:v>
                </c:pt>
                <c:pt idx="824">
                  <c:v>-2.5340330231142079E-2</c:v>
                </c:pt>
                <c:pt idx="825">
                  <c:v>-1.2738952518619976E-3</c:v>
                </c:pt>
                <c:pt idx="826">
                  <c:v>1.8993059247920704E-2</c:v>
                </c:pt>
                <c:pt idx="827">
                  <c:v>3.6325192890419356E-2</c:v>
                </c:pt>
                <c:pt idx="828">
                  <c:v>3.5526856113601603E-2</c:v>
                </c:pt>
                <c:pt idx="829">
                  <c:v>-1.7527576124390602E-2</c:v>
                </c:pt>
                <c:pt idx="830">
                  <c:v>9.1367346750015257E-3</c:v>
                </c:pt>
                <c:pt idx="831">
                  <c:v>-2.1747174177408103E-2</c:v>
                </c:pt>
                <c:pt idx="832">
                  <c:v>2.839237323987697E-3</c:v>
                </c:pt>
                <c:pt idx="833">
                  <c:v>3.706685872260241E-2</c:v>
                </c:pt>
                <c:pt idx="834">
                  <c:v>-2.6815007506359768E-2</c:v>
                </c:pt>
                <c:pt idx="835">
                  <c:v>4.4635443181392204E-2</c:v>
                </c:pt>
                <c:pt idx="836">
                  <c:v>1.8783032741917571E-2</c:v>
                </c:pt>
                <c:pt idx="837">
                  <c:v>3.5456580444952037E-3</c:v>
                </c:pt>
                <c:pt idx="838">
                  <c:v>2.6389586650375021E-2</c:v>
                </c:pt>
                <c:pt idx="839">
                  <c:v>2.1996414497734703E-2</c:v>
                </c:pt>
                <c:pt idx="840">
                  <c:v>-7.8905360532785379E-3</c:v>
                </c:pt>
                <c:pt idx="841">
                  <c:v>-6.2685590309373325E-3</c:v>
                </c:pt>
                <c:pt idx="842">
                  <c:v>-2.6098259765311416E-3</c:v>
                </c:pt>
                <c:pt idx="843">
                  <c:v>3.9175928832419653E-2</c:v>
                </c:pt>
                <c:pt idx="844">
                  <c:v>-1.5187297690247584E-2</c:v>
                </c:pt>
                <c:pt idx="845">
                  <c:v>4.9691749511181806E-3</c:v>
                </c:pt>
                <c:pt idx="846">
                  <c:v>1.0023630108805479E-2</c:v>
                </c:pt>
                <c:pt idx="847">
                  <c:v>1.4543475642171599E-3</c:v>
                </c:pt>
                <c:pt idx="848">
                  <c:v>-3.18311978845916E-2</c:v>
                </c:pt>
                <c:pt idx="849">
                  <c:v>2.8311182620755347E-2</c:v>
                </c:pt>
                <c:pt idx="850">
                  <c:v>-2.1698079415639063E-2</c:v>
                </c:pt>
                <c:pt idx="851">
                  <c:v>-3.2713821431470995E-2</c:v>
                </c:pt>
                <c:pt idx="852">
                  <c:v>3.6682265050669099E-3</c:v>
                </c:pt>
                <c:pt idx="853">
                  <c:v>-1.5363193555297833E-2</c:v>
                </c:pt>
                <c:pt idx="854">
                  <c:v>3.3011734461473249E-2</c:v>
                </c:pt>
                <c:pt idx="855">
                  <c:v>1.9885114670932569E-2</c:v>
                </c:pt>
                <c:pt idx="856">
                  <c:v>-5.7112002080296556E-2</c:v>
                </c:pt>
                <c:pt idx="857">
                  <c:v>1.5844602496384981E-2</c:v>
                </c:pt>
                <c:pt idx="858">
                  <c:v>3.6239940601119772E-3</c:v>
                </c:pt>
                <c:pt idx="859">
                  <c:v>-2.827676765257991E-4</c:v>
                </c:pt>
                <c:pt idx="860">
                  <c:v>1.7636544185715849E-3</c:v>
                </c:pt>
                <c:pt idx="861">
                  <c:v>3.6976647876563939E-3</c:v>
                </c:pt>
                <c:pt idx="862">
                  <c:v>3.8656441986220738E-3</c:v>
                </c:pt>
                <c:pt idx="863">
                  <c:v>-3.1015495205342417E-2</c:v>
                </c:pt>
                <c:pt idx="864">
                  <c:v>2.4542508241299473E-3</c:v>
                </c:pt>
                <c:pt idx="865">
                  <c:v>1.0869592738574501E-2</c:v>
                </c:pt>
                <c:pt idx="866">
                  <c:v>-1.4583359953650352E-2</c:v>
                </c:pt>
                <c:pt idx="867">
                  <c:v>2.352553088627414E-2</c:v>
                </c:pt>
                <c:pt idx="868">
                  <c:v>-7.834753346313355E-4</c:v>
                </c:pt>
                <c:pt idx="869">
                  <c:v>1.5709740210385403E-2</c:v>
                </c:pt>
                <c:pt idx="870">
                  <c:v>-1.7936327098612623E-2</c:v>
                </c:pt>
                <c:pt idx="871">
                  <c:v>8.8406357180433118E-3</c:v>
                </c:pt>
                <c:pt idx="872">
                  <c:v>2.3789412151611899E-2</c:v>
                </c:pt>
                <c:pt idx="873">
                  <c:v>1.2727376433400351E-2</c:v>
                </c:pt>
                <c:pt idx="874">
                  <c:v>1.8113918980476339E-2</c:v>
                </c:pt>
                <c:pt idx="875">
                  <c:v>-7.8796106643554964E-3</c:v>
                </c:pt>
                <c:pt idx="876">
                  <c:v>1.5954727190402883E-2</c:v>
                </c:pt>
                <c:pt idx="877">
                  <c:v>1.2780623536937928E-2</c:v>
                </c:pt>
                <c:pt idx="878">
                  <c:v>-4.2577034103073563E-2</c:v>
                </c:pt>
                <c:pt idx="879">
                  <c:v>-1.8609004877550551E-2</c:v>
                </c:pt>
                <c:pt idx="880">
                  <c:v>-8.2134503268423628E-3</c:v>
                </c:pt>
                <c:pt idx="881">
                  <c:v>2.2607990484988485E-2</c:v>
                </c:pt>
                <c:pt idx="882">
                  <c:v>-2.2343330226665077E-2</c:v>
                </c:pt>
                <c:pt idx="883">
                  <c:v>9.9563118473010633E-3</c:v>
                </c:pt>
                <c:pt idx="884">
                  <c:v>-2.9961036727566689E-3</c:v>
                </c:pt>
                <c:pt idx="885">
                  <c:v>-2.2154604635017314E-2</c:v>
                </c:pt>
                <c:pt idx="886">
                  <c:v>4.9944772342587748E-2</c:v>
                </c:pt>
                <c:pt idx="887">
                  <c:v>3.0526305462852963E-3</c:v>
                </c:pt>
                <c:pt idx="888">
                  <c:v>4.8446743977481437E-2</c:v>
                </c:pt>
                <c:pt idx="889">
                  <c:v>1.3186413363840865E-2</c:v>
                </c:pt>
                <c:pt idx="890">
                  <c:v>-2.1746686423687444E-2</c:v>
                </c:pt>
                <c:pt idx="891">
                  <c:v>2.2572453969991083E-2</c:v>
                </c:pt>
                <c:pt idx="892">
                  <c:v>-2.6456933331344062E-2</c:v>
                </c:pt>
                <c:pt idx="893">
                  <c:v>-1.4601880693576498E-2</c:v>
                </c:pt>
                <c:pt idx="894">
                  <c:v>-4.3360721897846063E-3</c:v>
                </c:pt>
                <c:pt idx="895">
                  <c:v>-5.1869110724093656E-3</c:v>
                </c:pt>
                <c:pt idx="896">
                  <c:v>2.722474404706147E-3</c:v>
                </c:pt>
                <c:pt idx="897">
                  <c:v>-2.1491569135888771E-2</c:v>
                </c:pt>
                <c:pt idx="898">
                  <c:v>1.727161084432538E-2</c:v>
                </c:pt>
                <c:pt idx="899">
                  <c:v>1.8597662924399665E-2</c:v>
                </c:pt>
                <c:pt idx="900">
                  <c:v>5.781270217491332E-4</c:v>
                </c:pt>
                <c:pt idx="901">
                  <c:v>-1.9759790833856095E-2</c:v>
                </c:pt>
                <c:pt idx="902">
                  <c:v>-1.5536270353047214E-2</c:v>
                </c:pt>
                <c:pt idx="903">
                  <c:v>-2.439430822240931E-2</c:v>
                </c:pt>
                <c:pt idx="904">
                  <c:v>3.3376120478245806E-2</c:v>
                </c:pt>
                <c:pt idx="905">
                  <c:v>3.2620169761487694E-3</c:v>
                </c:pt>
                <c:pt idx="906">
                  <c:v>-1.2096943283041553E-2</c:v>
                </c:pt>
                <c:pt idx="907">
                  <c:v>6.614028200456902E-3</c:v>
                </c:pt>
                <c:pt idx="908">
                  <c:v>-2.1224455651815913E-2</c:v>
                </c:pt>
                <c:pt idx="909">
                  <c:v>2.7503716722256873E-2</c:v>
                </c:pt>
                <c:pt idx="910">
                  <c:v>1.8654356981317641E-3</c:v>
                </c:pt>
                <c:pt idx="911">
                  <c:v>1.5185696962467474E-2</c:v>
                </c:pt>
                <c:pt idx="912">
                  <c:v>4.0323834627958029E-2</c:v>
                </c:pt>
                <c:pt idx="913">
                  <c:v>1.1329154011520371E-3</c:v>
                </c:pt>
                <c:pt idx="914">
                  <c:v>-1.3510712467635024E-2</c:v>
                </c:pt>
                <c:pt idx="915">
                  <c:v>3.3729690792604204E-2</c:v>
                </c:pt>
                <c:pt idx="916">
                  <c:v>1.0024042890967604E-2</c:v>
                </c:pt>
                <c:pt idx="917">
                  <c:v>1.4946935264621316E-2</c:v>
                </c:pt>
                <c:pt idx="918">
                  <c:v>-3.7630035095280435E-2</c:v>
                </c:pt>
                <c:pt idx="919">
                  <c:v>-8.9096192881024071E-3</c:v>
                </c:pt>
                <c:pt idx="920">
                  <c:v>-1.6424899818463647E-2</c:v>
                </c:pt>
                <c:pt idx="921">
                  <c:v>-9.3008497824615156E-3</c:v>
                </c:pt>
                <c:pt idx="922">
                  <c:v>8.3780016864364992E-3</c:v>
                </c:pt>
                <c:pt idx="923">
                  <c:v>1.4691905737364336E-3</c:v>
                </c:pt>
                <c:pt idx="924">
                  <c:v>-5.2585072815225335E-2</c:v>
                </c:pt>
                <c:pt idx="925">
                  <c:v>4.3870614548359608E-3</c:v>
                </c:pt>
                <c:pt idx="926">
                  <c:v>1.9486752448441811E-2</c:v>
                </c:pt>
                <c:pt idx="927">
                  <c:v>2.2451000558206924E-2</c:v>
                </c:pt>
                <c:pt idx="928">
                  <c:v>5.5231528284765898E-4</c:v>
                </c:pt>
                <c:pt idx="929">
                  <c:v>-2.0344859954750414E-2</c:v>
                </c:pt>
                <c:pt idx="930">
                  <c:v>1.1407610278629564E-2</c:v>
                </c:pt>
                <c:pt idx="931">
                  <c:v>2.6005809543041339E-3</c:v>
                </c:pt>
                <c:pt idx="932">
                  <c:v>-2.5332871954307421E-2</c:v>
                </c:pt>
                <c:pt idx="933">
                  <c:v>-1.7400699717347794E-3</c:v>
                </c:pt>
                <c:pt idx="934">
                  <c:v>-1.7762276241293597E-2</c:v>
                </c:pt>
                <c:pt idx="935">
                  <c:v>2.4697259784600745E-2</c:v>
                </c:pt>
                <c:pt idx="936">
                  <c:v>1.2072916581966894E-2</c:v>
                </c:pt>
                <c:pt idx="937">
                  <c:v>8.7265801110840042E-3</c:v>
                </c:pt>
                <c:pt idx="938">
                  <c:v>-1.082852645533762E-2</c:v>
                </c:pt>
                <c:pt idx="939">
                  <c:v>-9.0929321488711218E-3</c:v>
                </c:pt>
                <c:pt idx="940">
                  <c:v>4.4794244275981679E-2</c:v>
                </c:pt>
                <c:pt idx="941">
                  <c:v>-2.4010360935314431E-2</c:v>
                </c:pt>
                <c:pt idx="942">
                  <c:v>1.1462227719305501E-2</c:v>
                </c:pt>
                <c:pt idx="943">
                  <c:v>1.9167214696521037E-2</c:v>
                </c:pt>
                <c:pt idx="944">
                  <c:v>2.9309520853557522E-2</c:v>
                </c:pt>
                <c:pt idx="945">
                  <c:v>-1.9799166840049523E-2</c:v>
                </c:pt>
                <c:pt idx="946">
                  <c:v>-5.760668347821938E-3</c:v>
                </c:pt>
                <c:pt idx="947">
                  <c:v>-2.6308670730672726E-2</c:v>
                </c:pt>
                <c:pt idx="948">
                  <c:v>-2.8425126249845462E-2</c:v>
                </c:pt>
                <c:pt idx="949">
                  <c:v>-3.2876788200227416E-3</c:v>
                </c:pt>
                <c:pt idx="950">
                  <c:v>3.7138342287422821E-3</c:v>
                </c:pt>
                <c:pt idx="951">
                  <c:v>1.283545660741733E-2</c:v>
                </c:pt>
                <c:pt idx="952">
                  <c:v>1.3312258612968867E-2</c:v>
                </c:pt>
                <c:pt idx="953">
                  <c:v>9.4312943666623947E-3</c:v>
                </c:pt>
                <c:pt idx="954">
                  <c:v>1.9371510001270839E-2</c:v>
                </c:pt>
                <c:pt idx="955">
                  <c:v>-1.9238810120976311E-2</c:v>
                </c:pt>
                <c:pt idx="956">
                  <c:v>5.6960802323988834E-2</c:v>
                </c:pt>
                <c:pt idx="957">
                  <c:v>-2.4612096242673662E-2</c:v>
                </c:pt>
                <c:pt idx="958">
                  <c:v>-2.72301637773989E-2</c:v>
                </c:pt>
                <c:pt idx="959">
                  <c:v>-5.7716079608563422E-3</c:v>
                </c:pt>
                <c:pt idx="960">
                  <c:v>2.1598999714898606E-2</c:v>
                </c:pt>
                <c:pt idx="961">
                  <c:v>-2.5485376038431439E-2</c:v>
                </c:pt>
                <c:pt idx="962">
                  <c:v>-1.8891932392345472E-2</c:v>
                </c:pt>
                <c:pt idx="963">
                  <c:v>1.5648416720319271E-2</c:v>
                </c:pt>
                <c:pt idx="964">
                  <c:v>3.442777934229628E-2</c:v>
                </c:pt>
                <c:pt idx="965">
                  <c:v>-3.6289018993822697E-2</c:v>
                </c:pt>
                <c:pt idx="966">
                  <c:v>3.9908005839500221E-3</c:v>
                </c:pt>
                <c:pt idx="967">
                  <c:v>-2.2746324354898546E-2</c:v>
                </c:pt>
                <c:pt idx="968">
                  <c:v>1.7034986821702392E-2</c:v>
                </c:pt>
                <c:pt idx="969">
                  <c:v>4.5935399056570474E-3</c:v>
                </c:pt>
                <c:pt idx="970">
                  <c:v>-8.9017364036047819E-3</c:v>
                </c:pt>
                <c:pt idx="971">
                  <c:v>2.4313440366335239E-2</c:v>
                </c:pt>
                <c:pt idx="972">
                  <c:v>2.0930997830339287E-3</c:v>
                </c:pt>
                <c:pt idx="973">
                  <c:v>1.5238843218820398E-2</c:v>
                </c:pt>
                <c:pt idx="974">
                  <c:v>-3.5902417384438882E-3</c:v>
                </c:pt>
                <c:pt idx="975">
                  <c:v>1.5794598325776562E-2</c:v>
                </c:pt>
                <c:pt idx="976">
                  <c:v>2.7503699059659936E-2</c:v>
                </c:pt>
                <c:pt idx="977">
                  <c:v>2.6980793907433687E-2</c:v>
                </c:pt>
                <c:pt idx="978">
                  <c:v>-8.4619910136410938E-3</c:v>
                </c:pt>
                <c:pt idx="979">
                  <c:v>1.4149947281668312E-3</c:v>
                </c:pt>
                <c:pt idx="980">
                  <c:v>2.2120022647015989E-2</c:v>
                </c:pt>
                <c:pt idx="981">
                  <c:v>-3.537594801111419E-2</c:v>
                </c:pt>
                <c:pt idx="982">
                  <c:v>-1.9561228700060462E-3</c:v>
                </c:pt>
                <c:pt idx="983">
                  <c:v>-4.5482734409735784E-2</c:v>
                </c:pt>
                <c:pt idx="984">
                  <c:v>-2.5010566076159341E-2</c:v>
                </c:pt>
                <c:pt idx="985">
                  <c:v>-2.3697564804779102E-2</c:v>
                </c:pt>
                <c:pt idx="986">
                  <c:v>-9.0257280098664811E-3</c:v>
                </c:pt>
                <c:pt idx="987">
                  <c:v>8.0326418309676888E-3</c:v>
                </c:pt>
                <c:pt idx="988">
                  <c:v>-4.2562489544752655E-2</c:v>
                </c:pt>
                <c:pt idx="989">
                  <c:v>-1.1997700170505958E-2</c:v>
                </c:pt>
                <c:pt idx="990">
                  <c:v>-2.6665252256839318E-2</c:v>
                </c:pt>
                <c:pt idx="991">
                  <c:v>4.0820984436668845E-2</c:v>
                </c:pt>
                <c:pt idx="992">
                  <c:v>2.0230473414615369E-2</c:v>
                </c:pt>
                <c:pt idx="993">
                  <c:v>-1.3191738421970221E-3</c:v>
                </c:pt>
                <c:pt idx="994">
                  <c:v>2.2005256620593897E-2</c:v>
                </c:pt>
                <c:pt idx="995">
                  <c:v>-3.3263858420807015E-2</c:v>
                </c:pt>
                <c:pt idx="996">
                  <c:v>1.0635997158776991E-2</c:v>
                </c:pt>
                <c:pt idx="997">
                  <c:v>1.1586077243489866E-2</c:v>
                </c:pt>
                <c:pt idx="998">
                  <c:v>1.3763654334100383E-2</c:v>
                </c:pt>
                <c:pt idx="999">
                  <c:v>3.6136562994992405E-2</c:v>
                </c:pt>
                <c:pt idx="1000">
                  <c:v>8.4133524426825961E-3</c:v>
                </c:pt>
                <c:pt idx="1001">
                  <c:v>-2.6074155776043832E-3</c:v>
                </c:pt>
                <c:pt idx="1002">
                  <c:v>2.3158690721946512E-2</c:v>
                </c:pt>
                <c:pt idx="1003">
                  <c:v>2.068546037348782E-2</c:v>
                </c:pt>
                <c:pt idx="1004">
                  <c:v>3.5623589067504097E-2</c:v>
                </c:pt>
                <c:pt idx="1005">
                  <c:v>2.2053020870987705E-2</c:v>
                </c:pt>
                <c:pt idx="1006">
                  <c:v>1.4713667027687227E-2</c:v>
                </c:pt>
                <c:pt idx="1007">
                  <c:v>6.9424134686968744E-3</c:v>
                </c:pt>
                <c:pt idx="1008">
                  <c:v>4.2549106848921653E-3</c:v>
                </c:pt>
                <c:pt idx="1009">
                  <c:v>3.7911113094656239E-3</c:v>
                </c:pt>
                <c:pt idx="1010">
                  <c:v>2.8622969884177653E-2</c:v>
                </c:pt>
                <c:pt idx="1011">
                  <c:v>-7.7964666344150831E-3</c:v>
                </c:pt>
                <c:pt idx="1012">
                  <c:v>7.0444431960755925E-3</c:v>
                </c:pt>
                <c:pt idx="1013">
                  <c:v>2.2640135507618366E-2</c:v>
                </c:pt>
                <c:pt idx="1014">
                  <c:v>-1.65905607101423E-3</c:v>
                </c:pt>
                <c:pt idx="1015">
                  <c:v>-5.1113560787325648E-3</c:v>
                </c:pt>
                <c:pt idx="1016">
                  <c:v>1.9506719993620544E-4</c:v>
                </c:pt>
                <c:pt idx="1017">
                  <c:v>3.5643328833259449E-2</c:v>
                </c:pt>
                <c:pt idx="1018">
                  <c:v>-1.3306982375583446E-2</c:v>
                </c:pt>
                <c:pt idx="1019">
                  <c:v>-4.3890315497105363E-2</c:v>
                </c:pt>
                <c:pt idx="1020">
                  <c:v>7.240729799642567E-3</c:v>
                </c:pt>
                <c:pt idx="1021">
                  <c:v>-1.8058188834079226E-3</c:v>
                </c:pt>
                <c:pt idx="1022">
                  <c:v>-1.9262920729149938E-2</c:v>
                </c:pt>
                <c:pt idx="1023">
                  <c:v>-9.2652059354976727E-3</c:v>
                </c:pt>
                <c:pt idx="1024">
                  <c:v>-4.1053643789895934E-2</c:v>
                </c:pt>
                <c:pt idx="1025">
                  <c:v>-2.5193803072788751E-2</c:v>
                </c:pt>
                <c:pt idx="1026">
                  <c:v>-6.6645452282431517E-2</c:v>
                </c:pt>
                <c:pt idx="1027">
                  <c:v>5.6095828659598491E-3</c:v>
                </c:pt>
                <c:pt idx="1028">
                  <c:v>2.6179921900066514E-3</c:v>
                </c:pt>
                <c:pt idx="1029">
                  <c:v>3.0470905779592154E-2</c:v>
                </c:pt>
                <c:pt idx="1030">
                  <c:v>2.331680390636854E-2</c:v>
                </c:pt>
                <c:pt idx="1031">
                  <c:v>-3.4754394548659244E-2</c:v>
                </c:pt>
                <c:pt idx="1032">
                  <c:v>3.6315585800875891E-2</c:v>
                </c:pt>
                <c:pt idx="1033">
                  <c:v>3.1510338777256189E-2</c:v>
                </c:pt>
                <c:pt idx="1034">
                  <c:v>-1.1612322976697731E-2</c:v>
                </c:pt>
                <c:pt idx="1035">
                  <c:v>-1.9039832628171268E-2</c:v>
                </c:pt>
                <c:pt idx="1036">
                  <c:v>-4.8551083128051484E-3</c:v>
                </c:pt>
                <c:pt idx="1037">
                  <c:v>8.9519773042880876E-3</c:v>
                </c:pt>
                <c:pt idx="1038">
                  <c:v>-3.3460007725129637E-2</c:v>
                </c:pt>
                <c:pt idx="1039">
                  <c:v>5.7473038872150987E-3</c:v>
                </c:pt>
                <c:pt idx="1040">
                  <c:v>-2.6023735332490104E-2</c:v>
                </c:pt>
                <c:pt idx="1041">
                  <c:v>3.0530911354053572E-2</c:v>
                </c:pt>
                <c:pt idx="1042">
                  <c:v>-1.1105019529178872E-2</c:v>
                </c:pt>
                <c:pt idx="1043">
                  <c:v>-4.2310516729380382E-3</c:v>
                </c:pt>
                <c:pt idx="1044">
                  <c:v>8.7571175077532232E-3</c:v>
                </c:pt>
                <c:pt idx="1045">
                  <c:v>1.2117819614541756E-2</c:v>
                </c:pt>
                <c:pt idx="1046">
                  <c:v>2.1207312030373932E-2</c:v>
                </c:pt>
                <c:pt idx="1047">
                  <c:v>-6.2535700582150994E-2</c:v>
                </c:pt>
                <c:pt idx="1048">
                  <c:v>4.9703429540768947E-3</c:v>
                </c:pt>
                <c:pt idx="1049">
                  <c:v>-1.0213516461612809E-3</c:v>
                </c:pt>
                <c:pt idx="1050">
                  <c:v>5.1109818245726156E-3</c:v>
                </c:pt>
                <c:pt idx="1051">
                  <c:v>-2.7980461075920501E-3</c:v>
                </c:pt>
                <c:pt idx="1052">
                  <c:v>-9.627045606772423E-3</c:v>
                </c:pt>
                <c:pt idx="1053">
                  <c:v>7.1783183332657669E-3</c:v>
                </c:pt>
                <c:pt idx="1054">
                  <c:v>1.8481987344969E-2</c:v>
                </c:pt>
                <c:pt idx="1055">
                  <c:v>-1.9151222491156808E-3</c:v>
                </c:pt>
                <c:pt idx="1056">
                  <c:v>-2.2648348360120078E-2</c:v>
                </c:pt>
                <c:pt idx="1057">
                  <c:v>-4.3054489492186394E-3</c:v>
                </c:pt>
                <c:pt idx="1058">
                  <c:v>-3.6411894338902275E-2</c:v>
                </c:pt>
                <c:pt idx="1059">
                  <c:v>5.8608793519538561E-3</c:v>
                </c:pt>
                <c:pt idx="1060">
                  <c:v>-2.5351834561845171E-3</c:v>
                </c:pt>
                <c:pt idx="1061">
                  <c:v>7.3017746415509864E-3</c:v>
                </c:pt>
                <c:pt idx="1062">
                  <c:v>1.9104265597769322E-2</c:v>
                </c:pt>
                <c:pt idx="1063">
                  <c:v>2.3207668479768729E-3</c:v>
                </c:pt>
                <c:pt idx="1064">
                  <c:v>-3.1757750683482924E-2</c:v>
                </c:pt>
                <c:pt idx="1065">
                  <c:v>9.5555205398991875E-3</c:v>
                </c:pt>
                <c:pt idx="1066">
                  <c:v>-1.0304849727966177E-2</c:v>
                </c:pt>
                <c:pt idx="1067">
                  <c:v>2.3958436693346921E-2</c:v>
                </c:pt>
                <c:pt idx="1068">
                  <c:v>-9.7156283787465467E-3</c:v>
                </c:pt>
                <c:pt idx="1069">
                  <c:v>-2.713660064860205E-3</c:v>
                </c:pt>
                <c:pt idx="1070">
                  <c:v>-1.2168531108762978E-2</c:v>
                </c:pt>
                <c:pt idx="1071">
                  <c:v>8.2529418963525579E-3</c:v>
                </c:pt>
                <c:pt idx="1072">
                  <c:v>1.716462137120061E-2</c:v>
                </c:pt>
                <c:pt idx="1073">
                  <c:v>2.224491050967391E-2</c:v>
                </c:pt>
                <c:pt idx="1074">
                  <c:v>-1.8914192043002691E-2</c:v>
                </c:pt>
                <c:pt idx="1075">
                  <c:v>-1.9623398592675187E-2</c:v>
                </c:pt>
                <c:pt idx="1076">
                  <c:v>-3.3843962681928443E-2</c:v>
                </c:pt>
                <c:pt idx="1077">
                  <c:v>2.2716451663021567E-2</c:v>
                </c:pt>
                <c:pt idx="1078">
                  <c:v>3.5568573324509627E-2</c:v>
                </c:pt>
                <c:pt idx="1079">
                  <c:v>6.2394717546930493E-3</c:v>
                </c:pt>
                <c:pt idx="1080">
                  <c:v>-1.3183931235334873E-2</c:v>
                </c:pt>
                <c:pt idx="1081">
                  <c:v>-2.5492930688272106E-2</c:v>
                </c:pt>
                <c:pt idx="1082">
                  <c:v>-1.260689537075071E-2</c:v>
                </c:pt>
                <c:pt idx="1083">
                  <c:v>1.7653907332392277E-2</c:v>
                </c:pt>
                <c:pt idx="1084">
                  <c:v>1.4282227739076064E-2</c:v>
                </c:pt>
                <c:pt idx="1085">
                  <c:v>2.1624213736831429E-3</c:v>
                </c:pt>
                <c:pt idx="1086">
                  <c:v>1.4572359004239272E-2</c:v>
                </c:pt>
                <c:pt idx="1087">
                  <c:v>-2.0546268952457886E-2</c:v>
                </c:pt>
                <c:pt idx="1088">
                  <c:v>-5.7031719337178315E-2</c:v>
                </c:pt>
                <c:pt idx="1089">
                  <c:v>-9.6847737094043346E-3</c:v>
                </c:pt>
                <c:pt idx="1090">
                  <c:v>-2.0925870358843066E-2</c:v>
                </c:pt>
                <c:pt idx="1091">
                  <c:v>4.2617350889885219E-2</c:v>
                </c:pt>
                <c:pt idx="1092">
                  <c:v>2.25223343679624E-3</c:v>
                </c:pt>
                <c:pt idx="1093">
                  <c:v>-1.0210367477746746E-2</c:v>
                </c:pt>
                <c:pt idx="1094">
                  <c:v>1.8570599997663906E-2</c:v>
                </c:pt>
                <c:pt idx="1095">
                  <c:v>6.2711665580760714E-3</c:v>
                </c:pt>
                <c:pt idx="1096">
                  <c:v>-2.4322346219180255E-2</c:v>
                </c:pt>
                <c:pt idx="1097">
                  <c:v>1.302559997287854E-2</c:v>
                </c:pt>
                <c:pt idx="1098">
                  <c:v>-8.0300076480859257E-3</c:v>
                </c:pt>
                <c:pt idx="1099">
                  <c:v>1.0068824720823677E-3</c:v>
                </c:pt>
                <c:pt idx="1100">
                  <c:v>-6.8934031046440341E-3</c:v>
                </c:pt>
                <c:pt idx="1101">
                  <c:v>1.4218348220605219E-2</c:v>
                </c:pt>
                <c:pt idx="1102">
                  <c:v>5.9438973384098835E-3</c:v>
                </c:pt>
                <c:pt idx="1103">
                  <c:v>1.9373223827405493E-2</c:v>
                </c:pt>
                <c:pt idx="1104">
                  <c:v>2.5189340304395319E-2</c:v>
                </c:pt>
                <c:pt idx="1105">
                  <c:v>2.2628735902934322E-2</c:v>
                </c:pt>
                <c:pt idx="1106">
                  <c:v>-3.1351560428061781E-2</c:v>
                </c:pt>
                <c:pt idx="1107">
                  <c:v>3.4366639702434587E-2</c:v>
                </c:pt>
                <c:pt idx="1108">
                  <c:v>1.5104195423234979E-2</c:v>
                </c:pt>
                <c:pt idx="1109">
                  <c:v>1.4401135779919368E-2</c:v>
                </c:pt>
                <c:pt idx="1110">
                  <c:v>-1.2098066962627772E-2</c:v>
                </c:pt>
                <c:pt idx="1111">
                  <c:v>1.8531457781346967E-2</c:v>
                </c:pt>
                <c:pt idx="1112">
                  <c:v>7.4621400273620301E-3</c:v>
                </c:pt>
                <c:pt idx="1113">
                  <c:v>2.1080645526961324E-2</c:v>
                </c:pt>
                <c:pt idx="1114">
                  <c:v>8.261696991279344E-3</c:v>
                </c:pt>
                <c:pt idx="1115">
                  <c:v>3.3889263542271196E-2</c:v>
                </c:pt>
                <c:pt idx="1116">
                  <c:v>3.1636485737875017E-2</c:v>
                </c:pt>
                <c:pt idx="1117">
                  <c:v>2.9867627518275253E-2</c:v>
                </c:pt>
                <c:pt idx="1118">
                  <c:v>3.9040203097393755E-2</c:v>
                </c:pt>
                <c:pt idx="1119">
                  <c:v>4.1206845466706249E-3</c:v>
                </c:pt>
                <c:pt idx="1120">
                  <c:v>-3.3426445609059829E-2</c:v>
                </c:pt>
                <c:pt idx="1121">
                  <c:v>3.7835416711077624E-2</c:v>
                </c:pt>
                <c:pt idx="1122">
                  <c:v>1.6089528487310918E-3</c:v>
                </c:pt>
                <c:pt idx="1123">
                  <c:v>-7.7808036832904687E-3</c:v>
                </c:pt>
                <c:pt idx="1124">
                  <c:v>8.0966506965818082E-3</c:v>
                </c:pt>
                <c:pt idx="1125">
                  <c:v>5.6609965001003532E-3</c:v>
                </c:pt>
                <c:pt idx="1126">
                  <c:v>3.0369114839761634E-2</c:v>
                </c:pt>
                <c:pt idx="1127">
                  <c:v>-1.3511554001434561E-2</c:v>
                </c:pt>
                <c:pt idx="1128">
                  <c:v>4.6896612341752464E-2</c:v>
                </c:pt>
                <c:pt idx="1129">
                  <c:v>-1.4790571044213548E-2</c:v>
                </c:pt>
                <c:pt idx="1130">
                  <c:v>3.673924721975054E-2</c:v>
                </c:pt>
                <c:pt idx="1131">
                  <c:v>-5.1238361671760671E-2</c:v>
                </c:pt>
                <c:pt idx="1132">
                  <c:v>4.8506351437593923E-3</c:v>
                </c:pt>
                <c:pt idx="1133">
                  <c:v>-9.7593526833011576E-3</c:v>
                </c:pt>
                <c:pt idx="1134">
                  <c:v>2.5091316266885304E-3</c:v>
                </c:pt>
                <c:pt idx="1135">
                  <c:v>-3.4368728593250956E-2</c:v>
                </c:pt>
                <c:pt idx="1136">
                  <c:v>4.6929912367420319E-3</c:v>
                </c:pt>
                <c:pt idx="1137">
                  <c:v>1.7065908159662121E-2</c:v>
                </c:pt>
                <c:pt idx="1138">
                  <c:v>-4.1715329680140321E-3</c:v>
                </c:pt>
                <c:pt idx="1139">
                  <c:v>-1.3942048677934405E-2</c:v>
                </c:pt>
                <c:pt idx="1140">
                  <c:v>1.6067492335932375E-2</c:v>
                </c:pt>
                <c:pt idx="1141">
                  <c:v>-5.0315567630824978E-3</c:v>
                </c:pt>
                <c:pt idx="1142">
                  <c:v>-5.9379379261128035E-3</c:v>
                </c:pt>
                <c:pt idx="1143">
                  <c:v>1.3670924886726051E-3</c:v>
                </c:pt>
                <c:pt idx="1144">
                  <c:v>1.1104864848911987E-2</c:v>
                </c:pt>
                <c:pt idx="1145">
                  <c:v>5.1307089143271013E-2</c:v>
                </c:pt>
                <c:pt idx="1146">
                  <c:v>-1.6052425384951798E-2</c:v>
                </c:pt>
                <c:pt idx="1147">
                  <c:v>4.6636938215954535E-2</c:v>
                </c:pt>
                <c:pt idx="1148">
                  <c:v>-7.3602034771792189E-3</c:v>
                </c:pt>
                <c:pt idx="1149">
                  <c:v>5.2977403508678838E-3</c:v>
                </c:pt>
                <c:pt idx="1150">
                  <c:v>-2.0184079506784743E-2</c:v>
                </c:pt>
                <c:pt idx="1151">
                  <c:v>-2.3090416763689333E-2</c:v>
                </c:pt>
                <c:pt idx="1152">
                  <c:v>-2.3370808767614829E-2</c:v>
                </c:pt>
                <c:pt idx="1153">
                  <c:v>-1.5361986859183697E-2</c:v>
                </c:pt>
                <c:pt idx="1154">
                  <c:v>-2.1011002553772747E-3</c:v>
                </c:pt>
                <c:pt idx="1155">
                  <c:v>-2.3193830040276316E-2</c:v>
                </c:pt>
                <c:pt idx="1156">
                  <c:v>6.2634894407547589E-2</c:v>
                </c:pt>
                <c:pt idx="1157">
                  <c:v>-1.5554821928503246E-3</c:v>
                </c:pt>
                <c:pt idx="1158">
                  <c:v>-3.1295874390636351E-2</c:v>
                </c:pt>
                <c:pt idx="1159">
                  <c:v>6.0308246406895194E-3</c:v>
                </c:pt>
                <c:pt idx="1160">
                  <c:v>-1.5778812234472597E-2</c:v>
                </c:pt>
                <c:pt idx="1161">
                  <c:v>-3.6646092599925402E-3</c:v>
                </c:pt>
                <c:pt idx="1162">
                  <c:v>7.9262774373125053E-2</c:v>
                </c:pt>
                <c:pt idx="1163">
                  <c:v>1.6363505904681597E-2</c:v>
                </c:pt>
                <c:pt idx="1164">
                  <c:v>1.4016342917473838E-2</c:v>
                </c:pt>
                <c:pt idx="1165">
                  <c:v>1.5671245705654743E-2</c:v>
                </c:pt>
                <c:pt idx="1166">
                  <c:v>-9.6504290022069467E-3</c:v>
                </c:pt>
                <c:pt idx="1167">
                  <c:v>-2.355769002083884E-2</c:v>
                </c:pt>
                <c:pt idx="1168">
                  <c:v>1.537714000596355E-2</c:v>
                </c:pt>
                <c:pt idx="1169">
                  <c:v>-1.9869270210694984E-2</c:v>
                </c:pt>
                <c:pt idx="1170">
                  <c:v>4.6950320060021852E-2</c:v>
                </c:pt>
                <c:pt idx="1171">
                  <c:v>2.9339602031135417E-2</c:v>
                </c:pt>
                <c:pt idx="1172">
                  <c:v>-3.7762781787733804E-2</c:v>
                </c:pt>
                <c:pt idx="1173">
                  <c:v>4.4640971123399056E-2</c:v>
                </c:pt>
                <c:pt idx="1174">
                  <c:v>-3.7315237116120364E-2</c:v>
                </c:pt>
                <c:pt idx="1175">
                  <c:v>1.9492626621279756E-2</c:v>
                </c:pt>
                <c:pt idx="1176">
                  <c:v>7.117826157508042E-3</c:v>
                </c:pt>
                <c:pt idx="1177">
                  <c:v>6.140573715779158E-3</c:v>
                </c:pt>
                <c:pt idx="1178">
                  <c:v>8.9109283235363212E-3</c:v>
                </c:pt>
                <c:pt idx="1179">
                  <c:v>3.377590501486592E-3</c:v>
                </c:pt>
                <c:pt idx="1180">
                  <c:v>-5.3844946422696958E-2</c:v>
                </c:pt>
                <c:pt idx="1181">
                  <c:v>-2.5928644985201744E-2</c:v>
                </c:pt>
                <c:pt idx="1182">
                  <c:v>2.5946682598145691E-2</c:v>
                </c:pt>
                <c:pt idx="1183">
                  <c:v>-1.6421243812947212E-2</c:v>
                </c:pt>
                <c:pt idx="1184">
                  <c:v>-1.6528815283711598E-2</c:v>
                </c:pt>
                <c:pt idx="1185">
                  <c:v>-7.0877782079307554E-3</c:v>
                </c:pt>
                <c:pt idx="1186">
                  <c:v>-1.0972847247348571E-2</c:v>
                </c:pt>
                <c:pt idx="1187">
                  <c:v>-7.477797633930406E-3</c:v>
                </c:pt>
                <c:pt idx="1188">
                  <c:v>5.7488372918576121E-2</c:v>
                </c:pt>
                <c:pt idx="1189">
                  <c:v>-1.2445984444158129E-2</c:v>
                </c:pt>
                <c:pt idx="1190">
                  <c:v>1.1743621541598158E-2</c:v>
                </c:pt>
                <c:pt idx="1191">
                  <c:v>1.3793503670254739E-3</c:v>
                </c:pt>
                <c:pt idx="1192">
                  <c:v>-3.6623413516852527E-2</c:v>
                </c:pt>
                <c:pt idx="1193">
                  <c:v>3.9618671933521503E-3</c:v>
                </c:pt>
                <c:pt idx="1194">
                  <c:v>2.3304002899985285E-2</c:v>
                </c:pt>
                <c:pt idx="1195">
                  <c:v>4.7026140687903631E-3</c:v>
                </c:pt>
                <c:pt idx="1196">
                  <c:v>2.1717514276587881E-2</c:v>
                </c:pt>
                <c:pt idx="1197">
                  <c:v>5.4118186984034866E-3</c:v>
                </c:pt>
                <c:pt idx="1198">
                  <c:v>3.7654284781164049E-3</c:v>
                </c:pt>
                <c:pt idx="1199">
                  <c:v>-7.7753717798651149E-3</c:v>
                </c:pt>
                <c:pt idx="1200">
                  <c:v>1.3887225110301262E-2</c:v>
                </c:pt>
                <c:pt idx="1201">
                  <c:v>-2.8666373259034372E-2</c:v>
                </c:pt>
                <c:pt idx="1202">
                  <c:v>-3.4268276584073804E-2</c:v>
                </c:pt>
                <c:pt idx="1203">
                  <c:v>2.6479849182493943E-2</c:v>
                </c:pt>
                <c:pt idx="1204">
                  <c:v>-6.5468667372766496E-3</c:v>
                </c:pt>
                <c:pt idx="1205">
                  <c:v>-5.5016130752656239E-2</c:v>
                </c:pt>
                <c:pt idx="1206">
                  <c:v>9.1042406237991837E-3</c:v>
                </c:pt>
                <c:pt idx="1207">
                  <c:v>6.1209966912918257E-4</c:v>
                </c:pt>
                <c:pt idx="1208">
                  <c:v>1.061714329064219E-2</c:v>
                </c:pt>
                <c:pt idx="1209">
                  <c:v>-3.436555085561057E-2</c:v>
                </c:pt>
                <c:pt idx="1210">
                  <c:v>-7.1147574254721933E-3</c:v>
                </c:pt>
                <c:pt idx="1211">
                  <c:v>-3.9428231058271486E-2</c:v>
                </c:pt>
                <c:pt idx="1212">
                  <c:v>-1.7714418124646488E-3</c:v>
                </c:pt>
                <c:pt idx="1213">
                  <c:v>2.8679754999661462E-3</c:v>
                </c:pt>
                <c:pt idx="1214">
                  <c:v>3.1596337906639578E-2</c:v>
                </c:pt>
                <c:pt idx="1215">
                  <c:v>2.7355126577729278E-2</c:v>
                </c:pt>
                <c:pt idx="1216">
                  <c:v>-1.234435260253813E-2</c:v>
                </c:pt>
                <c:pt idx="1217">
                  <c:v>-3.4228741876223247E-2</c:v>
                </c:pt>
                <c:pt idx="1218">
                  <c:v>5.1298634892148181E-3</c:v>
                </c:pt>
                <c:pt idx="1219">
                  <c:v>2.6964943347242865E-2</c:v>
                </c:pt>
                <c:pt idx="1220">
                  <c:v>-2.7073975233414531E-2</c:v>
                </c:pt>
                <c:pt idx="1221">
                  <c:v>1.2417969213911768E-2</c:v>
                </c:pt>
                <c:pt idx="1222">
                  <c:v>4.5117369193084352E-2</c:v>
                </c:pt>
                <c:pt idx="1223">
                  <c:v>1.6040451076252647E-2</c:v>
                </c:pt>
                <c:pt idx="1224">
                  <c:v>-1.5575729839681627E-3</c:v>
                </c:pt>
                <c:pt idx="1225">
                  <c:v>-3.0812012358142032E-3</c:v>
                </c:pt>
                <c:pt idx="1226">
                  <c:v>5.062411392708098E-3</c:v>
                </c:pt>
                <c:pt idx="1227">
                  <c:v>-2.3516474863357829E-2</c:v>
                </c:pt>
                <c:pt idx="1228">
                  <c:v>4.1647897338421926E-2</c:v>
                </c:pt>
                <c:pt idx="1229">
                  <c:v>1.3475899222066627E-2</c:v>
                </c:pt>
                <c:pt idx="1230">
                  <c:v>-3.5258467628376151E-2</c:v>
                </c:pt>
                <c:pt idx="1231">
                  <c:v>-1.8091425690549792E-2</c:v>
                </c:pt>
                <c:pt idx="1232">
                  <c:v>-1.8603933992998423E-2</c:v>
                </c:pt>
                <c:pt idx="1233">
                  <c:v>-1.6412179027552903E-2</c:v>
                </c:pt>
                <c:pt idx="1234">
                  <c:v>4.0657997830537612E-2</c:v>
                </c:pt>
                <c:pt idx="1235">
                  <c:v>-8.1628661033082035E-3</c:v>
                </c:pt>
                <c:pt idx="1236">
                  <c:v>-7.7455270015257521E-3</c:v>
                </c:pt>
                <c:pt idx="1237">
                  <c:v>-2.7236335272573235E-2</c:v>
                </c:pt>
                <c:pt idx="1238">
                  <c:v>3.1400832561972332E-3</c:v>
                </c:pt>
                <c:pt idx="1239">
                  <c:v>6.3923988930040549E-3</c:v>
                </c:pt>
                <c:pt idx="1240">
                  <c:v>3.1083339123419557E-2</c:v>
                </c:pt>
                <c:pt idx="1241">
                  <c:v>-7.8350377190720064E-3</c:v>
                </c:pt>
                <c:pt idx="1242">
                  <c:v>1.4984032949109471E-2</c:v>
                </c:pt>
                <c:pt idx="1243">
                  <c:v>2.101997131589602E-2</c:v>
                </c:pt>
                <c:pt idx="1244">
                  <c:v>2.0274009383898961E-3</c:v>
                </c:pt>
                <c:pt idx="1245">
                  <c:v>1.2303707786282134E-2</c:v>
                </c:pt>
                <c:pt idx="1246">
                  <c:v>2.9889708401737588E-3</c:v>
                </c:pt>
                <c:pt idx="1247">
                  <c:v>3.2823418166712866E-2</c:v>
                </c:pt>
                <c:pt idx="1248">
                  <c:v>3.0329848304599543E-2</c:v>
                </c:pt>
                <c:pt idx="1249">
                  <c:v>-5.6717180668334807E-3</c:v>
                </c:pt>
                <c:pt idx="1250">
                  <c:v>-2.416450781248148E-2</c:v>
                </c:pt>
                <c:pt idx="1251">
                  <c:v>-3.5478499430419731E-2</c:v>
                </c:pt>
                <c:pt idx="1252">
                  <c:v>-3.9947930693271048E-3</c:v>
                </c:pt>
                <c:pt idx="1253">
                  <c:v>-9.1189815949070142E-3</c:v>
                </c:pt>
                <c:pt idx="1254">
                  <c:v>6.8097623414161354E-3</c:v>
                </c:pt>
                <c:pt idx="1255">
                  <c:v>8.5266285973295778E-3</c:v>
                </c:pt>
                <c:pt idx="1256">
                  <c:v>6.0395817720692246E-5</c:v>
                </c:pt>
                <c:pt idx="1257">
                  <c:v>5.088840805692741E-2</c:v>
                </c:pt>
                <c:pt idx="1258">
                  <c:v>-1.0826323210060926E-2</c:v>
                </c:pt>
                <c:pt idx="1259">
                  <c:v>-3.7304250539202728E-2</c:v>
                </c:pt>
                <c:pt idx="1260">
                  <c:v>-1.7681483299086347E-2</c:v>
                </c:pt>
                <c:pt idx="1261">
                  <c:v>-1.2335103645503822E-3</c:v>
                </c:pt>
                <c:pt idx="1262">
                  <c:v>6.5662559005605567E-3</c:v>
                </c:pt>
                <c:pt idx="1263">
                  <c:v>9.2212264024768402E-4</c:v>
                </c:pt>
                <c:pt idx="1264">
                  <c:v>3.0208961580694201E-2</c:v>
                </c:pt>
                <c:pt idx="1265">
                  <c:v>-2.2438216784566131E-2</c:v>
                </c:pt>
                <c:pt idx="1266">
                  <c:v>-7.291032413640262E-3</c:v>
                </c:pt>
                <c:pt idx="1267">
                  <c:v>-1.7777246990886837E-3</c:v>
                </c:pt>
                <c:pt idx="1268">
                  <c:v>-1.1669453181569377E-2</c:v>
                </c:pt>
                <c:pt idx="1269">
                  <c:v>2.178979259179804E-2</c:v>
                </c:pt>
                <c:pt idx="1270">
                  <c:v>-8.6676139922782554E-3</c:v>
                </c:pt>
                <c:pt idx="1271">
                  <c:v>1.4404983766437209E-2</c:v>
                </c:pt>
                <c:pt idx="1272">
                  <c:v>-1.2377608331656026E-2</c:v>
                </c:pt>
                <c:pt idx="1273">
                  <c:v>3.294744095912247E-2</c:v>
                </c:pt>
                <c:pt idx="1274">
                  <c:v>1.7730712581232409E-2</c:v>
                </c:pt>
                <c:pt idx="1275">
                  <c:v>1.9600021572244181E-3</c:v>
                </c:pt>
                <c:pt idx="1276">
                  <c:v>1.1823378515312679E-4</c:v>
                </c:pt>
                <c:pt idx="1277">
                  <c:v>-7.8245676783642304E-3</c:v>
                </c:pt>
                <c:pt idx="1278">
                  <c:v>-1.7042385266850597E-2</c:v>
                </c:pt>
                <c:pt idx="1279">
                  <c:v>2.4445152108157349E-2</c:v>
                </c:pt>
                <c:pt idx="1280">
                  <c:v>-3.3280254124035623E-3</c:v>
                </c:pt>
                <c:pt idx="1281">
                  <c:v>-5.4536089789865051E-3</c:v>
                </c:pt>
                <c:pt idx="1282">
                  <c:v>-1.6800592447114671E-2</c:v>
                </c:pt>
                <c:pt idx="1283">
                  <c:v>-1.8810073809333951E-2</c:v>
                </c:pt>
                <c:pt idx="1284">
                  <c:v>1.1239542743514824E-2</c:v>
                </c:pt>
                <c:pt idx="1285">
                  <c:v>2.5273738353704295E-2</c:v>
                </c:pt>
                <c:pt idx="1286">
                  <c:v>3.9710253894229081E-2</c:v>
                </c:pt>
                <c:pt idx="1287">
                  <c:v>-2.3732993673203921E-2</c:v>
                </c:pt>
                <c:pt idx="1288">
                  <c:v>2.1279663070352006E-2</c:v>
                </c:pt>
                <c:pt idx="1289">
                  <c:v>-2.7777938674332647E-2</c:v>
                </c:pt>
                <c:pt idx="1290">
                  <c:v>-2.0841020141515541E-2</c:v>
                </c:pt>
                <c:pt idx="1291">
                  <c:v>-3.9211954584853718E-3</c:v>
                </c:pt>
                <c:pt idx="1292">
                  <c:v>-1.3007440800754548E-2</c:v>
                </c:pt>
                <c:pt idx="1293">
                  <c:v>1.9151832082840319E-2</c:v>
                </c:pt>
                <c:pt idx="1294">
                  <c:v>6.1465043338170065E-2</c:v>
                </c:pt>
                <c:pt idx="1295">
                  <c:v>-4.3810627111995071E-3</c:v>
                </c:pt>
                <c:pt idx="1296">
                  <c:v>1.1270748542156973E-2</c:v>
                </c:pt>
                <c:pt idx="1297">
                  <c:v>-1.5723321477930499E-2</c:v>
                </c:pt>
                <c:pt idx="1298">
                  <c:v>1.6148530099040813E-3</c:v>
                </c:pt>
                <c:pt idx="1299">
                  <c:v>-4.1084311748791902E-3</c:v>
                </c:pt>
                <c:pt idx="1300">
                  <c:v>-1.5901697895719217E-2</c:v>
                </c:pt>
                <c:pt idx="1301">
                  <c:v>-1.8432176159268159E-2</c:v>
                </c:pt>
                <c:pt idx="1302">
                  <c:v>-9.7974496583243687E-3</c:v>
                </c:pt>
                <c:pt idx="1303">
                  <c:v>4.4848656210444961E-2</c:v>
                </c:pt>
                <c:pt idx="1304">
                  <c:v>-1.4790161061372271E-2</c:v>
                </c:pt>
                <c:pt idx="1305">
                  <c:v>2.6687438731721806E-2</c:v>
                </c:pt>
                <c:pt idx="1306">
                  <c:v>3.6070629716180677E-2</c:v>
                </c:pt>
                <c:pt idx="1307">
                  <c:v>2.959792968377056E-4</c:v>
                </c:pt>
                <c:pt idx="1308">
                  <c:v>6.3831200114931416E-2</c:v>
                </c:pt>
                <c:pt idx="1309">
                  <c:v>-2.7575812980595786E-3</c:v>
                </c:pt>
                <c:pt idx="1310">
                  <c:v>1.3564514959440237E-2</c:v>
                </c:pt>
                <c:pt idx="1311">
                  <c:v>3.5687446344868014E-2</c:v>
                </c:pt>
                <c:pt idx="1312">
                  <c:v>1.6549691999889155E-3</c:v>
                </c:pt>
                <c:pt idx="1313">
                  <c:v>-1.0180812555076909E-2</c:v>
                </c:pt>
                <c:pt idx="1314">
                  <c:v>1.8323382932628012E-2</c:v>
                </c:pt>
                <c:pt idx="1315">
                  <c:v>2.5015536381979207E-2</c:v>
                </c:pt>
                <c:pt idx="1316">
                  <c:v>4.4128451551848517E-2</c:v>
                </c:pt>
                <c:pt idx="1317">
                  <c:v>-3.9210550203446215E-3</c:v>
                </c:pt>
                <c:pt idx="1318">
                  <c:v>-4.9197508257330397E-3</c:v>
                </c:pt>
                <c:pt idx="1319">
                  <c:v>3.5306971926012946E-2</c:v>
                </c:pt>
                <c:pt idx="1320">
                  <c:v>-6.8929896058210396E-3</c:v>
                </c:pt>
                <c:pt idx="1321">
                  <c:v>-1.0662702000461384E-2</c:v>
                </c:pt>
                <c:pt idx="1322">
                  <c:v>2.9648251968690018E-2</c:v>
                </c:pt>
                <c:pt idx="1323">
                  <c:v>-1.3463781188401051E-2</c:v>
                </c:pt>
                <c:pt idx="1324">
                  <c:v>2.607660635266976E-2</c:v>
                </c:pt>
                <c:pt idx="1325">
                  <c:v>2.4659701421486512E-2</c:v>
                </c:pt>
                <c:pt idx="1326">
                  <c:v>2.6677792592949577E-2</c:v>
                </c:pt>
                <c:pt idx="1327">
                  <c:v>4.4763815414904547E-2</c:v>
                </c:pt>
                <c:pt idx="1328">
                  <c:v>1.6605795890990888E-2</c:v>
                </c:pt>
                <c:pt idx="1329">
                  <c:v>-1.0188664782109582E-2</c:v>
                </c:pt>
                <c:pt idx="1330">
                  <c:v>-2.2651909574670896E-2</c:v>
                </c:pt>
                <c:pt idx="1331">
                  <c:v>7.7879991552440766E-3</c:v>
                </c:pt>
                <c:pt idx="1332">
                  <c:v>1.5801870169791399E-2</c:v>
                </c:pt>
                <c:pt idx="1333">
                  <c:v>2.7789637909488043E-2</c:v>
                </c:pt>
                <c:pt idx="1334">
                  <c:v>6.7327573747739922E-4</c:v>
                </c:pt>
                <c:pt idx="1335">
                  <c:v>-8.86951461861968E-3</c:v>
                </c:pt>
                <c:pt idx="1336">
                  <c:v>-4.6535415606782267E-3</c:v>
                </c:pt>
                <c:pt idx="1337">
                  <c:v>2.1310680337928368E-2</c:v>
                </c:pt>
                <c:pt idx="1338">
                  <c:v>1.0081935998061871E-2</c:v>
                </c:pt>
                <c:pt idx="1339">
                  <c:v>4.6807354378866739E-2</c:v>
                </c:pt>
                <c:pt idx="1340">
                  <c:v>1.1699799113106556E-2</c:v>
                </c:pt>
                <c:pt idx="1341">
                  <c:v>-4.2715450863996651E-3</c:v>
                </c:pt>
                <c:pt idx="1342">
                  <c:v>-2.5006459333484082E-2</c:v>
                </c:pt>
                <c:pt idx="1343">
                  <c:v>1.4066439628584174E-2</c:v>
                </c:pt>
                <c:pt idx="1344">
                  <c:v>-2.642339544962027E-2</c:v>
                </c:pt>
                <c:pt idx="1345">
                  <c:v>1.5567076443485116E-2</c:v>
                </c:pt>
                <c:pt idx="1346">
                  <c:v>-3.1349078327242416E-2</c:v>
                </c:pt>
                <c:pt idx="1347">
                  <c:v>-2.8336373109560626E-2</c:v>
                </c:pt>
                <c:pt idx="1348">
                  <c:v>2.0866319605833759E-2</c:v>
                </c:pt>
                <c:pt idx="1349">
                  <c:v>4.6876526998944875E-3</c:v>
                </c:pt>
                <c:pt idx="1350">
                  <c:v>1.8386391469787589E-2</c:v>
                </c:pt>
                <c:pt idx="1351">
                  <c:v>2.5479009225885134E-2</c:v>
                </c:pt>
                <c:pt idx="1352">
                  <c:v>-3.5657320788498717E-2</c:v>
                </c:pt>
                <c:pt idx="1353">
                  <c:v>7.9164201203370203E-3</c:v>
                </c:pt>
                <c:pt idx="1354">
                  <c:v>-1.2673238620955912E-2</c:v>
                </c:pt>
                <c:pt idx="1355">
                  <c:v>4.4406451268723245E-2</c:v>
                </c:pt>
                <c:pt idx="1356">
                  <c:v>2.32186446509773E-2</c:v>
                </c:pt>
                <c:pt idx="1357">
                  <c:v>-5.371154324695343E-3</c:v>
                </c:pt>
                <c:pt idx="1358">
                  <c:v>1.9501305329398873E-2</c:v>
                </c:pt>
                <c:pt idx="1359">
                  <c:v>-6.255675003039563E-4</c:v>
                </c:pt>
                <c:pt idx="1360">
                  <c:v>-3.7663140822953425E-2</c:v>
                </c:pt>
                <c:pt idx="1361">
                  <c:v>-1.5112447250346824E-2</c:v>
                </c:pt>
                <c:pt idx="1362">
                  <c:v>-3.642634070980541E-2</c:v>
                </c:pt>
                <c:pt idx="1363">
                  <c:v>-1.0046290712423314E-2</c:v>
                </c:pt>
                <c:pt idx="1364">
                  <c:v>9.0035157261628279E-3</c:v>
                </c:pt>
                <c:pt idx="1365">
                  <c:v>-2.1921531495550598E-2</c:v>
                </c:pt>
                <c:pt idx="1366">
                  <c:v>2.4812588469294563E-3</c:v>
                </c:pt>
                <c:pt idx="1367">
                  <c:v>-3.5203277504460904E-3</c:v>
                </c:pt>
                <c:pt idx="1368">
                  <c:v>-2.5921789177697954E-2</c:v>
                </c:pt>
                <c:pt idx="1369">
                  <c:v>3.6742780407306726E-2</c:v>
                </c:pt>
                <c:pt idx="1370">
                  <c:v>-1.4827122746693268E-2</c:v>
                </c:pt>
                <c:pt idx="1371">
                  <c:v>-1.405267010628204E-2</c:v>
                </c:pt>
                <c:pt idx="1372">
                  <c:v>7.3542458146585597E-4</c:v>
                </c:pt>
                <c:pt idx="1373">
                  <c:v>7.5264823072858714E-3</c:v>
                </c:pt>
                <c:pt idx="1374">
                  <c:v>1.5774359116336789E-2</c:v>
                </c:pt>
                <c:pt idx="1375">
                  <c:v>9.8893085180769714E-4</c:v>
                </c:pt>
                <c:pt idx="1376">
                  <c:v>5.8698178323756886E-3</c:v>
                </c:pt>
                <c:pt idx="1377">
                  <c:v>2.3026932014006379E-2</c:v>
                </c:pt>
                <c:pt idx="1378">
                  <c:v>7.8296085461898746E-3</c:v>
                </c:pt>
                <c:pt idx="1379">
                  <c:v>5.7180126869281912E-3</c:v>
                </c:pt>
                <c:pt idx="1380">
                  <c:v>-1.16721042555347E-2</c:v>
                </c:pt>
                <c:pt idx="1381">
                  <c:v>-1.2881036104155598E-2</c:v>
                </c:pt>
                <c:pt idx="1382">
                  <c:v>8.8825465547241777E-4</c:v>
                </c:pt>
                <c:pt idx="1383">
                  <c:v>-3.30078668840829E-3</c:v>
                </c:pt>
                <c:pt idx="1384">
                  <c:v>8.0086344804371201E-4</c:v>
                </c:pt>
                <c:pt idx="1385">
                  <c:v>1.5104419318508577E-3</c:v>
                </c:pt>
                <c:pt idx="1386">
                  <c:v>-1.1305022492901877E-2</c:v>
                </c:pt>
                <c:pt idx="1387">
                  <c:v>-3.9588608116003461E-2</c:v>
                </c:pt>
                <c:pt idx="1388">
                  <c:v>9.677293987944504E-3</c:v>
                </c:pt>
                <c:pt idx="1389">
                  <c:v>1.4244877543352985E-2</c:v>
                </c:pt>
                <c:pt idx="1390">
                  <c:v>4.4328017372237849E-2</c:v>
                </c:pt>
                <c:pt idx="1391">
                  <c:v>1.1125508155324156E-2</c:v>
                </c:pt>
                <c:pt idx="1392">
                  <c:v>2.9803453438148244E-2</c:v>
                </c:pt>
                <c:pt idx="1393">
                  <c:v>6.2456959077872073E-3</c:v>
                </c:pt>
                <c:pt idx="1394">
                  <c:v>-9.2894478679712619E-3</c:v>
                </c:pt>
                <c:pt idx="1395">
                  <c:v>-3.7084718696582361E-3</c:v>
                </c:pt>
                <c:pt idx="1396">
                  <c:v>4.1653343182008994E-2</c:v>
                </c:pt>
                <c:pt idx="1397">
                  <c:v>1.4375188445660408E-3</c:v>
                </c:pt>
                <c:pt idx="1398">
                  <c:v>-8.4015970862619093E-3</c:v>
                </c:pt>
                <c:pt idx="1399">
                  <c:v>-1.4438470458277496E-2</c:v>
                </c:pt>
                <c:pt idx="1400">
                  <c:v>-6.2697940581391345E-3</c:v>
                </c:pt>
                <c:pt idx="1401">
                  <c:v>-1.2008458197755525E-2</c:v>
                </c:pt>
                <c:pt idx="1402">
                  <c:v>-1.8347098641057647E-2</c:v>
                </c:pt>
                <c:pt idx="1403">
                  <c:v>1.1207387413410073E-2</c:v>
                </c:pt>
                <c:pt idx="1404">
                  <c:v>1.9346243504994127E-3</c:v>
                </c:pt>
                <c:pt idx="1405">
                  <c:v>-2.9129439634147124E-2</c:v>
                </c:pt>
                <c:pt idx="1406">
                  <c:v>3.6338534518034126E-3</c:v>
                </c:pt>
                <c:pt idx="1407">
                  <c:v>-2.3033186317778023E-3</c:v>
                </c:pt>
                <c:pt idx="1408">
                  <c:v>-4.6968203397488358E-3</c:v>
                </c:pt>
                <c:pt idx="1409">
                  <c:v>-3.0885796198183348E-2</c:v>
                </c:pt>
                <c:pt idx="1410">
                  <c:v>-1.6949516013010932E-3</c:v>
                </c:pt>
                <c:pt idx="1411">
                  <c:v>2.8974663140848136E-2</c:v>
                </c:pt>
                <c:pt idx="1412">
                  <c:v>-5.0803149267425723E-4</c:v>
                </c:pt>
                <c:pt idx="1413">
                  <c:v>-3.7162736172237504E-2</c:v>
                </c:pt>
                <c:pt idx="1414">
                  <c:v>-1.2803266383160915E-2</c:v>
                </c:pt>
                <c:pt idx="1415">
                  <c:v>9.423133770487771E-3</c:v>
                </c:pt>
                <c:pt idx="1416">
                  <c:v>-4.8814298928107954E-3</c:v>
                </c:pt>
                <c:pt idx="1417">
                  <c:v>1.7096075313603222E-2</c:v>
                </c:pt>
                <c:pt idx="1418">
                  <c:v>-6.0339472231770767E-2</c:v>
                </c:pt>
                <c:pt idx="1419">
                  <c:v>-9.9349098600658714E-3</c:v>
                </c:pt>
                <c:pt idx="1420">
                  <c:v>-5.8897090511472044E-3</c:v>
                </c:pt>
                <c:pt idx="1421">
                  <c:v>-3.2288685220384999E-3</c:v>
                </c:pt>
                <c:pt idx="1422">
                  <c:v>4.4319685758446728E-3</c:v>
                </c:pt>
                <c:pt idx="1423">
                  <c:v>-1.3772432476636494E-2</c:v>
                </c:pt>
                <c:pt idx="1424">
                  <c:v>2.4818357039956957E-2</c:v>
                </c:pt>
                <c:pt idx="1425">
                  <c:v>-1.6707056107105843E-2</c:v>
                </c:pt>
                <c:pt idx="1426">
                  <c:v>-8.0401268620075121E-3</c:v>
                </c:pt>
                <c:pt idx="1427">
                  <c:v>-3.3313687232755288E-3</c:v>
                </c:pt>
                <c:pt idx="1428">
                  <c:v>2.6415577983153974E-2</c:v>
                </c:pt>
                <c:pt idx="1429">
                  <c:v>2.2819765896647016E-2</c:v>
                </c:pt>
                <c:pt idx="1430">
                  <c:v>-1.467095162772376E-2</c:v>
                </c:pt>
                <c:pt idx="1431">
                  <c:v>6.3656127014714205E-3</c:v>
                </c:pt>
                <c:pt idx="1432">
                  <c:v>5.1015244120332218E-2</c:v>
                </c:pt>
                <c:pt idx="1433">
                  <c:v>5.6057842711764179E-2</c:v>
                </c:pt>
                <c:pt idx="1434">
                  <c:v>2.1350879733241828E-2</c:v>
                </c:pt>
                <c:pt idx="1435">
                  <c:v>3.8071134304818198E-2</c:v>
                </c:pt>
                <c:pt idx="1436">
                  <c:v>1.6101662814349577E-2</c:v>
                </c:pt>
                <c:pt idx="1437">
                  <c:v>2.8634790377994997E-2</c:v>
                </c:pt>
                <c:pt idx="1438">
                  <c:v>-3.068415461799057E-2</c:v>
                </c:pt>
                <c:pt idx="1439">
                  <c:v>1.1904078212117196E-2</c:v>
                </c:pt>
                <c:pt idx="1440">
                  <c:v>-1.8437728730967357E-2</c:v>
                </c:pt>
                <c:pt idx="1441">
                  <c:v>1.0213001631699399E-2</c:v>
                </c:pt>
                <c:pt idx="1442">
                  <c:v>6.9125948550626188E-4</c:v>
                </c:pt>
                <c:pt idx="1443">
                  <c:v>1.113946126540776E-2</c:v>
                </c:pt>
                <c:pt idx="1444">
                  <c:v>-1.0782916452487802E-2</c:v>
                </c:pt>
                <c:pt idx="1445">
                  <c:v>1.6390111017328242E-2</c:v>
                </c:pt>
                <c:pt idx="1446">
                  <c:v>-6.09705091556679E-4</c:v>
                </c:pt>
                <c:pt idx="1447">
                  <c:v>2.1529319227579856E-2</c:v>
                </c:pt>
                <c:pt idx="1448">
                  <c:v>-2.5559000880285038E-2</c:v>
                </c:pt>
                <c:pt idx="1449">
                  <c:v>-3.1711658874658363E-2</c:v>
                </c:pt>
                <c:pt idx="1450">
                  <c:v>-1.4608794467770926E-2</c:v>
                </c:pt>
                <c:pt idx="1451">
                  <c:v>1.3966037898632716E-2</c:v>
                </c:pt>
                <c:pt idx="1452">
                  <c:v>-1.1533196002120339E-2</c:v>
                </c:pt>
                <c:pt idx="1453">
                  <c:v>-7.1898205405774823E-2</c:v>
                </c:pt>
                <c:pt idx="1454">
                  <c:v>1.6815824518088842E-3</c:v>
                </c:pt>
                <c:pt idx="1455">
                  <c:v>4.2835973457415008E-2</c:v>
                </c:pt>
                <c:pt idx="1456">
                  <c:v>-1.7589680431503236E-2</c:v>
                </c:pt>
                <c:pt idx="1457">
                  <c:v>6.6881811020825192E-3</c:v>
                </c:pt>
                <c:pt idx="1458">
                  <c:v>-5.2188317211539059E-3</c:v>
                </c:pt>
                <c:pt idx="1459">
                  <c:v>-7.3462654261546578E-2</c:v>
                </c:pt>
                <c:pt idx="1460">
                  <c:v>2.0255142577007248E-2</c:v>
                </c:pt>
                <c:pt idx="1461">
                  <c:v>-3.3874229771060874E-2</c:v>
                </c:pt>
                <c:pt idx="1462">
                  <c:v>-3.8518869153057647E-2</c:v>
                </c:pt>
                <c:pt idx="1463">
                  <c:v>-4.5489676268154255E-2</c:v>
                </c:pt>
                <c:pt idx="1464">
                  <c:v>-3.5970134324636292E-3</c:v>
                </c:pt>
                <c:pt idx="1465">
                  <c:v>1.2535749795530259E-2</c:v>
                </c:pt>
                <c:pt idx="1466">
                  <c:v>-8.9337639101880664E-3</c:v>
                </c:pt>
                <c:pt idx="1467">
                  <c:v>-4.3894363730846382E-2</c:v>
                </c:pt>
                <c:pt idx="1468">
                  <c:v>-2.3475231275848728E-2</c:v>
                </c:pt>
                <c:pt idx="1469">
                  <c:v>-1.8723502350517316E-2</c:v>
                </c:pt>
                <c:pt idx="1470">
                  <c:v>-7.1331425430682174E-3</c:v>
                </c:pt>
                <c:pt idx="1471">
                  <c:v>8.4390310991876126E-3</c:v>
                </c:pt>
                <c:pt idx="1472">
                  <c:v>1.1032944285635955E-2</c:v>
                </c:pt>
                <c:pt idx="1473">
                  <c:v>-8.1699601338439311E-3</c:v>
                </c:pt>
                <c:pt idx="1474">
                  <c:v>-1.4480533133993655E-2</c:v>
                </c:pt>
                <c:pt idx="1475">
                  <c:v>3.2912688282231789E-2</c:v>
                </c:pt>
                <c:pt idx="1476">
                  <c:v>1.5177946487861166E-2</c:v>
                </c:pt>
                <c:pt idx="1477">
                  <c:v>3.5940237493683441E-2</c:v>
                </c:pt>
                <c:pt idx="1478">
                  <c:v>2.338216455183471E-2</c:v>
                </c:pt>
                <c:pt idx="1479">
                  <c:v>1.3937580080208864E-2</c:v>
                </c:pt>
                <c:pt idx="1480">
                  <c:v>-2.2149609422343311E-3</c:v>
                </c:pt>
                <c:pt idx="1481">
                  <c:v>1.4180255633610434E-2</c:v>
                </c:pt>
                <c:pt idx="1482">
                  <c:v>-1.9539484536560757E-2</c:v>
                </c:pt>
                <c:pt idx="1483">
                  <c:v>-2.140375029463357E-2</c:v>
                </c:pt>
                <c:pt idx="1484">
                  <c:v>-2.2112666274818487E-2</c:v>
                </c:pt>
                <c:pt idx="1485">
                  <c:v>-4.6510449391156783E-2</c:v>
                </c:pt>
                <c:pt idx="1486">
                  <c:v>-2.2313582359681484E-3</c:v>
                </c:pt>
                <c:pt idx="1487">
                  <c:v>1.3407650061121037E-2</c:v>
                </c:pt>
                <c:pt idx="1488">
                  <c:v>-1.3142894493777212E-2</c:v>
                </c:pt>
                <c:pt idx="1489">
                  <c:v>-3.2735794269296979E-2</c:v>
                </c:pt>
                <c:pt idx="1490">
                  <c:v>1.8354214148639639E-2</c:v>
                </c:pt>
                <c:pt idx="1491">
                  <c:v>2.9108142091689274E-2</c:v>
                </c:pt>
                <c:pt idx="1492">
                  <c:v>4.3534529204897275E-2</c:v>
                </c:pt>
                <c:pt idx="1493">
                  <c:v>5.5334018968075278E-3</c:v>
                </c:pt>
                <c:pt idx="1494">
                  <c:v>-1.2544069851370028E-2</c:v>
                </c:pt>
                <c:pt idx="1495">
                  <c:v>1.0833939661888137E-2</c:v>
                </c:pt>
                <c:pt idx="1496">
                  <c:v>3.3870377111204074E-2</c:v>
                </c:pt>
                <c:pt idx="1497">
                  <c:v>1.3651248973853494E-2</c:v>
                </c:pt>
                <c:pt idx="1498">
                  <c:v>2.3611554439120427E-2</c:v>
                </c:pt>
                <c:pt idx="1499">
                  <c:v>2.2732537736076565E-3</c:v>
                </c:pt>
                <c:pt idx="1500">
                  <c:v>-2.2990223550044115E-2</c:v>
                </c:pt>
                <c:pt idx="1501">
                  <c:v>-1.1694385663487824E-2</c:v>
                </c:pt>
                <c:pt idx="1502">
                  <c:v>2.0168910978749448E-2</c:v>
                </c:pt>
                <c:pt idx="1503">
                  <c:v>1.3964477423492087E-3</c:v>
                </c:pt>
                <c:pt idx="1504">
                  <c:v>-2.9454010820761278E-2</c:v>
                </c:pt>
                <c:pt idx="1505">
                  <c:v>1.9032914118010062E-2</c:v>
                </c:pt>
                <c:pt idx="1506">
                  <c:v>-2.49366655263728E-2</c:v>
                </c:pt>
                <c:pt idx="1507">
                  <c:v>-1.328409644640367E-2</c:v>
                </c:pt>
                <c:pt idx="1508">
                  <c:v>1.8539602839050946E-2</c:v>
                </c:pt>
                <c:pt idx="1509">
                  <c:v>2.1365522440161985E-2</c:v>
                </c:pt>
                <c:pt idx="1510">
                  <c:v>4.2605514531665625E-2</c:v>
                </c:pt>
                <c:pt idx="1511">
                  <c:v>2.0307937012207233E-2</c:v>
                </c:pt>
                <c:pt idx="1512">
                  <c:v>7.0940143714365873E-3</c:v>
                </c:pt>
                <c:pt idx="1513">
                  <c:v>5.4238398947769294E-3</c:v>
                </c:pt>
                <c:pt idx="1514">
                  <c:v>-2.9816262595689782E-2</c:v>
                </c:pt>
                <c:pt idx="1515">
                  <c:v>-1.0959796989015672E-2</c:v>
                </c:pt>
                <c:pt idx="1516">
                  <c:v>-1.9903553455683114E-2</c:v>
                </c:pt>
                <c:pt idx="1517">
                  <c:v>-2.2686386307423426E-2</c:v>
                </c:pt>
                <c:pt idx="1518">
                  <c:v>2.8132998707443822E-2</c:v>
                </c:pt>
                <c:pt idx="1519">
                  <c:v>-3.5049134757924971E-3</c:v>
                </c:pt>
                <c:pt idx="1520">
                  <c:v>-2.9445781628003792E-2</c:v>
                </c:pt>
                <c:pt idx="1521">
                  <c:v>-3.8955795088617975E-2</c:v>
                </c:pt>
                <c:pt idx="1522">
                  <c:v>-1.2141314295553545E-2</c:v>
                </c:pt>
                <c:pt idx="1523">
                  <c:v>6.5329113171809523E-3</c:v>
                </c:pt>
                <c:pt idx="1524">
                  <c:v>-4.0202818647745338E-2</c:v>
                </c:pt>
                <c:pt idx="1525">
                  <c:v>-1.3174974733311784E-3</c:v>
                </c:pt>
                <c:pt idx="1526">
                  <c:v>3.2195868636955456E-2</c:v>
                </c:pt>
                <c:pt idx="1527">
                  <c:v>-2.0204445627511288E-3</c:v>
                </c:pt>
                <c:pt idx="1528">
                  <c:v>-1.6964571121583567E-2</c:v>
                </c:pt>
                <c:pt idx="1529">
                  <c:v>-4.0186435492604779E-3</c:v>
                </c:pt>
                <c:pt idx="1530">
                  <c:v>4.4226576408176857E-2</c:v>
                </c:pt>
                <c:pt idx="1531">
                  <c:v>-1.6372082748668956E-2</c:v>
                </c:pt>
                <c:pt idx="1532">
                  <c:v>-8.9516708107678002E-3</c:v>
                </c:pt>
                <c:pt idx="1533">
                  <c:v>3.7843724132878384E-2</c:v>
                </c:pt>
                <c:pt idx="1534">
                  <c:v>-1.0627930118681807E-3</c:v>
                </c:pt>
                <c:pt idx="1535">
                  <c:v>-3.0356701719270879E-2</c:v>
                </c:pt>
                <c:pt idx="1536">
                  <c:v>2.5018331096190892E-3</c:v>
                </c:pt>
                <c:pt idx="1537">
                  <c:v>3.2204776344821863E-2</c:v>
                </c:pt>
                <c:pt idx="1538">
                  <c:v>-3.5629486289120001E-2</c:v>
                </c:pt>
                <c:pt idx="1539">
                  <c:v>-3.2049503943460129E-2</c:v>
                </c:pt>
                <c:pt idx="1540">
                  <c:v>-2.0691678264633098E-2</c:v>
                </c:pt>
                <c:pt idx="1541">
                  <c:v>-1.8582222724733016E-2</c:v>
                </c:pt>
                <c:pt idx="1542">
                  <c:v>3.6946989160674946E-3</c:v>
                </c:pt>
                <c:pt idx="1543">
                  <c:v>-1.0037939566822716E-2</c:v>
                </c:pt>
                <c:pt idx="1544">
                  <c:v>-6.9423802436678287E-3</c:v>
                </c:pt>
                <c:pt idx="1545">
                  <c:v>6.2705004452125335E-3</c:v>
                </c:pt>
                <c:pt idx="1546">
                  <c:v>-8.823731070932074E-3</c:v>
                </c:pt>
                <c:pt idx="1547">
                  <c:v>2.7082466904267813E-2</c:v>
                </c:pt>
                <c:pt idx="1548">
                  <c:v>-6.1259567006004111E-3</c:v>
                </c:pt>
                <c:pt idx="1549">
                  <c:v>-2.5664106481058546E-2</c:v>
                </c:pt>
                <c:pt idx="1550">
                  <c:v>-2.6401381296014013E-2</c:v>
                </c:pt>
                <c:pt idx="1551">
                  <c:v>-1.5248072015340161E-2</c:v>
                </c:pt>
                <c:pt idx="1552">
                  <c:v>-2.0286520062116713E-2</c:v>
                </c:pt>
                <c:pt idx="1553">
                  <c:v>-4.6215776752485177E-4</c:v>
                </c:pt>
                <c:pt idx="1554">
                  <c:v>-1.3046837263780425E-2</c:v>
                </c:pt>
                <c:pt idx="1555">
                  <c:v>-1.7644534347822847E-2</c:v>
                </c:pt>
                <c:pt idx="1556">
                  <c:v>-3.5065889171621366E-2</c:v>
                </c:pt>
                <c:pt idx="1557">
                  <c:v>3.9813415947914975E-3</c:v>
                </c:pt>
                <c:pt idx="1558">
                  <c:v>7.2233882067544303E-3</c:v>
                </c:pt>
                <c:pt idx="1559">
                  <c:v>-1.3346112541969542E-2</c:v>
                </c:pt>
                <c:pt idx="1560">
                  <c:v>6.1033163017484989E-4</c:v>
                </c:pt>
                <c:pt idx="1561">
                  <c:v>3.5377459027482024E-2</c:v>
                </c:pt>
                <c:pt idx="1562">
                  <c:v>-2.9542061576720249E-2</c:v>
                </c:pt>
                <c:pt idx="1563">
                  <c:v>1.2937197402495135E-2</c:v>
                </c:pt>
                <c:pt idx="1564">
                  <c:v>-3.6706403165563076E-2</c:v>
                </c:pt>
                <c:pt idx="1565">
                  <c:v>-2.7908932576505084E-2</c:v>
                </c:pt>
                <c:pt idx="1566">
                  <c:v>3.2199995806016242E-2</c:v>
                </c:pt>
                <c:pt idx="1567">
                  <c:v>2.8993053333682866E-3</c:v>
                </c:pt>
                <c:pt idx="1568">
                  <c:v>-2.4022039126532134E-2</c:v>
                </c:pt>
                <c:pt idx="1569">
                  <c:v>-6.5695435741970863E-3</c:v>
                </c:pt>
                <c:pt idx="1570">
                  <c:v>5.101988340153242E-2</c:v>
                </c:pt>
                <c:pt idx="1571">
                  <c:v>-2.0296788975529806E-2</c:v>
                </c:pt>
                <c:pt idx="1572">
                  <c:v>-6.5363036763869484E-3</c:v>
                </c:pt>
                <c:pt idx="1573">
                  <c:v>5.069599987813022E-2</c:v>
                </c:pt>
                <c:pt idx="1574">
                  <c:v>2.2237436022831188E-2</c:v>
                </c:pt>
                <c:pt idx="1575">
                  <c:v>-2.0461241679158467E-2</c:v>
                </c:pt>
                <c:pt idx="1576">
                  <c:v>2.9216548638894956E-3</c:v>
                </c:pt>
                <c:pt idx="1577">
                  <c:v>-2.839715157961176E-2</c:v>
                </c:pt>
                <c:pt idx="1578">
                  <c:v>8.5505537372501245E-3</c:v>
                </c:pt>
                <c:pt idx="1579">
                  <c:v>-6.0750855623492358E-3</c:v>
                </c:pt>
                <c:pt idx="1580">
                  <c:v>1.9391884440828237E-2</c:v>
                </c:pt>
                <c:pt idx="1581">
                  <c:v>1.2559858014063851E-3</c:v>
                </c:pt>
                <c:pt idx="1582">
                  <c:v>-1.5539282018328691E-2</c:v>
                </c:pt>
                <c:pt idx="1583">
                  <c:v>2.0410482359838028E-2</c:v>
                </c:pt>
                <c:pt idx="1584">
                  <c:v>-3.1583387920105635E-2</c:v>
                </c:pt>
                <c:pt idx="1585">
                  <c:v>4.2167465862347875E-2</c:v>
                </c:pt>
                <c:pt idx="1586">
                  <c:v>1.6415376361173375E-2</c:v>
                </c:pt>
                <c:pt idx="1587">
                  <c:v>-3.5596918910284832E-2</c:v>
                </c:pt>
                <c:pt idx="1588">
                  <c:v>-2.1660047703135683E-2</c:v>
                </c:pt>
                <c:pt idx="1589">
                  <c:v>-1.8053989979590603E-2</c:v>
                </c:pt>
                <c:pt idx="1590">
                  <c:v>-4.1177097768522086E-4</c:v>
                </c:pt>
                <c:pt idx="1591">
                  <c:v>-1.4344544577401171E-2</c:v>
                </c:pt>
                <c:pt idx="1592">
                  <c:v>3.5543919104622868E-3</c:v>
                </c:pt>
                <c:pt idx="1593">
                  <c:v>-1.0935832230505454E-2</c:v>
                </c:pt>
                <c:pt idx="1594">
                  <c:v>1.7032125407981463E-2</c:v>
                </c:pt>
                <c:pt idx="1595">
                  <c:v>-3.2643840240385567E-3</c:v>
                </c:pt>
                <c:pt idx="1596">
                  <c:v>1.9452471328857659E-2</c:v>
                </c:pt>
                <c:pt idx="1597">
                  <c:v>2.0776409834718138E-2</c:v>
                </c:pt>
                <c:pt idx="1598">
                  <c:v>-9.4780983331600992E-3</c:v>
                </c:pt>
                <c:pt idx="1599">
                  <c:v>-1.0488364548779815E-2</c:v>
                </c:pt>
                <c:pt idx="1600">
                  <c:v>3.9285157788128251E-2</c:v>
                </c:pt>
                <c:pt idx="1601">
                  <c:v>-7.0244177571631983E-2</c:v>
                </c:pt>
                <c:pt idx="1602">
                  <c:v>-5.6316270086211248E-3</c:v>
                </c:pt>
                <c:pt idx="1603">
                  <c:v>1.086182237511457E-2</c:v>
                </c:pt>
                <c:pt idx="1604">
                  <c:v>8.7231485695595835E-3</c:v>
                </c:pt>
                <c:pt idx="1605">
                  <c:v>3.0249231025509679E-2</c:v>
                </c:pt>
                <c:pt idx="1606">
                  <c:v>-1.6064780543158314E-2</c:v>
                </c:pt>
                <c:pt idx="1607">
                  <c:v>3.0315787238917015E-2</c:v>
                </c:pt>
                <c:pt idx="1608">
                  <c:v>-3.5907131717135428E-3</c:v>
                </c:pt>
                <c:pt idx="1609">
                  <c:v>8.0210234370247536E-3</c:v>
                </c:pt>
                <c:pt idx="1610">
                  <c:v>-1.7729051419038675E-3</c:v>
                </c:pt>
                <c:pt idx="1611">
                  <c:v>-1.15767266795715E-2</c:v>
                </c:pt>
                <c:pt idx="1612">
                  <c:v>-3.4207220964769208E-3</c:v>
                </c:pt>
                <c:pt idx="1613">
                  <c:v>2.4436096777034635E-2</c:v>
                </c:pt>
                <c:pt idx="1614">
                  <c:v>1.66424087661452E-2</c:v>
                </c:pt>
                <c:pt idx="1615">
                  <c:v>-9.2469925656647831E-3</c:v>
                </c:pt>
                <c:pt idx="1616">
                  <c:v>-3.388874011896885E-3</c:v>
                </c:pt>
                <c:pt idx="1617">
                  <c:v>2.8917688353284718E-2</c:v>
                </c:pt>
                <c:pt idx="1618">
                  <c:v>3.7381046260957919E-3</c:v>
                </c:pt>
                <c:pt idx="1619">
                  <c:v>2.2798492519220226E-2</c:v>
                </c:pt>
                <c:pt idx="1620">
                  <c:v>-4.4098830453932987E-2</c:v>
                </c:pt>
                <c:pt idx="1621">
                  <c:v>-7.3850399547074758E-3</c:v>
                </c:pt>
                <c:pt idx="1622">
                  <c:v>-3.2414727062701001E-2</c:v>
                </c:pt>
                <c:pt idx="1623">
                  <c:v>-2.5106930991219186E-2</c:v>
                </c:pt>
                <c:pt idx="1624">
                  <c:v>4.9506619694400025E-3</c:v>
                </c:pt>
                <c:pt idx="1625">
                  <c:v>3.9291086837600908E-3</c:v>
                </c:pt>
                <c:pt idx="1626">
                  <c:v>2.3902508381503072E-2</c:v>
                </c:pt>
                <c:pt idx="1627">
                  <c:v>-7.5563006059117081E-3</c:v>
                </c:pt>
                <c:pt idx="1628">
                  <c:v>9.4472653882347948E-3</c:v>
                </c:pt>
                <c:pt idx="1629">
                  <c:v>8.1718394535580004E-3</c:v>
                </c:pt>
                <c:pt idx="1630">
                  <c:v>-3.0719637460225716E-2</c:v>
                </c:pt>
                <c:pt idx="1631">
                  <c:v>2.4503845223049339E-2</c:v>
                </c:pt>
                <c:pt idx="1632">
                  <c:v>-4.6368428254660449E-2</c:v>
                </c:pt>
                <c:pt idx="1633">
                  <c:v>5.2750569360970528E-2</c:v>
                </c:pt>
                <c:pt idx="1634">
                  <c:v>1.5921751470834432E-2</c:v>
                </c:pt>
                <c:pt idx="1635">
                  <c:v>-5.5104051552040834E-3</c:v>
                </c:pt>
                <c:pt idx="1636">
                  <c:v>2.3007228019744442E-3</c:v>
                </c:pt>
                <c:pt idx="1637">
                  <c:v>1.1191311537582075E-2</c:v>
                </c:pt>
                <c:pt idx="1638">
                  <c:v>-2.2556566985478667E-3</c:v>
                </c:pt>
                <c:pt idx="1639">
                  <c:v>-2.1511019875292237E-2</c:v>
                </c:pt>
                <c:pt idx="1640">
                  <c:v>2.2277621216980781E-2</c:v>
                </c:pt>
                <c:pt idx="1641">
                  <c:v>-2.7916090793334129E-2</c:v>
                </c:pt>
                <c:pt idx="1642">
                  <c:v>-4.1216669931228793E-2</c:v>
                </c:pt>
                <c:pt idx="1643">
                  <c:v>-1.7031353566679036E-2</c:v>
                </c:pt>
                <c:pt idx="1644">
                  <c:v>1.3090901912348844E-3</c:v>
                </c:pt>
                <c:pt idx="1645">
                  <c:v>-3.9992240816392265E-2</c:v>
                </c:pt>
                <c:pt idx="1646">
                  <c:v>2.4274298736678669E-2</c:v>
                </c:pt>
                <c:pt idx="1647">
                  <c:v>-1.9259110745947956E-2</c:v>
                </c:pt>
                <c:pt idx="1648">
                  <c:v>-2.6336814914644294E-2</c:v>
                </c:pt>
                <c:pt idx="1649">
                  <c:v>-1.7844522732427797E-2</c:v>
                </c:pt>
                <c:pt idx="1650">
                  <c:v>5.171287896727347E-3</c:v>
                </c:pt>
                <c:pt idx="1651">
                  <c:v>2.3763591676156871E-2</c:v>
                </c:pt>
                <c:pt idx="1652">
                  <c:v>3.4133960421006311E-2</c:v>
                </c:pt>
                <c:pt idx="1653">
                  <c:v>2.1545394045004815E-2</c:v>
                </c:pt>
                <c:pt idx="1654">
                  <c:v>-3.5973220347310653E-2</c:v>
                </c:pt>
                <c:pt idx="1655">
                  <c:v>2.452670118259846E-3</c:v>
                </c:pt>
                <c:pt idx="1656">
                  <c:v>-3.3189082508721907E-2</c:v>
                </c:pt>
                <c:pt idx="1657">
                  <c:v>6.0276697878118134E-3</c:v>
                </c:pt>
                <c:pt idx="1658">
                  <c:v>-2.6379732024074991E-2</c:v>
                </c:pt>
                <c:pt idx="1659">
                  <c:v>-2.7524519148105914E-3</c:v>
                </c:pt>
                <c:pt idx="1660">
                  <c:v>1.8961699126127364E-2</c:v>
                </c:pt>
                <c:pt idx="1661">
                  <c:v>-2.87558750913738E-3</c:v>
                </c:pt>
                <c:pt idx="1662">
                  <c:v>9.0586080134542099E-4</c:v>
                </c:pt>
                <c:pt idx="1663">
                  <c:v>-4.0935018983005736E-2</c:v>
                </c:pt>
                <c:pt idx="1664">
                  <c:v>1.7096220627395825E-2</c:v>
                </c:pt>
                <c:pt idx="1665">
                  <c:v>1.620681162362014E-2</c:v>
                </c:pt>
                <c:pt idx="1666">
                  <c:v>-5.4244987116527435E-3</c:v>
                </c:pt>
                <c:pt idx="1667">
                  <c:v>-3.1290996762471643E-2</c:v>
                </c:pt>
                <c:pt idx="1668">
                  <c:v>7.3750862762164639E-4</c:v>
                </c:pt>
                <c:pt idx="1669">
                  <c:v>-1.8760254473718804E-2</c:v>
                </c:pt>
                <c:pt idx="1670">
                  <c:v>-5.244926758249896E-2</c:v>
                </c:pt>
                <c:pt idx="1671">
                  <c:v>2.7572255542157895E-2</c:v>
                </c:pt>
                <c:pt idx="1672">
                  <c:v>-1.082894104342929E-2</c:v>
                </c:pt>
                <c:pt idx="1673">
                  <c:v>1.5890398757795823E-2</c:v>
                </c:pt>
                <c:pt idx="1674">
                  <c:v>1.5409802094265358E-2</c:v>
                </c:pt>
                <c:pt idx="1675">
                  <c:v>1.9109588798102106E-2</c:v>
                </c:pt>
                <c:pt idx="1676">
                  <c:v>4.9677528336303102E-2</c:v>
                </c:pt>
                <c:pt idx="1677">
                  <c:v>1.6952232293962956E-2</c:v>
                </c:pt>
                <c:pt idx="1678">
                  <c:v>-7.5498623689706362E-3</c:v>
                </c:pt>
                <c:pt idx="1679">
                  <c:v>8.0404916329740381E-3</c:v>
                </c:pt>
                <c:pt idx="1680">
                  <c:v>-2.311574429846195E-2</c:v>
                </c:pt>
                <c:pt idx="1681">
                  <c:v>-1.0881047002404736E-2</c:v>
                </c:pt>
                <c:pt idx="1682">
                  <c:v>4.8437101556071858E-2</c:v>
                </c:pt>
                <c:pt idx="1683">
                  <c:v>-6.9652519613746119E-2</c:v>
                </c:pt>
                <c:pt idx="1684">
                  <c:v>4.7995455344185829E-3</c:v>
                </c:pt>
                <c:pt idx="1685">
                  <c:v>4.4367544070139948E-3</c:v>
                </c:pt>
                <c:pt idx="1686">
                  <c:v>1.6228087487491504E-2</c:v>
                </c:pt>
                <c:pt idx="1687">
                  <c:v>-2.425325171364982E-2</c:v>
                </c:pt>
                <c:pt idx="1688">
                  <c:v>5.719039691677336E-4</c:v>
                </c:pt>
                <c:pt idx="1689">
                  <c:v>2.2461210388525294E-2</c:v>
                </c:pt>
                <c:pt idx="1690">
                  <c:v>4.567509859959093E-2</c:v>
                </c:pt>
                <c:pt idx="1691">
                  <c:v>1.7262549935667584E-2</c:v>
                </c:pt>
                <c:pt idx="1692">
                  <c:v>1.7071824692376763E-2</c:v>
                </c:pt>
                <c:pt idx="1693">
                  <c:v>1.4923521778335464E-2</c:v>
                </c:pt>
                <c:pt idx="1694">
                  <c:v>2.4016459817441851E-2</c:v>
                </c:pt>
                <c:pt idx="1695">
                  <c:v>-4.6287228274696834E-2</c:v>
                </c:pt>
                <c:pt idx="1696">
                  <c:v>1.1292411589089685E-2</c:v>
                </c:pt>
                <c:pt idx="1697">
                  <c:v>4.1877806174576752E-2</c:v>
                </c:pt>
                <c:pt idx="1698">
                  <c:v>1.6804030546090962E-2</c:v>
                </c:pt>
                <c:pt idx="1699">
                  <c:v>-1.7772637721453991E-2</c:v>
                </c:pt>
                <c:pt idx="1700">
                  <c:v>8.2387046811521619E-2</c:v>
                </c:pt>
                <c:pt idx="1701">
                  <c:v>-1.2159284371076849E-2</c:v>
                </c:pt>
                <c:pt idx="1702">
                  <c:v>-1.6244954095541914E-3</c:v>
                </c:pt>
                <c:pt idx="1703">
                  <c:v>2.2016908387930304E-2</c:v>
                </c:pt>
                <c:pt idx="1704">
                  <c:v>4.1839596713205113E-2</c:v>
                </c:pt>
                <c:pt idx="1705">
                  <c:v>-1.2357290564462229E-2</c:v>
                </c:pt>
                <c:pt idx="1706">
                  <c:v>-4.0044962153040799E-2</c:v>
                </c:pt>
                <c:pt idx="1707">
                  <c:v>1.3305869711344594E-2</c:v>
                </c:pt>
                <c:pt idx="1708">
                  <c:v>-3.2274293924659289E-2</c:v>
                </c:pt>
                <c:pt idx="1709">
                  <c:v>-5.4920734820037641E-2</c:v>
                </c:pt>
                <c:pt idx="1710">
                  <c:v>-2.7372909056344957E-2</c:v>
                </c:pt>
                <c:pt idx="1711">
                  <c:v>2.4683367702886292E-2</c:v>
                </c:pt>
                <c:pt idx="1712">
                  <c:v>-8.0208168315293402E-3</c:v>
                </c:pt>
                <c:pt idx="1713">
                  <c:v>1.4810979396092041E-2</c:v>
                </c:pt>
                <c:pt idx="1714">
                  <c:v>-1.6979602564360919E-2</c:v>
                </c:pt>
                <c:pt idx="1715">
                  <c:v>2.3585994903170451E-3</c:v>
                </c:pt>
                <c:pt idx="1716">
                  <c:v>-5.0657996668821745E-2</c:v>
                </c:pt>
                <c:pt idx="1717">
                  <c:v>-1.9801664257125769E-2</c:v>
                </c:pt>
                <c:pt idx="1718">
                  <c:v>-3.8605221031350036E-2</c:v>
                </c:pt>
                <c:pt idx="1719">
                  <c:v>-2.8967599399027853E-2</c:v>
                </c:pt>
                <c:pt idx="1720">
                  <c:v>-1.5546023571454761E-2</c:v>
                </c:pt>
                <c:pt idx="1721">
                  <c:v>1.0930193209984911E-2</c:v>
                </c:pt>
                <c:pt idx="1722">
                  <c:v>2.9926304103664737E-2</c:v>
                </c:pt>
                <c:pt idx="1723">
                  <c:v>1.6300282276439801E-2</c:v>
                </c:pt>
                <c:pt idx="1724">
                  <c:v>2.5530423720544638E-2</c:v>
                </c:pt>
                <c:pt idx="1725">
                  <c:v>3.2707954847328344E-2</c:v>
                </c:pt>
                <c:pt idx="1726">
                  <c:v>7.8112253981511684E-2</c:v>
                </c:pt>
                <c:pt idx="1727">
                  <c:v>-1.2370413641524173E-2</c:v>
                </c:pt>
                <c:pt idx="1728">
                  <c:v>-8.9612031751722873E-3</c:v>
                </c:pt>
                <c:pt idx="1729">
                  <c:v>7.356110663796267E-3</c:v>
                </c:pt>
                <c:pt idx="1730">
                  <c:v>1.0560997533257723E-2</c:v>
                </c:pt>
                <c:pt idx="1731">
                  <c:v>-1.3352962919744107E-2</c:v>
                </c:pt>
                <c:pt idx="1732">
                  <c:v>-6.8299844182221695E-3</c:v>
                </c:pt>
                <c:pt idx="1733">
                  <c:v>6.254659835001472E-2</c:v>
                </c:pt>
                <c:pt idx="1734">
                  <c:v>-3.2666602673113533E-2</c:v>
                </c:pt>
                <c:pt idx="1735">
                  <c:v>1.936442293150327E-3</c:v>
                </c:pt>
                <c:pt idx="1736">
                  <c:v>3.5319860561005272E-2</c:v>
                </c:pt>
                <c:pt idx="1737">
                  <c:v>5.4158326787057936E-3</c:v>
                </c:pt>
                <c:pt idx="1738">
                  <c:v>-1.694159860697703E-2</c:v>
                </c:pt>
                <c:pt idx="1739">
                  <c:v>-2.5807564772612249E-3</c:v>
                </c:pt>
                <c:pt idx="1740">
                  <c:v>-2.9763305830599928E-3</c:v>
                </c:pt>
                <c:pt idx="1741">
                  <c:v>6.8245850423458952E-3</c:v>
                </c:pt>
                <c:pt idx="1742">
                  <c:v>6.6842161812395759E-2</c:v>
                </c:pt>
                <c:pt idx="1743">
                  <c:v>2.3872033642302996E-2</c:v>
                </c:pt>
                <c:pt idx="1744">
                  <c:v>-2.5254818053558784E-2</c:v>
                </c:pt>
                <c:pt idx="1745">
                  <c:v>-1.8772669424904333E-2</c:v>
                </c:pt>
                <c:pt idx="1746">
                  <c:v>1.8812235341616666E-2</c:v>
                </c:pt>
                <c:pt idx="1747">
                  <c:v>2.2759193980835556E-2</c:v>
                </c:pt>
                <c:pt idx="1748">
                  <c:v>4.2976746782419813E-3</c:v>
                </c:pt>
                <c:pt idx="1749">
                  <c:v>3.5914797859315545E-3</c:v>
                </c:pt>
                <c:pt idx="1750">
                  <c:v>3.7797775551121544E-3</c:v>
                </c:pt>
                <c:pt idx="1751">
                  <c:v>1.3154518515736405E-2</c:v>
                </c:pt>
                <c:pt idx="1752">
                  <c:v>1.3617814899176406E-2</c:v>
                </c:pt>
                <c:pt idx="1753">
                  <c:v>9.928274376408322E-3</c:v>
                </c:pt>
                <c:pt idx="1754">
                  <c:v>-4.0588924840919659E-3</c:v>
                </c:pt>
                <c:pt idx="1755">
                  <c:v>2.5767292111388848E-3</c:v>
                </c:pt>
                <c:pt idx="1756">
                  <c:v>1.1044307587542962E-2</c:v>
                </c:pt>
                <c:pt idx="1757">
                  <c:v>-2.5459858057877361E-2</c:v>
                </c:pt>
                <c:pt idx="1758">
                  <c:v>2.314237927616929E-2</c:v>
                </c:pt>
                <c:pt idx="1759">
                  <c:v>-3.2536347520749319E-2</c:v>
                </c:pt>
                <c:pt idx="1760">
                  <c:v>2.3745656034729703E-3</c:v>
                </c:pt>
                <c:pt idx="1761">
                  <c:v>2.9772484940952925E-2</c:v>
                </c:pt>
                <c:pt idx="1762">
                  <c:v>-1.3322015515525197E-2</c:v>
                </c:pt>
                <c:pt idx="1763">
                  <c:v>2.0790207878267956E-2</c:v>
                </c:pt>
                <c:pt idx="1764">
                  <c:v>-3.2717792165198184E-2</c:v>
                </c:pt>
                <c:pt idx="1765">
                  <c:v>3.1366667532180516E-2</c:v>
                </c:pt>
                <c:pt idx="1766">
                  <c:v>-1.7514432960912284E-2</c:v>
                </c:pt>
                <c:pt idx="1767">
                  <c:v>3.9945172860262181E-4</c:v>
                </c:pt>
                <c:pt idx="1768">
                  <c:v>1.5384327373313657E-2</c:v>
                </c:pt>
                <c:pt idx="1769">
                  <c:v>-1.1886213279463221E-2</c:v>
                </c:pt>
                <c:pt idx="1770">
                  <c:v>-3.548188127297161E-2</c:v>
                </c:pt>
                <c:pt idx="1771">
                  <c:v>-1.7689732684409945E-2</c:v>
                </c:pt>
                <c:pt idx="1772">
                  <c:v>4.1113716886452975E-2</c:v>
                </c:pt>
                <c:pt idx="1773">
                  <c:v>2.1493752836371782E-2</c:v>
                </c:pt>
                <c:pt idx="1774">
                  <c:v>-9.2756252013722045E-3</c:v>
                </c:pt>
                <c:pt idx="1775">
                  <c:v>-2.8422411025467827E-2</c:v>
                </c:pt>
                <c:pt idx="1776">
                  <c:v>3.1814971922108033E-2</c:v>
                </c:pt>
                <c:pt idx="1777">
                  <c:v>-4.6087569825751747E-2</c:v>
                </c:pt>
                <c:pt idx="1778">
                  <c:v>-6.1525848432057405E-3</c:v>
                </c:pt>
                <c:pt idx="1779">
                  <c:v>-2.7380367572505154E-2</c:v>
                </c:pt>
                <c:pt idx="1780">
                  <c:v>-3.082834887877162E-2</c:v>
                </c:pt>
                <c:pt idx="1781">
                  <c:v>1.7152077391416859E-2</c:v>
                </c:pt>
                <c:pt idx="1782">
                  <c:v>1.3975514458616854E-2</c:v>
                </c:pt>
                <c:pt idx="1783">
                  <c:v>3.4031364406560287E-2</c:v>
                </c:pt>
                <c:pt idx="1784">
                  <c:v>9.7502501138553681E-3</c:v>
                </c:pt>
                <c:pt idx="1785">
                  <c:v>2.6179454411962379E-2</c:v>
                </c:pt>
                <c:pt idx="1786">
                  <c:v>-8.8817995951005757E-3</c:v>
                </c:pt>
                <c:pt idx="1787">
                  <c:v>2.3951813398331787E-2</c:v>
                </c:pt>
                <c:pt idx="1788">
                  <c:v>3.9376809903249339E-3</c:v>
                </c:pt>
                <c:pt idx="1789">
                  <c:v>3.5227625648179363E-2</c:v>
                </c:pt>
                <c:pt idx="1790">
                  <c:v>4.0510767996785628E-3</c:v>
                </c:pt>
                <c:pt idx="1791">
                  <c:v>-3.6459691908884054E-2</c:v>
                </c:pt>
                <c:pt idx="1792">
                  <c:v>-3.3355056290642958E-3</c:v>
                </c:pt>
                <c:pt idx="1793">
                  <c:v>3.911454704849425E-2</c:v>
                </c:pt>
                <c:pt idx="1794">
                  <c:v>-2.0701361323575396E-3</c:v>
                </c:pt>
                <c:pt idx="1795">
                  <c:v>2.3657892561785823E-2</c:v>
                </c:pt>
                <c:pt idx="1796">
                  <c:v>-4.2697865119332296E-2</c:v>
                </c:pt>
                <c:pt idx="1797">
                  <c:v>-8.6570797991620783E-3</c:v>
                </c:pt>
                <c:pt idx="1798">
                  <c:v>-2.1940162918751293E-2</c:v>
                </c:pt>
                <c:pt idx="1799">
                  <c:v>-3.0002974810788563E-3</c:v>
                </c:pt>
                <c:pt idx="1800">
                  <c:v>4.1445933654560268E-3</c:v>
                </c:pt>
                <c:pt idx="1801">
                  <c:v>-4.732154864576129E-2</c:v>
                </c:pt>
                <c:pt idx="1802">
                  <c:v>-2.5153758478183737E-2</c:v>
                </c:pt>
                <c:pt idx="1803">
                  <c:v>3.6653027411116763E-2</c:v>
                </c:pt>
                <c:pt idx="1804">
                  <c:v>-1.3700477409519978E-3</c:v>
                </c:pt>
                <c:pt idx="1805">
                  <c:v>-1.4059616898998198E-2</c:v>
                </c:pt>
                <c:pt idx="1806">
                  <c:v>-1.8298851231380576E-2</c:v>
                </c:pt>
                <c:pt idx="1807">
                  <c:v>-1.1705045560763119E-2</c:v>
                </c:pt>
                <c:pt idx="1808">
                  <c:v>3.3435677262605254E-2</c:v>
                </c:pt>
                <c:pt idx="1809">
                  <c:v>5.2191859495537812E-2</c:v>
                </c:pt>
                <c:pt idx="1810">
                  <c:v>-1.6206062959139077E-2</c:v>
                </c:pt>
                <c:pt idx="1811">
                  <c:v>2.0272216684945429E-2</c:v>
                </c:pt>
                <c:pt idx="1812">
                  <c:v>-4.9024939158460318E-3</c:v>
                </c:pt>
                <c:pt idx="1813">
                  <c:v>-3.1241469735070856E-2</c:v>
                </c:pt>
                <c:pt idx="1814">
                  <c:v>-2.5807788771680523E-2</c:v>
                </c:pt>
                <c:pt idx="1815">
                  <c:v>2.6968381036844687E-2</c:v>
                </c:pt>
                <c:pt idx="1816">
                  <c:v>-1.3369522349435885E-2</c:v>
                </c:pt>
                <c:pt idx="1817">
                  <c:v>4.5919759962005652E-4</c:v>
                </c:pt>
                <c:pt idx="1818">
                  <c:v>-1.2875176638636653E-2</c:v>
                </c:pt>
                <c:pt idx="1819">
                  <c:v>-1.8812405825759722E-2</c:v>
                </c:pt>
                <c:pt idx="1820">
                  <c:v>-4.2702802241304273E-2</c:v>
                </c:pt>
                <c:pt idx="1821">
                  <c:v>7.6667273243618619E-3</c:v>
                </c:pt>
                <c:pt idx="1822">
                  <c:v>-2.4500662972913041E-2</c:v>
                </c:pt>
                <c:pt idx="1823">
                  <c:v>-6.6406840698229781E-3</c:v>
                </c:pt>
                <c:pt idx="1824">
                  <c:v>4.0985054581844864E-2</c:v>
                </c:pt>
                <c:pt idx="1825">
                  <c:v>-1.9147688555922935E-3</c:v>
                </c:pt>
                <c:pt idx="1826">
                  <c:v>3.7600206213181768E-2</c:v>
                </c:pt>
                <c:pt idx="1827">
                  <c:v>1.6710775931138507E-2</c:v>
                </c:pt>
                <c:pt idx="1828">
                  <c:v>-9.2670412991107225E-3</c:v>
                </c:pt>
                <c:pt idx="1829">
                  <c:v>2.4842568773935661E-2</c:v>
                </c:pt>
                <c:pt idx="1830">
                  <c:v>6.3273697222396216E-3</c:v>
                </c:pt>
                <c:pt idx="1831">
                  <c:v>-3.3917247736984672E-2</c:v>
                </c:pt>
                <c:pt idx="1832">
                  <c:v>2.9903987115683695E-2</c:v>
                </c:pt>
                <c:pt idx="1833">
                  <c:v>-3.759052416373572E-2</c:v>
                </c:pt>
                <c:pt idx="1834">
                  <c:v>-2.832689229727335E-3</c:v>
                </c:pt>
                <c:pt idx="1835">
                  <c:v>-7.8529992672223912E-3</c:v>
                </c:pt>
                <c:pt idx="1836">
                  <c:v>-1.0024601237567486E-2</c:v>
                </c:pt>
                <c:pt idx="1837">
                  <c:v>2.3078236368285317E-2</c:v>
                </c:pt>
                <c:pt idx="1838">
                  <c:v>3.0371280747680642E-3</c:v>
                </c:pt>
                <c:pt idx="1839">
                  <c:v>-3.0852235665637006E-2</c:v>
                </c:pt>
                <c:pt idx="1840">
                  <c:v>4.344287301130801E-2</c:v>
                </c:pt>
                <c:pt idx="1841">
                  <c:v>-3.2237249174899903E-2</c:v>
                </c:pt>
                <c:pt idx="1842">
                  <c:v>1.0586562813770628E-2</c:v>
                </c:pt>
                <c:pt idx="1843">
                  <c:v>4.1834371943724642E-2</c:v>
                </c:pt>
                <c:pt idx="1844">
                  <c:v>1.5673659563055522E-2</c:v>
                </c:pt>
                <c:pt idx="1845">
                  <c:v>-1.544556423302372E-2</c:v>
                </c:pt>
                <c:pt idx="1846">
                  <c:v>1.7952756992023276E-2</c:v>
                </c:pt>
                <c:pt idx="1847">
                  <c:v>-1.0022161606972271E-2</c:v>
                </c:pt>
                <c:pt idx="1848">
                  <c:v>-5.5403658641714881E-3</c:v>
                </c:pt>
                <c:pt idx="1849">
                  <c:v>-2.5465900723664939E-5</c:v>
                </c:pt>
                <c:pt idx="1850">
                  <c:v>-1.4463292812454074E-2</c:v>
                </c:pt>
                <c:pt idx="1851">
                  <c:v>1.7815915577395307E-2</c:v>
                </c:pt>
                <c:pt idx="1852">
                  <c:v>-1.9640907719864042E-2</c:v>
                </c:pt>
                <c:pt idx="1853">
                  <c:v>2.9784897898485596E-2</c:v>
                </c:pt>
                <c:pt idx="1854">
                  <c:v>-3.0526444237147852E-3</c:v>
                </c:pt>
                <c:pt idx="1855">
                  <c:v>2.2296228028176796E-3</c:v>
                </c:pt>
                <c:pt idx="1856">
                  <c:v>3.3762382389884251E-3</c:v>
                </c:pt>
                <c:pt idx="1857">
                  <c:v>-1.1985664200518453E-2</c:v>
                </c:pt>
                <c:pt idx="1858">
                  <c:v>-1.4645488591305366E-2</c:v>
                </c:pt>
                <c:pt idx="1859">
                  <c:v>2.2039681602594161E-2</c:v>
                </c:pt>
                <c:pt idx="1860">
                  <c:v>1.4990605698497852E-2</c:v>
                </c:pt>
                <c:pt idx="1861">
                  <c:v>-3.3701256338651606E-2</c:v>
                </c:pt>
                <c:pt idx="1862">
                  <c:v>7.8179513885694787E-3</c:v>
                </c:pt>
                <c:pt idx="1863">
                  <c:v>-1.1332780479544521E-2</c:v>
                </c:pt>
                <c:pt idx="1864">
                  <c:v>-2.6936983818683206E-2</c:v>
                </c:pt>
                <c:pt idx="1865">
                  <c:v>7.4110738496066999E-3</c:v>
                </c:pt>
                <c:pt idx="1866">
                  <c:v>-2.5271420441064205E-2</c:v>
                </c:pt>
                <c:pt idx="1867">
                  <c:v>-1.1366383235419249E-2</c:v>
                </c:pt>
                <c:pt idx="1868">
                  <c:v>-4.3657695320578178E-2</c:v>
                </c:pt>
                <c:pt idx="1869">
                  <c:v>-4.5425062027425861E-4</c:v>
                </c:pt>
                <c:pt idx="1870">
                  <c:v>-3.3767454335123771E-2</c:v>
                </c:pt>
                <c:pt idx="1871">
                  <c:v>1.0469035607086803E-2</c:v>
                </c:pt>
                <c:pt idx="1872">
                  <c:v>-9.1463286138483736E-3</c:v>
                </c:pt>
                <c:pt idx="1873">
                  <c:v>3.1455564970336747E-2</c:v>
                </c:pt>
                <c:pt idx="1874">
                  <c:v>4.4805040315582204E-2</c:v>
                </c:pt>
                <c:pt idx="1875">
                  <c:v>1.693953149406503E-3</c:v>
                </c:pt>
                <c:pt idx="1876">
                  <c:v>-1.4199200177717846E-2</c:v>
                </c:pt>
                <c:pt idx="1877">
                  <c:v>2.3679137686600734E-4</c:v>
                </c:pt>
                <c:pt idx="1878">
                  <c:v>-3.0757414830521895E-2</c:v>
                </c:pt>
                <c:pt idx="1879">
                  <c:v>-2.4476657908572851E-2</c:v>
                </c:pt>
                <c:pt idx="1880">
                  <c:v>-2.0673209780419206E-2</c:v>
                </c:pt>
                <c:pt idx="1881">
                  <c:v>3.9501643097500242E-3</c:v>
                </c:pt>
                <c:pt idx="1882">
                  <c:v>-7.7048951041040585E-3</c:v>
                </c:pt>
                <c:pt idx="1883">
                  <c:v>-2.8579771996136375E-3</c:v>
                </c:pt>
                <c:pt idx="1884">
                  <c:v>-3.2219822189807436E-2</c:v>
                </c:pt>
                <c:pt idx="1885">
                  <c:v>-2.8096035209224303E-2</c:v>
                </c:pt>
                <c:pt idx="1886">
                  <c:v>-2.984789122000063E-2</c:v>
                </c:pt>
                <c:pt idx="1887">
                  <c:v>2.4513386246060899E-2</c:v>
                </c:pt>
                <c:pt idx="1888">
                  <c:v>-4.4559753532582187E-3</c:v>
                </c:pt>
                <c:pt idx="1889">
                  <c:v>-8.9439263439769438E-3</c:v>
                </c:pt>
                <c:pt idx="1890">
                  <c:v>2.0222990105145021E-2</c:v>
                </c:pt>
                <c:pt idx="1891">
                  <c:v>5.1643535019872046E-2</c:v>
                </c:pt>
                <c:pt idx="1892">
                  <c:v>3.5212306305765828E-2</c:v>
                </c:pt>
                <c:pt idx="1893">
                  <c:v>-4.7902309525667451E-2</c:v>
                </c:pt>
                <c:pt idx="1894">
                  <c:v>-1.2653865494156352E-2</c:v>
                </c:pt>
                <c:pt idx="1895">
                  <c:v>4.6676150048210879E-3</c:v>
                </c:pt>
                <c:pt idx="1896">
                  <c:v>-4.216551212228397E-3</c:v>
                </c:pt>
                <c:pt idx="1897">
                  <c:v>3.1505903694730789E-2</c:v>
                </c:pt>
                <c:pt idx="1898">
                  <c:v>8.0288739170301677E-3</c:v>
                </c:pt>
                <c:pt idx="1899">
                  <c:v>2.7394241573780948E-3</c:v>
                </c:pt>
                <c:pt idx="1900">
                  <c:v>1.9065498337193523E-2</c:v>
                </c:pt>
                <c:pt idx="1901">
                  <c:v>7.6707068800194959E-3</c:v>
                </c:pt>
                <c:pt idx="1902">
                  <c:v>8.2946920479227346E-3</c:v>
                </c:pt>
                <c:pt idx="1903">
                  <c:v>5.3615084047098811E-3</c:v>
                </c:pt>
                <c:pt idx="1904">
                  <c:v>1.2253442625912971E-2</c:v>
                </c:pt>
                <c:pt idx="1905">
                  <c:v>-1.8815075810489752E-2</c:v>
                </c:pt>
                <c:pt idx="1906">
                  <c:v>1.1189749103539455E-2</c:v>
                </c:pt>
                <c:pt idx="1907">
                  <c:v>-2.3183534794559934E-2</c:v>
                </c:pt>
                <c:pt idx="1908">
                  <c:v>-4.1337959893191278E-2</c:v>
                </c:pt>
                <c:pt idx="1909">
                  <c:v>-5.742040087965054E-3</c:v>
                </c:pt>
                <c:pt idx="1910">
                  <c:v>-2.6782310607446576E-2</c:v>
                </c:pt>
                <c:pt idx="1911">
                  <c:v>-1.4710485557072526E-2</c:v>
                </c:pt>
                <c:pt idx="1912">
                  <c:v>-3.8874933070685576E-2</c:v>
                </c:pt>
                <c:pt idx="1913">
                  <c:v>-1.4194996895152835E-2</c:v>
                </c:pt>
                <c:pt idx="1914">
                  <c:v>2.4330917131131524E-3</c:v>
                </c:pt>
                <c:pt idx="1915">
                  <c:v>-8.6772944765701118E-3</c:v>
                </c:pt>
                <c:pt idx="1916">
                  <c:v>-1.492157584660897E-2</c:v>
                </c:pt>
                <c:pt idx="1917">
                  <c:v>2.2596387895604714E-2</c:v>
                </c:pt>
                <c:pt idx="1918">
                  <c:v>9.1838624166221995E-4</c:v>
                </c:pt>
                <c:pt idx="1919">
                  <c:v>9.5013014192602708E-3</c:v>
                </c:pt>
                <c:pt idx="1920">
                  <c:v>-1.1492137138590847E-2</c:v>
                </c:pt>
                <c:pt idx="1921">
                  <c:v>-1.9349969104057126E-2</c:v>
                </c:pt>
                <c:pt idx="1922">
                  <c:v>-1.0248685856534476E-2</c:v>
                </c:pt>
                <c:pt idx="1923">
                  <c:v>-2.7741098717723858E-2</c:v>
                </c:pt>
                <c:pt idx="1924">
                  <c:v>-2.1011184170447568E-2</c:v>
                </c:pt>
                <c:pt idx="1925">
                  <c:v>1.0895583815894382E-4</c:v>
                </c:pt>
                <c:pt idx="1926">
                  <c:v>-3.2772930498870174E-3</c:v>
                </c:pt>
                <c:pt idx="1927">
                  <c:v>-3.7425064195951117E-2</c:v>
                </c:pt>
                <c:pt idx="1928">
                  <c:v>-2.2068539821725151E-2</c:v>
                </c:pt>
                <c:pt idx="1929">
                  <c:v>-3.144892566011219E-2</c:v>
                </c:pt>
                <c:pt idx="1930">
                  <c:v>-5.274532351419791E-3</c:v>
                </c:pt>
                <c:pt idx="1931">
                  <c:v>6.9060116056897955E-4</c:v>
                </c:pt>
                <c:pt idx="1932">
                  <c:v>-2.2761096395478641E-2</c:v>
                </c:pt>
                <c:pt idx="1933">
                  <c:v>4.3192080637366792E-2</c:v>
                </c:pt>
                <c:pt idx="1934">
                  <c:v>-2.1239359362533624E-2</c:v>
                </c:pt>
                <c:pt idx="1935">
                  <c:v>3.0534437505321602E-2</c:v>
                </c:pt>
                <c:pt idx="1936">
                  <c:v>-3.2657275668233565E-2</c:v>
                </c:pt>
                <c:pt idx="1937">
                  <c:v>-6.2343703311608487E-4</c:v>
                </c:pt>
                <c:pt idx="1938">
                  <c:v>2.8856053905049445E-2</c:v>
                </c:pt>
                <c:pt idx="1939">
                  <c:v>-8.8462320384577724E-4</c:v>
                </c:pt>
                <c:pt idx="1940">
                  <c:v>-1.9271964306075914E-2</c:v>
                </c:pt>
                <c:pt idx="1941">
                  <c:v>-1.6287559699362474E-2</c:v>
                </c:pt>
                <c:pt idx="1942">
                  <c:v>3.852866202429539E-2</c:v>
                </c:pt>
                <c:pt idx="1943">
                  <c:v>-3.5299073475542897E-2</c:v>
                </c:pt>
                <c:pt idx="1944">
                  <c:v>1.7041720513249755E-2</c:v>
                </c:pt>
                <c:pt idx="1945">
                  <c:v>-1.6620577917984058E-2</c:v>
                </c:pt>
                <c:pt idx="1946">
                  <c:v>8.0875248081547085E-3</c:v>
                </c:pt>
                <c:pt idx="1947">
                  <c:v>6.355707970262256E-2</c:v>
                </c:pt>
                <c:pt idx="1948">
                  <c:v>-1.0195486765928373E-2</c:v>
                </c:pt>
                <c:pt idx="1949">
                  <c:v>-4.5612718176524361E-2</c:v>
                </c:pt>
                <c:pt idx="1950">
                  <c:v>-1.8259103236972194E-2</c:v>
                </c:pt>
                <c:pt idx="1951">
                  <c:v>1.2883359538338843E-2</c:v>
                </c:pt>
                <c:pt idx="1952">
                  <c:v>-8.9852133087994475E-4</c:v>
                </c:pt>
                <c:pt idx="1953">
                  <c:v>-3.8712393218112632E-3</c:v>
                </c:pt>
                <c:pt idx="1954">
                  <c:v>2.1218104830938445E-3</c:v>
                </c:pt>
                <c:pt idx="1955">
                  <c:v>2.9938068434261472E-2</c:v>
                </c:pt>
                <c:pt idx="1956">
                  <c:v>4.4197060927477824E-3</c:v>
                </c:pt>
                <c:pt idx="1957">
                  <c:v>1.9674671678101108E-2</c:v>
                </c:pt>
                <c:pt idx="1958">
                  <c:v>-8.6972399444835355E-3</c:v>
                </c:pt>
                <c:pt idx="1959">
                  <c:v>2.5592323699748818E-2</c:v>
                </c:pt>
                <c:pt idx="1960">
                  <c:v>-2.8845031515589278E-3</c:v>
                </c:pt>
                <c:pt idx="1961">
                  <c:v>1.8693766666406995E-4</c:v>
                </c:pt>
                <c:pt idx="1962">
                  <c:v>-1.0851848136414861E-2</c:v>
                </c:pt>
                <c:pt idx="1963">
                  <c:v>-3.0748089704358463E-2</c:v>
                </c:pt>
                <c:pt idx="1964">
                  <c:v>5.9895204412810706E-3</c:v>
                </c:pt>
                <c:pt idx="1965">
                  <c:v>-3.4243900063644993E-2</c:v>
                </c:pt>
                <c:pt idx="1966">
                  <c:v>4.9486658358936716E-3</c:v>
                </c:pt>
                <c:pt idx="1967">
                  <c:v>2.8388912397445787E-2</c:v>
                </c:pt>
                <c:pt idx="1968">
                  <c:v>-5.039893033198491E-3</c:v>
                </c:pt>
                <c:pt idx="1969">
                  <c:v>-8.646971703945858E-4</c:v>
                </c:pt>
                <c:pt idx="1970">
                  <c:v>1.9604379927164045E-2</c:v>
                </c:pt>
                <c:pt idx="1971">
                  <c:v>3.1857637292819423E-2</c:v>
                </c:pt>
                <c:pt idx="1972">
                  <c:v>3.3429944062634675E-3</c:v>
                </c:pt>
                <c:pt idx="1973">
                  <c:v>-3.8260628710544173E-3</c:v>
                </c:pt>
                <c:pt idx="1974">
                  <c:v>3.1801727426288957E-2</c:v>
                </c:pt>
                <c:pt idx="1975">
                  <c:v>-1.3452104985197239E-2</c:v>
                </c:pt>
                <c:pt idx="1976">
                  <c:v>-6.9598963138271207E-3</c:v>
                </c:pt>
                <c:pt idx="1977">
                  <c:v>-2.7844637330619069E-2</c:v>
                </c:pt>
                <c:pt idx="1978">
                  <c:v>-2.9082507574161736E-2</c:v>
                </c:pt>
                <c:pt idx="1979">
                  <c:v>-3.2152995942687584E-2</c:v>
                </c:pt>
                <c:pt idx="1980">
                  <c:v>-3.1703776552334265E-2</c:v>
                </c:pt>
                <c:pt idx="1981">
                  <c:v>7.5380399606532564E-3</c:v>
                </c:pt>
                <c:pt idx="1982">
                  <c:v>9.6459656484782479E-3</c:v>
                </c:pt>
                <c:pt idx="1983">
                  <c:v>-1.3784459872920833E-2</c:v>
                </c:pt>
                <c:pt idx="1984">
                  <c:v>-3.2668025791826025E-2</c:v>
                </c:pt>
                <c:pt idx="1985">
                  <c:v>-5.6218163405471217E-3</c:v>
                </c:pt>
                <c:pt idx="1986">
                  <c:v>6.6715949889134107E-3</c:v>
                </c:pt>
                <c:pt idx="1987">
                  <c:v>1.2075035043557074E-2</c:v>
                </c:pt>
                <c:pt idx="1988">
                  <c:v>4.386304035672859E-2</c:v>
                </c:pt>
                <c:pt idx="1989">
                  <c:v>1.5129573805083086E-2</c:v>
                </c:pt>
                <c:pt idx="1990">
                  <c:v>5.6308679066496264E-3</c:v>
                </c:pt>
                <c:pt idx="1991">
                  <c:v>1.5285985968684525E-2</c:v>
                </c:pt>
                <c:pt idx="1992">
                  <c:v>-5.9906688923539678E-3</c:v>
                </c:pt>
                <c:pt idx="1993">
                  <c:v>1.0631364474523425E-2</c:v>
                </c:pt>
                <c:pt idx="1994">
                  <c:v>4.3816557403836214E-2</c:v>
                </c:pt>
                <c:pt idx="1995">
                  <c:v>-4.068561557307894E-2</c:v>
                </c:pt>
                <c:pt idx="1996">
                  <c:v>1.4573100251488915E-2</c:v>
                </c:pt>
                <c:pt idx="1997">
                  <c:v>1.9410854009280227E-3</c:v>
                </c:pt>
                <c:pt idx="1998">
                  <c:v>8.4651188321673686E-3</c:v>
                </c:pt>
                <c:pt idx="1999">
                  <c:v>2.6493744877484973E-2</c:v>
                </c:pt>
                <c:pt idx="2000">
                  <c:v>-2.9274578714140919E-2</c:v>
                </c:pt>
                <c:pt idx="2001">
                  <c:v>-4.432171197374675E-2</c:v>
                </c:pt>
                <c:pt idx="2002">
                  <c:v>-1.8788187591263605E-2</c:v>
                </c:pt>
                <c:pt idx="2003">
                  <c:v>-7.0757712111193301E-3</c:v>
                </c:pt>
                <c:pt idx="2004">
                  <c:v>-4.9315525639516487E-2</c:v>
                </c:pt>
                <c:pt idx="2005">
                  <c:v>-6.4835056162823677E-3</c:v>
                </c:pt>
                <c:pt idx="2006">
                  <c:v>-9.3362035065167118E-3</c:v>
                </c:pt>
                <c:pt idx="2007">
                  <c:v>1.4623312798219596E-2</c:v>
                </c:pt>
                <c:pt idx="2008">
                  <c:v>2.8564038766764353E-2</c:v>
                </c:pt>
                <c:pt idx="2009">
                  <c:v>4.6263356076655972E-3</c:v>
                </c:pt>
                <c:pt idx="2010">
                  <c:v>-1.150419430798532E-2</c:v>
                </c:pt>
                <c:pt idx="2011">
                  <c:v>5.4316064159264467E-2</c:v>
                </c:pt>
                <c:pt idx="2012">
                  <c:v>-7.9248013105507747E-3</c:v>
                </c:pt>
                <c:pt idx="2013">
                  <c:v>1.8383383367056551E-2</c:v>
                </c:pt>
                <c:pt idx="2014">
                  <c:v>3.6094216072852854E-2</c:v>
                </c:pt>
                <c:pt idx="2015">
                  <c:v>3.0699681045743077E-3</c:v>
                </c:pt>
                <c:pt idx="2016">
                  <c:v>1.9736743833813877E-2</c:v>
                </c:pt>
                <c:pt idx="2017">
                  <c:v>-9.6149767575413256E-3</c:v>
                </c:pt>
                <c:pt idx="2018">
                  <c:v>2.7768345168863288E-2</c:v>
                </c:pt>
                <c:pt idx="2019">
                  <c:v>-2.8353417482363641E-2</c:v>
                </c:pt>
                <c:pt idx="2020">
                  <c:v>-5.3945010419758129E-3</c:v>
                </c:pt>
                <c:pt idx="2021">
                  <c:v>-2.1049938224951041E-2</c:v>
                </c:pt>
                <c:pt idx="2022">
                  <c:v>-2.1149547930006461E-3</c:v>
                </c:pt>
                <c:pt idx="2023">
                  <c:v>3.4751624376801685E-3</c:v>
                </c:pt>
                <c:pt idx="2024">
                  <c:v>-1.3281367811777928E-2</c:v>
                </c:pt>
                <c:pt idx="2025">
                  <c:v>-3.0158601023574941E-2</c:v>
                </c:pt>
                <c:pt idx="2026">
                  <c:v>-2.0703297056028601E-2</c:v>
                </c:pt>
                <c:pt idx="2027">
                  <c:v>-1.0871707823588235E-2</c:v>
                </c:pt>
                <c:pt idx="2028">
                  <c:v>-4.0624424522053497E-2</c:v>
                </c:pt>
                <c:pt idx="2029">
                  <c:v>1.3720606050325735E-2</c:v>
                </c:pt>
                <c:pt idx="2030">
                  <c:v>1.3578187287171929E-2</c:v>
                </c:pt>
                <c:pt idx="2031">
                  <c:v>-4.7153168730751385E-2</c:v>
                </c:pt>
                <c:pt idx="2032">
                  <c:v>2.5580938130675711E-2</c:v>
                </c:pt>
                <c:pt idx="2033">
                  <c:v>-1.7106591387396283E-2</c:v>
                </c:pt>
                <c:pt idx="2034">
                  <c:v>-3.5711090736214153E-2</c:v>
                </c:pt>
                <c:pt idx="2035">
                  <c:v>2.0203096129338034E-2</c:v>
                </c:pt>
                <c:pt idx="2036">
                  <c:v>2.4687936086033618E-2</c:v>
                </c:pt>
                <c:pt idx="2037">
                  <c:v>4.0051938076311314E-2</c:v>
                </c:pt>
                <c:pt idx="2038">
                  <c:v>1.0997136883251461E-2</c:v>
                </c:pt>
                <c:pt idx="2039">
                  <c:v>1.5063136436196528E-3</c:v>
                </c:pt>
                <c:pt idx="2040">
                  <c:v>-7.8718908191614898E-3</c:v>
                </c:pt>
                <c:pt idx="2041">
                  <c:v>4.479815622943762E-2</c:v>
                </c:pt>
                <c:pt idx="2042">
                  <c:v>1.8448309215222322E-2</c:v>
                </c:pt>
                <c:pt idx="2043">
                  <c:v>3.3201636904708502E-2</c:v>
                </c:pt>
                <c:pt idx="2044">
                  <c:v>-9.7472778062828221E-3</c:v>
                </c:pt>
                <c:pt idx="2045">
                  <c:v>5.2778939013018958E-2</c:v>
                </c:pt>
                <c:pt idx="2046">
                  <c:v>-9.5957702296470947E-3</c:v>
                </c:pt>
                <c:pt idx="2047">
                  <c:v>1.3830873844973205E-2</c:v>
                </c:pt>
                <c:pt idx="2048">
                  <c:v>-4.0269409282316905E-2</c:v>
                </c:pt>
                <c:pt idx="2049">
                  <c:v>-7.1281730549422294E-4</c:v>
                </c:pt>
                <c:pt idx="2050">
                  <c:v>-2.5684805196075433E-3</c:v>
                </c:pt>
                <c:pt idx="2051">
                  <c:v>-1.7625958198800775E-2</c:v>
                </c:pt>
                <c:pt idx="2052">
                  <c:v>-6.0490905436469747E-2</c:v>
                </c:pt>
                <c:pt idx="2053">
                  <c:v>4.0244289966877393E-3</c:v>
                </c:pt>
                <c:pt idx="2054">
                  <c:v>2.8707893505927505E-3</c:v>
                </c:pt>
                <c:pt idx="2055">
                  <c:v>-3.7865688868957757E-3</c:v>
                </c:pt>
                <c:pt idx="2056">
                  <c:v>3.817867384380131E-2</c:v>
                </c:pt>
                <c:pt idx="2057">
                  <c:v>-6.3503422206444299E-3</c:v>
                </c:pt>
                <c:pt idx="2058">
                  <c:v>-1.6971146143103199E-2</c:v>
                </c:pt>
                <c:pt idx="2059">
                  <c:v>3.3930237132247978E-2</c:v>
                </c:pt>
                <c:pt idx="2060">
                  <c:v>-4.817117413970036E-2</c:v>
                </c:pt>
                <c:pt idx="2061">
                  <c:v>1.6397759402396975E-2</c:v>
                </c:pt>
                <c:pt idx="2062">
                  <c:v>4.5184143666511065E-2</c:v>
                </c:pt>
                <c:pt idx="2063">
                  <c:v>-8.2424117090395873E-3</c:v>
                </c:pt>
                <c:pt idx="2064">
                  <c:v>3.4025366111869841E-2</c:v>
                </c:pt>
                <c:pt idx="2065">
                  <c:v>-1.9081259265297402E-2</c:v>
                </c:pt>
                <c:pt idx="2066">
                  <c:v>3.3566262466699179E-2</c:v>
                </c:pt>
                <c:pt idx="2067">
                  <c:v>1.251838420711595E-2</c:v>
                </c:pt>
                <c:pt idx="2068">
                  <c:v>-1.7629681645828787E-2</c:v>
                </c:pt>
                <c:pt idx="2069">
                  <c:v>8.0572837108915732E-3</c:v>
                </c:pt>
                <c:pt idx="2070">
                  <c:v>-2.7668552672918397E-2</c:v>
                </c:pt>
                <c:pt idx="2071">
                  <c:v>2.0880285513081142E-2</c:v>
                </c:pt>
                <c:pt idx="2072">
                  <c:v>7.4316116545316835E-3</c:v>
                </c:pt>
                <c:pt idx="2073">
                  <c:v>3.4383037488671555E-3</c:v>
                </c:pt>
                <c:pt idx="2074">
                  <c:v>-5.0376673875675935E-3</c:v>
                </c:pt>
                <c:pt idx="2075">
                  <c:v>-5.01927514871848E-2</c:v>
                </c:pt>
                <c:pt idx="2076">
                  <c:v>9.0354600014327328E-3</c:v>
                </c:pt>
                <c:pt idx="2077">
                  <c:v>-2.9912727581857531E-2</c:v>
                </c:pt>
                <c:pt idx="2078">
                  <c:v>-1.6254315075821335E-3</c:v>
                </c:pt>
                <c:pt idx="2079">
                  <c:v>3.0517236925230416E-2</c:v>
                </c:pt>
                <c:pt idx="2080">
                  <c:v>-7.5791493528925793E-2</c:v>
                </c:pt>
                <c:pt idx="2081">
                  <c:v>-1.2359130435166671E-2</c:v>
                </c:pt>
                <c:pt idx="2082">
                  <c:v>1.0114528095305686E-2</c:v>
                </c:pt>
                <c:pt idx="2083">
                  <c:v>1.0668662062780838E-2</c:v>
                </c:pt>
                <c:pt idx="2084">
                  <c:v>2.3199166597469158E-2</c:v>
                </c:pt>
                <c:pt idx="2085">
                  <c:v>-3.2733075719960224E-2</c:v>
                </c:pt>
                <c:pt idx="2086">
                  <c:v>-3.9624099990843181E-2</c:v>
                </c:pt>
                <c:pt idx="2087">
                  <c:v>3.464670512574024E-3</c:v>
                </c:pt>
                <c:pt idx="2088">
                  <c:v>-1.8546255146167218E-2</c:v>
                </c:pt>
                <c:pt idx="2089">
                  <c:v>3.0726030384251699E-3</c:v>
                </c:pt>
                <c:pt idx="2090">
                  <c:v>3.1946317279761743E-2</c:v>
                </c:pt>
                <c:pt idx="2091">
                  <c:v>-3.5553808785074435E-2</c:v>
                </c:pt>
                <c:pt idx="2092">
                  <c:v>7.5394255285008913E-3</c:v>
                </c:pt>
                <c:pt idx="2093">
                  <c:v>9.8761374043110969E-3</c:v>
                </c:pt>
                <c:pt idx="2094">
                  <c:v>3.5339121581450292E-2</c:v>
                </c:pt>
                <c:pt idx="2095">
                  <c:v>5.0073592546514036E-3</c:v>
                </c:pt>
                <c:pt idx="2096">
                  <c:v>-7.787146063201739E-3</c:v>
                </c:pt>
                <c:pt idx="2097">
                  <c:v>1.4408876494293951E-2</c:v>
                </c:pt>
                <c:pt idx="2098">
                  <c:v>-2.179402371131085E-2</c:v>
                </c:pt>
                <c:pt idx="2099">
                  <c:v>-1.2231090831869011E-2</c:v>
                </c:pt>
                <c:pt idx="2100">
                  <c:v>-7.0951335269375457E-3</c:v>
                </c:pt>
                <c:pt idx="2101">
                  <c:v>-2.4619773475305425E-2</c:v>
                </c:pt>
                <c:pt idx="2102">
                  <c:v>-3.687353340793087E-2</c:v>
                </c:pt>
                <c:pt idx="2103">
                  <c:v>2.4625672089606542E-2</c:v>
                </c:pt>
                <c:pt idx="2104">
                  <c:v>2.2900196408013322E-2</c:v>
                </c:pt>
                <c:pt idx="2105">
                  <c:v>-1.5607195457920418E-2</c:v>
                </c:pt>
                <c:pt idx="2106">
                  <c:v>-1.8136334853637151E-2</c:v>
                </c:pt>
                <c:pt idx="2107">
                  <c:v>1.1413366750664967E-2</c:v>
                </c:pt>
                <c:pt idx="2108">
                  <c:v>7.3431425090357497E-3</c:v>
                </c:pt>
                <c:pt idx="2109">
                  <c:v>-3.9781114752380602E-3</c:v>
                </c:pt>
                <c:pt idx="2110">
                  <c:v>-3.3112202689937732E-2</c:v>
                </c:pt>
                <c:pt idx="2111">
                  <c:v>-3.5860903064421495E-2</c:v>
                </c:pt>
                <c:pt idx="2112">
                  <c:v>4.0249879044223384E-2</c:v>
                </c:pt>
                <c:pt idx="2113">
                  <c:v>-6.840987742742546E-3</c:v>
                </c:pt>
                <c:pt idx="2114">
                  <c:v>2.1948413336773422E-2</c:v>
                </c:pt>
                <c:pt idx="2115">
                  <c:v>2.0740719934811042E-2</c:v>
                </c:pt>
                <c:pt idx="2116">
                  <c:v>-1.936922948434467E-2</c:v>
                </c:pt>
                <c:pt idx="2117">
                  <c:v>7.9389015846722019E-2</c:v>
                </c:pt>
                <c:pt idx="2118">
                  <c:v>-2.0871127487120136E-2</c:v>
                </c:pt>
                <c:pt idx="2119">
                  <c:v>2.7088897290543385E-2</c:v>
                </c:pt>
                <c:pt idx="2120">
                  <c:v>2.2237625238550954E-2</c:v>
                </c:pt>
                <c:pt idx="2121">
                  <c:v>-3.4442220108914429E-2</c:v>
                </c:pt>
                <c:pt idx="2122">
                  <c:v>3.2137266501714265E-2</c:v>
                </c:pt>
                <c:pt idx="2123">
                  <c:v>-1.839038392922895E-2</c:v>
                </c:pt>
                <c:pt idx="2124">
                  <c:v>2.3345120146740853E-2</c:v>
                </c:pt>
                <c:pt idx="2125">
                  <c:v>-6.0823446511057463E-2</c:v>
                </c:pt>
                <c:pt idx="2126">
                  <c:v>2.9910527366453919E-3</c:v>
                </c:pt>
                <c:pt idx="2127">
                  <c:v>-2.3617588853724607E-2</c:v>
                </c:pt>
                <c:pt idx="2128">
                  <c:v>-7.0902977046750471E-2</c:v>
                </c:pt>
                <c:pt idx="2129">
                  <c:v>1.7135175203070788E-2</c:v>
                </c:pt>
                <c:pt idx="2130">
                  <c:v>-4.3521882554374725E-2</c:v>
                </c:pt>
                <c:pt idx="2131">
                  <c:v>-1.2670717930875455E-2</c:v>
                </c:pt>
                <c:pt idx="2132">
                  <c:v>-1.3421913257973848E-2</c:v>
                </c:pt>
                <c:pt idx="2133">
                  <c:v>2.2240437196656534E-4</c:v>
                </c:pt>
                <c:pt idx="2134">
                  <c:v>1.6379482236482504E-2</c:v>
                </c:pt>
                <c:pt idx="2135">
                  <c:v>-2.7534184467468848E-2</c:v>
                </c:pt>
                <c:pt idx="2136">
                  <c:v>-1.5891517882282609E-2</c:v>
                </c:pt>
                <c:pt idx="2137">
                  <c:v>2.8947867542036671E-2</c:v>
                </c:pt>
                <c:pt idx="2138">
                  <c:v>-4.6979054536766436E-3</c:v>
                </c:pt>
                <c:pt idx="2139">
                  <c:v>5.9259711515628598E-3</c:v>
                </c:pt>
                <c:pt idx="2140">
                  <c:v>-4.7424743365155959E-2</c:v>
                </c:pt>
                <c:pt idx="2141">
                  <c:v>1.1618253399371288E-2</c:v>
                </c:pt>
                <c:pt idx="2142">
                  <c:v>3.732548105693468E-2</c:v>
                </c:pt>
                <c:pt idx="2143">
                  <c:v>-8.8769538608745608E-3</c:v>
                </c:pt>
                <c:pt idx="2144">
                  <c:v>2.5451316132404549E-3</c:v>
                </c:pt>
                <c:pt idx="2145">
                  <c:v>1.192426585607333E-2</c:v>
                </c:pt>
                <c:pt idx="2146">
                  <c:v>-1.3425084645523208E-2</c:v>
                </c:pt>
                <c:pt idx="2147">
                  <c:v>-2.2491893915585585E-3</c:v>
                </c:pt>
                <c:pt idx="2148">
                  <c:v>7.0013603308178452E-3</c:v>
                </c:pt>
                <c:pt idx="2149">
                  <c:v>-1.7998462265042117E-2</c:v>
                </c:pt>
                <c:pt idx="2150">
                  <c:v>1.3751838508015875E-2</c:v>
                </c:pt>
                <c:pt idx="2151">
                  <c:v>2.3835958917924092E-2</c:v>
                </c:pt>
                <c:pt idx="2152">
                  <c:v>1.5882315194041201E-2</c:v>
                </c:pt>
                <c:pt idx="2153">
                  <c:v>1.5368132950812653E-4</c:v>
                </c:pt>
                <c:pt idx="2154">
                  <c:v>9.4564039251296746E-3</c:v>
                </c:pt>
                <c:pt idx="2155">
                  <c:v>2.7154849779737573E-3</c:v>
                </c:pt>
                <c:pt idx="2156">
                  <c:v>3.2568990359424293E-3</c:v>
                </c:pt>
                <c:pt idx="2157">
                  <c:v>1.2305506456161006E-2</c:v>
                </c:pt>
                <c:pt idx="2158">
                  <c:v>-4.1307788612271308E-2</c:v>
                </c:pt>
                <c:pt idx="2159">
                  <c:v>-8.2987473670373554E-4</c:v>
                </c:pt>
                <c:pt idx="2160">
                  <c:v>2.3605485655383528E-2</c:v>
                </c:pt>
                <c:pt idx="2161">
                  <c:v>-1.6972487773640597E-2</c:v>
                </c:pt>
                <c:pt idx="2162">
                  <c:v>-3.5998341243000657E-2</c:v>
                </c:pt>
                <c:pt idx="2163">
                  <c:v>-1.1008601699697258E-2</c:v>
                </c:pt>
                <c:pt idx="2164">
                  <c:v>2.761828257902375E-2</c:v>
                </c:pt>
                <c:pt idx="2165">
                  <c:v>7.8108344639908362E-3</c:v>
                </c:pt>
                <c:pt idx="2166">
                  <c:v>-2.1404337470799516E-2</c:v>
                </c:pt>
                <c:pt idx="2167">
                  <c:v>-1.9307210894289151E-2</c:v>
                </c:pt>
                <c:pt idx="2168">
                  <c:v>-2.1943605900111622E-2</c:v>
                </c:pt>
                <c:pt idx="2169">
                  <c:v>6.7740758629518828E-4</c:v>
                </c:pt>
                <c:pt idx="2170">
                  <c:v>1.0251707756085998E-2</c:v>
                </c:pt>
                <c:pt idx="2171">
                  <c:v>8.8889725146075113E-3</c:v>
                </c:pt>
                <c:pt idx="2172">
                  <c:v>-3.6590700350123982E-2</c:v>
                </c:pt>
                <c:pt idx="2173">
                  <c:v>5.078843530942144E-2</c:v>
                </c:pt>
                <c:pt idx="2174">
                  <c:v>-1.7679087934157334E-2</c:v>
                </c:pt>
                <c:pt idx="2175">
                  <c:v>1.6749212192885654E-3</c:v>
                </c:pt>
                <c:pt idx="2176">
                  <c:v>1.8848651830053142E-2</c:v>
                </c:pt>
                <c:pt idx="2177">
                  <c:v>-9.4882220853535477E-4</c:v>
                </c:pt>
                <c:pt idx="2178">
                  <c:v>-2.2727518479083501E-2</c:v>
                </c:pt>
                <c:pt idx="2179">
                  <c:v>-2.1866975072312791E-2</c:v>
                </c:pt>
                <c:pt idx="2180">
                  <c:v>-3.0073901136777405E-2</c:v>
                </c:pt>
                <c:pt idx="2181">
                  <c:v>1.5468180436373364E-2</c:v>
                </c:pt>
                <c:pt idx="2182">
                  <c:v>2.7374449149809379E-2</c:v>
                </c:pt>
                <c:pt idx="2183">
                  <c:v>1.2531069822635127E-2</c:v>
                </c:pt>
                <c:pt idx="2184">
                  <c:v>1.4676824527709447E-2</c:v>
                </c:pt>
                <c:pt idx="2185">
                  <c:v>5.2279848231283148E-4</c:v>
                </c:pt>
                <c:pt idx="2186">
                  <c:v>-7.6721620562398927E-3</c:v>
                </c:pt>
                <c:pt idx="2187">
                  <c:v>-3.5161274997110151E-2</c:v>
                </c:pt>
                <c:pt idx="2188">
                  <c:v>-1.7262459694223665E-2</c:v>
                </c:pt>
                <c:pt idx="2189">
                  <c:v>2.4791405364196741E-2</c:v>
                </c:pt>
                <c:pt idx="2190">
                  <c:v>-8.791480791681015E-3</c:v>
                </c:pt>
                <c:pt idx="2191">
                  <c:v>-1.2383781083999694E-2</c:v>
                </c:pt>
                <c:pt idx="2192">
                  <c:v>1.1583558472354519E-2</c:v>
                </c:pt>
                <c:pt idx="2193">
                  <c:v>4.4236219675328051E-2</c:v>
                </c:pt>
                <c:pt idx="2194">
                  <c:v>1.8192491661706379E-2</c:v>
                </c:pt>
                <c:pt idx="2195">
                  <c:v>-3.5549486448430347E-2</c:v>
                </c:pt>
                <c:pt idx="2196">
                  <c:v>-1.5889804842112772E-2</c:v>
                </c:pt>
                <c:pt idx="2197">
                  <c:v>3.7816020765922926E-3</c:v>
                </c:pt>
                <c:pt idx="2198">
                  <c:v>-2.174132535344795E-2</c:v>
                </c:pt>
                <c:pt idx="2199">
                  <c:v>-1.5729634010242812E-4</c:v>
                </c:pt>
                <c:pt idx="2200">
                  <c:v>-3.5219483035834151E-2</c:v>
                </c:pt>
                <c:pt idx="2201">
                  <c:v>4.6936792214238555E-2</c:v>
                </c:pt>
                <c:pt idx="2202">
                  <c:v>-2.1181001170524304E-2</c:v>
                </c:pt>
                <c:pt idx="2203">
                  <c:v>3.7519644805752974E-3</c:v>
                </c:pt>
                <c:pt idx="2204">
                  <c:v>2.520153337281456E-3</c:v>
                </c:pt>
                <c:pt idx="2205">
                  <c:v>-1.567969295008026E-2</c:v>
                </c:pt>
                <c:pt idx="2206">
                  <c:v>-1.7375448486068718E-2</c:v>
                </c:pt>
                <c:pt idx="2207">
                  <c:v>-2.4293218729721467E-3</c:v>
                </c:pt>
                <c:pt idx="2208">
                  <c:v>-1.6562078278319011E-2</c:v>
                </c:pt>
                <c:pt idx="2209">
                  <c:v>-4.9047853542247906E-4</c:v>
                </c:pt>
                <c:pt idx="2210">
                  <c:v>6.6868420075542334E-3</c:v>
                </c:pt>
                <c:pt idx="2211">
                  <c:v>1.161045999711699E-2</c:v>
                </c:pt>
                <c:pt idx="2212">
                  <c:v>-2.3168441057883085E-2</c:v>
                </c:pt>
                <c:pt idx="2213">
                  <c:v>-1.4492509466380733E-2</c:v>
                </c:pt>
                <c:pt idx="2214">
                  <c:v>1.1539454574940679E-2</c:v>
                </c:pt>
                <c:pt idx="2215">
                  <c:v>-5.7501172991663886E-3</c:v>
                </c:pt>
                <c:pt idx="2216">
                  <c:v>1.9378246732791652E-2</c:v>
                </c:pt>
                <c:pt idx="2217">
                  <c:v>-2.0307598816056247E-2</c:v>
                </c:pt>
                <c:pt idx="2218">
                  <c:v>-1.5419150007179583E-2</c:v>
                </c:pt>
                <c:pt idx="2219">
                  <c:v>-2.3067361567373902E-3</c:v>
                </c:pt>
                <c:pt idx="2220">
                  <c:v>-2.3972835557653484E-2</c:v>
                </c:pt>
                <c:pt idx="2221">
                  <c:v>-1.5799767074626456E-3</c:v>
                </c:pt>
                <c:pt idx="2222">
                  <c:v>2.8814661731712026E-2</c:v>
                </c:pt>
                <c:pt idx="2223">
                  <c:v>-4.5550056577377318E-2</c:v>
                </c:pt>
                <c:pt idx="2224">
                  <c:v>-1.9850760899557522E-3</c:v>
                </c:pt>
                <c:pt idx="2225">
                  <c:v>6.325485866488921E-2</c:v>
                </c:pt>
                <c:pt idx="2226">
                  <c:v>1.5694428480249684E-2</c:v>
                </c:pt>
                <c:pt idx="2227">
                  <c:v>-8.9267976080508373E-3</c:v>
                </c:pt>
                <c:pt idx="2228">
                  <c:v>-1.4854840284693985E-2</c:v>
                </c:pt>
                <c:pt idx="2229">
                  <c:v>-2.3485898706026426E-2</c:v>
                </c:pt>
                <c:pt idx="2230">
                  <c:v>2.5566452419006111E-2</c:v>
                </c:pt>
                <c:pt idx="2231">
                  <c:v>-1.492994638187501E-2</c:v>
                </c:pt>
                <c:pt idx="2232">
                  <c:v>-2.8125078222328428E-2</c:v>
                </c:pt>
                <c:pt idx="2233">
                  <c:v>4.672233183190445E-3</c:v>
                </c:pt>
                <c:pt idx="2234">
                  <c:v>3.1902417601830754E-2</c:v>
                </c:pt>
                <c:pt idx="2235">
                  <c:v>2.7551375240187026E-2</c:v>
                </c:pt>
                <c:pt idx="2236">
                  <c:v>1.2003606924717424E-3</c:v>
                </c:pt>
                <c:pt idx="2237">
                  <c:v>2.5191772794052578E-2</c:v>
                </c:pt>
                <c:pt idx="2238">
                  <c:v>2.2785960415280079E-2</c:v>
                </c:pt>
                <c:pt idx="2239">
                  <c:v>-1.3418538144431917E-2</c:v>
                </c:pt>
                <c:pt idx="2240">
                  <c:v>-3.1116534217810374E-3</c:v>
                </c:pt>
                <c:pt idx="2241">
                  <c:v>2.0112288565894892E-2</c:v>
                </c:pt>
                <c:pt idx="2242">
                  <c:v>-7.6843329267923359E-3</c:v>
                </c:pt>
                <c:pt idx="2243">
                  <c:v>3.4948345437340038E-2</c:v>
                </c:pt>
                <c:pt idx="2244">
                  <c:v>1.0385833021583806E-2</c:v>
                </c:pt>
                <c:pt idx="2245">
                  <c:v>-2.0949475384187635E-2</c:v>
                </c:pt>
                <c:pt idx="2246">
                  <c:v>1.2464302640064427E-2</c:v>
                </c:pt>
                <c:pt idx="2247">
                  <c:v>5.9485106371615463E-3</c:v>
                </c:pt>
                <c:pt idx="2248">
                  <c:v>5.6429042597425073E-2</c:v>
                </c:pt>
                <c:pt idx="2249">
                  <c:v>1.8726867607516563E-2</c:v>
                </c:pt>
                <c:pt idx="2250">
                  <c:v>1.7294802473963682E-2</c:v>
                </c:pt>
                <c:pt idx="2251">
                  <c:v>2.4529664370795231E-2</c:v>
                </c:pt>
                <c:pt idx="2252">
                  <c:v>-2.0974321770784947E-2</c:v>
                </c:pt>
                <c:pt idx="2253">
                  <c:v>-5.1843181918889984E-4</c:v>
                </c:pt>
                <c:pt idx="2254">
                  <c:v>-1.5068187394914542E-2</c:v>
                </c:pt>
                <c:pt idx="2255">
                  <c:v>-4.4449820870884754E-3</c:v>
                </c:pt>
                <c:pt idx="2256">
                  <c:v>1.3961473104343249E-3</c:v>
                </c:pt>
                <c:pt idx="2257">
                  <c:v>2.7841327821632532E-2</c:v>
                </c:pt>
                <c:pt idx="2258">
                  <c:v>3.6789653375476718E-2</c:v>
                </c:pt>
                <c:pt idx="2259">
                  <c:v>5.3975643699189196E-4</c:v>
                </c:pt>
                <c:pt idx="2260">
                  <c:v>-6.2471832995946472E-4</c:v>
                </c:pt>
                <c:pt idx="2261">
                  <c:v>-5.1619163338724339E-3</c:v>
                </c:pt>
                <c:pt idx="2262">
                  <c:v>-2.4522416620940558E-2</c:v>
                </c:pt>
                <c:pt idx="2263">
                  <c:v>1.5532984706099933E-2</c:v>
                </c:pt>
                <c:pt idx="2264">
                  <c:v>1.473838715794411E-2</c:v>
                </c:pt>
                <c:pt idx="2265">
                  <c:v>2.3949110256820435E-4</c:v>
                </c:pt>
                <c:pt idx="2266">
                  <c:v>-4.902601640763499E-3</c:v>
                </c:pt>
                <c:pt idx="2267">
                  <c:v>2.5276665123392375E-3</c:v>
                </c:pt>
                <c:pt idx="2268">
                  <c:v>-3.882214952144742E-2</c:v>
                </c:pt>
                <c:pt idx="2269">
                  <c:v>-1.1464780886969011E-2</c:v>
                </c:pt>
                <c:pt idx="2270">
                  <c:v>8.5535750474442958E-3</c:v>
                </c:pt>
                <c:pt idx="2271">
                  <c:v>6.2587298682693568E-3</c:v>
                </c:pt>
                <c:pt idx="2272">
                  <c:v>6.2288961089543172E-3</c:v>
                </c:pt>
                <c:pt idx="2273">
                  <c:v>2.7368063054241994E-2</c:v>
                </c:pt>
                <c:pt idx="2274">
                  <c:v>1.6297678388038413E-2</c:v>
                </c:pt>
                <c:pt idx="2275">
                  <c:v>5.9282063868910662E-2</c:v>
                </c:pt>
                <c:pt idx="2276">
                  <c:v>-2.3213971526275723E-3</c:v>
                </c:pt>
                <c:pt idx="2277">
                  <c:v>1.2082977844167337E-2</c:v>
                </c:pt>
                <c:pt idx="2278">
                  <c:v>-2.8486307422241258E-2</c:v>
                </c:pt>
                <c:pt idx="2279">
                  <c:v>1.5563301953109522E-2</c:v>
                </c:pt>
                <c:pt idx="2280">
                  <c:v>3.7966381618210705E-2</c:v>
                </c:pt>
                <c:pt idx="2281">
                  <c:v>1.4942530720482511E-2</c:v>
                </c:pt>
                <c:pt idx="2282">
                  <c:v>-7.3703771877127525E-3</c:v>
                </c:pt>
                <c:pt idx="2283">
                  <c:v>-5.2162679999169063E-3</c:v>
                </c:pt>
                <c:pt idx="2284">
                  <c:v>-2.2474266130068633E-2</c:v>
                </c:pt>
                <c:pt idx="2285">
                  <c:v>-2.421811973732757E-2</c:v>
                </c:pt>
                <c:pt idx="2286">
                  <c:v>6.3434723593777304E-2</c:v>
                </c:pt>
                <c:pt idx="2287">
                  <c:v>-2.3474072391762666E-2</c:v>
                </c:pt>
                <c:pt idx="2288">
                  <c:v>7.396950133122325E-3</c:v>
                </c:pt>
                <c:pt idx="2289">
                  <c:v>2.7936035114607991E-2</c:v>
                </c:pt>
                <c:pt idx="2290">
                  <c:v>4.7889277289012648E-2</c:v>
                </c:pt>
                <c:pt idx="2291">
                  <c:v>1.5676204220366335E-2</c:v>
                </c:pt>
                <c:pt idx="2292">
                  <c:v>1.5791530511206891E-2</c:v>
                </c:pt>
                <c:pt idx="2293">
                  <c:v>-1.0214544226251373E-2</c:v>
                </c:pt>
                <c:pt idx="2294">
                  <c:v>2.3150753960071636E-2</c:v>
                </c:pt>
                <c:pt idx="2295">
                  <c:v>9.7100958671694181E-3</c:v>
                </c:pt>
                <c:pt idx="2296">
                  <c:v>-3.2431638479027892E-2</c:v>
                </c:pt>
                <c:pt idx="2297">
                  <c:v>-1.5641026818311535E-2</c:v>
                </c:pt>
                <c:pt idx="2298">
                  <c:v>-2.205621584596967E-2</c:v>
                </c:pt>
                <c:pt idx="2299">
                  <c:v>2.09680877388955E-2</c:v>
                </c:pt>
                <c:pt idx="2300">
                  <c:v>1.2536695607312073E-2</c:v>
                </c:pt>
                <c:pt idx="2301">
                  <c:v>-2.5791075991161642E-2</c:v>
                </c:pt>
                <c:pt idx="2302">
                  <c:v>-1.0623040341971812E-2</c:v>
                </c:pt>
                <c:pt idx="2303">
                  <c:v>-1.2155386044774091E-2</c:v>
                </c:pt>
                <c:pt idx="2304">
                  <c:v>8.1725210904535373E-3</c:v>
                </c:pt>
                <c:pt idx="2305">
                  <c:v>5.0932417449763227E-2</c:v>
                </c:pt>
                <c:pt idx="2306">
                  <c:v>4.9031596117841324E-2</c:v>
                </c:pt>
                <c:pt idx="2307">
                  <c:v>-2.4576554972991247E-2</c:v>
                </c:pt>
                <c:pt idx="2308">
                  <c:v>3.349519076313806E-3</c:v>
                </c:pt>
                <c:pt idx="2309">
                  <c:v>2.6927651134948018E-2</c:v>
                </c:pt>
                <c:pt idx="2310">
                  <c:v>-2.1783985783740526E-2</c:v>
                </c:pt>
                <c:pt idx="2311">
                  <c:v>-2.1017658094004989E-2</c:v>
                </c:pt>
                <c:pt idx="2312">
                  <c:v>4.249838685970108E-2</c:v>
                </c:pt>
                <c:pt idx="2313">
                  <c:v>-2.372235030764484E-2</c:v>
                </c:pt>
                <c:pt idx="2314">
                  <c:v>-2.1062810505219532E-3</c:v>
                </c:pt>
                <c:pt idx="2315">
                  <c:v>-2.0748802093171866E-2</c:v>
                </c:pt>
                <c:pt idx="2316">
                  <c:v>-1.5998120241636743E-2</c:v>
                </c:pt>
                <c:pt idx="2317">
                  <c:v>-1.121378262465606E-2</c:v>
                </c:pt>
                <c:pt idx="2318">
                  <c:v>3.1107027036034927E-2</c:v>
                </c:pt>
                <c:pt idx="2319">
                  <c:v>-5.1949958018914638E-2</c:v>
                </c:pt>
                <c:pt idx="2320">
                  <c:v>-3.1563852001194194E-2</c:v>
                </c:pt>
                <c:pt idx="2321">
                  <c:v>-3.089687768853425E-2</c:v>
                </c:pt>
                <c:pt idx="2322">
                  <c:v>-2.4696009424643176E-2</c:v>
                </c:pt>
                <c:pt idx="2323">
                  <c:v>-7.4938545097281311E-5</c:v>
                </c:pt>
                <c:pt idx="2324">
                  <c:v>-5.0922051493311644E-3</c:v>
                </c:pt>
                <c:pt idx="2325">
                  <c:v>-6.5444932613745541E-3</c:v>
                </c:pt>
                <c:pt idx="2326">
                  <c:v>-8.7649779433575572E-3</c:v>
                </c:pt>
                <c:pt idx="2327">
                  <c:v>-7.9120366302849066E-3</c:v>
                </c:pt>
                <c:pt idx="2328">
                  <c:v>3.5841708901536137E-2</c:v>
                </c:pt>
                <c:pt idx="2329">
                  <c:v>4.0584669866389006E-2</c:v>
                </c:pt>
                <c:pt idx="2330">
                  <c:v>-8.9011179528472248E-3</c:v>
                </c:pt>
                <c:pt idx="2331">
                  <c:v>-5.362017652596314E-3</c:v>
                </c:pt>
                <c:pt idx="2332">
                  <c:v>1.4687574664535701E-2</c:v>
                </c:pt>
                <c:pt idx="2333">
                  <c:v>2.0427781930133102E-2</c:v>
                </c:pt>
                <c:pt idx="2334">
                  <c:v>-2.1274774284538956E-3</c:v>
                </c:pt>
                <c:pt idx="2335">
                  <c:v>4.5681625344970112E-2</c:v>
                </c:pt>
                <c:pt idx="2336">
                  <c:v>3.8695123019049328E-3</c:v>
                </c:pt>
                <c:pt idx="2337">
                  <c:v>-3.0715409003986834E-2</c:v>
                </c:pt>
                <c:pt idx="2338">
                  <c:v>2.6287974640745896E-2</c:v>
                </c:pt>
                <c:pt idx="2339">
                  <c:v>-4.358593889495185E-3</c:v>
                </c:pt>
                <c:pt idx="2340">
                  <c:v>-2.0460349433950375E-2</c:v>
                </c:pt>
                <c:pt idx="2341">
                  <c:v>1.1169217491485766E-3</c:v>
                </c:pt>
                <c:pt idx="2342">
                  <c:v>2.6581846549071898E-2</c:v>
                </c:pt>
                <c:pt idx="2343">
                  <c:v>5.9957248378525157E-3</c:v>
                </c:pt>
                <c:pt idx="2344">
                  <c:v>-1.7887770228163083E-2</c:v>
                </c:pt>
                <c:pt idx="2345">
                  <c:v>1.1651172851060465E-2</c:v>
                </c:pt>
                <c:pt idx="2346">
                  <c:v>2.0406790267229476E-2</c:v>
                </c:pt>
                <c:pt idx="2347">
                  <c:v>1.2122449306586583E-2</c:v>
                </c:pt>
                <c:pt idx="2348">
                  <c:v>-5.3431237600144184E-2</c:v>
                </c:pt>
                <c:pt idx="2349">
                  <c:v>-8.6299065080434802E-3</c:v>
                </c:pt>
                <c:pt idx="2350">
                  <c:v>-1.4958520768092134E-2</c:v>
                </c:pt>
                <c:pt idx="2351">
                  <c:v>-1.5221973573656448E-3</c:v>
                </c:pt>
                <c:pt idx="2352">
                  <c:v>5.6172069656584625E-3</c:v>
                </c:pt>
                <c:pt idx="2353">
                  <c:v>2.6276583360409344E-2</c:v>
                </c:pt>
                <c:pt idx="2354">
                  <c:v>-2.3931519413704055E-2</c:v>
                </c:pt>
                <c:pt idx="2355">
                  <c:v>6.6923187632589847E-3</c:v>
                </c:pt>
                <c:pt idx="2356">
                  <c:v>-4.0949256344860456E-2</c:v>
                </c:pt>
                <c:pt idx="2357">
                  <c:v>-4.3198745243314407E-3</c:v>
                </c:pt>
                <c:pt idx="2358">
                  <c:v>-3.3604593659850896E-3</c:v>
                </c:pt>
                <c:pt idx="2359">
                  <c:v>3.1505060545958377E-2</c:v>
                </c:pt>
                <c:pt idx="2360">
                  <c:v>-1.6077355510459032E-3</c:v>
                </c:pt>
                <c:pt idx="2361">
                  <c:v>1.0387151742616145E-2</c:v>
                </c:pt>
                <c:pt idx="2362">
                  <c:v>2.9512667547071013E-2</c:v>
                </c:pt>
                <c:pt idx="2363">
                  <c:v>-2.2163205432251712E-2</c:v>
                </c:pt>
                <c:pt idx="2364">
                  <c:v>-1.5467183891826816E-2</c:v>
                </c:pt>
                <c:pt idx="2365">
                  <c:v>-9.362293054836475E-4</c:v>
                </c:pt>
                <c:pt idx="2366">
                  <c:v>-3.8122842303226989E-2</c:v>
                </c:pt>
                <c:pt idx="2367">
                  <c:v>-1.6938229737330088E-2</c:v>
                </c:pt>
                <c:pt idx="2368">
                  <c:v>1.2742466375244744E-2</c:v>
                </c:pt>
                <c:pt idx="2369">
                  <c:v>8.2206846297686889E-2</c:v>
                </c:pt>
                <c:pt idx="2370">
                  <c:v>1.1676227700827659E-2</c:v>
                </c:pt>
                <c:pt idx="2371">
                  <c:v>-4.0472928247987615E-3</c:v>
                </c:pt>
                <c:pt idx="2372">
                  <c:v>5.5345575518204061E-3</c:v>
                </c:pt>
                <c:pt idx="2373">
                  <c:v>8.376889210326947E-3</c:v>
                </c:pt>
                <c:pt idx="2374">
                  <c:v>-1.8354377837953229E-2</c:v>
                </c:pt>
                <c:pt idx="2375">
                  <c:v>-1.2633309921900605E-2</c:v>
                </c:pt>
                <c:pt idx="2376">
                  <c:v>-8.1105213696701763E-5</c:v>
                </c:pt>
                <c:pt idx="2377">
                  <c:v>6.2630202597323461E-3</c:v>
                </c:pt>
                <c:pt idx="2378">
                  <c:v>-2.2635691613370652E-2</c:v>
                </c:pt>
                <c:pt idx="2379">
                  <c:v>1.43884141066695E-2</c:v>
                </c:pt>
                <c:pt idx="2380">
                  <c:v>-2.047585182533903E-2</c:v>
                </c:pt>
                <c:pt idx="2381">
                  <c:v>1.6413091810128917E-2</c:v>
                </c:pt>
                <c:pt idx="2382">
                  <c:v>5.069132829644455E-2</c:v>
                </c:pt>
                <c:pt idx="2383">
                  <c:v>-8.6730602280789913E-3</c:v>
                </c:pt>
                <c:pt idx="2384">
                  <c:v>2.2615063075168449E-2</c:v>
                </c:pt>
                <c:pt idx="2385">
                  <c:v>-5.8586563507218983E-2</c:v>
                </c:pt>
                <c:pt idx="2386">
                  <c:v>2.8170832288756484E-2</c:v>
                </c:pt>
                <c:pt idx="2387">
                  <c:v>-5.9468013232526623E-3</c:v>
                </c:pt>
                <c:pt idx="2388">
                  <c:v>-3.398853802123803E-3</c:v>
                </c:pt>
                <c:pt idx="2389">
                  <c:v>9.3679641008863057E-3</c:v>
                </c:pt>
                <c:pt idx="2390">
                  <c:v>5.8101526942801331E-2</c:v>
                </c:pt>
                <c:pt idx="2391">
                  <c:v>-1.4567642147644029E-2</c:v>
                </c:pt>
                <c:pt idx="2392">
                  <c:v>-9.330469877147583E-3</c:v>
                </c:pt>
                <c:pt idx="2393">
                  <c:v>4.3352751478881379E-3</c:v>
                </c:pt>
                <c:pt idx="2394">
                  <c:v>-6.8225966137185901E-3</c:v>
                </c:pt>
                <c:pt idx="2395">
                  <c:v>4.462155692657125E-3</c:v>
                </c:pt>
                <c:pt idx="2396">
                  <c:v>6.8316855635356158E-4</c:v>
                </c:pt>
                <c:pt idx="2397">
                  <c:v>-1.6250782304447615E-2</c:v>
                </c:pt>
                <c:pt idx="2398">
                  <c:v>1.5603256177263436E-2</c:v>
                </c:pt>
                <c:pt idx="2399">
                  <c:v>2.3950336504468101E-3</c:v>
                </c:pt>
                <c:pt idx="2400">
                  <c:v>2.9270714012718538E-2</c:v>
                </c:pt>
                <c:pt idx="2401">
                  <c:v>8.6250510780008314E-3</c:v>
                </c:pt>
                <c:pt idx="2402">
                  <c:v>-4.2405589732225434E-2</c:v>
                </c:pt>
                <c:pt idx="2403">
                  <c:v>1.6973443611604445E-2</c:v>
                </c:pt>
                <c:pt idx="2404">
                  <c:v>-1.1127082014403973E-2</c:v>
                </c:pt>
                <c:pt idx="2405">
                  <c:v>3.1877989403382302E-2</c:v>
                </c:pt>
                <c:pt idx="2406">
                  <c:v>-2.1507407725919517E-3</c:v>
                </c:pt>
                <c:pt idx="2407">
                  <c:v>3.9247199564044558E-2</c:v>
                </c:pt>
                <c:pt idx="2408">
                  <c:v>1.7682927071045552E-2</c:v>
                </c:pt>
                <c:pt idx="2409">
                  <c:v>-1.2957651640869436E-2</c:v>
                </c:pt>
                <c:pt idx="2410">
                  <c:v>2.9081478742317084E-2</c:v>
                </c:pt>
                <c:pt idx="2411">
                  <c:v>-1.9969900395187173E-2</c:v>
                </c:pt>
                <c:pt idx="2412">
                  <c:v>-2.5807260284515444E-2</c:v>
                </c:pt>
                <c:pt idx="2413">
                  <c:v>-4.2792158925006128E-3</c:v>
                </c:pt>
                <c:pt idx="2414">
                  <c:v>-1.7365398740916166E-2</c:v>
                </c:pt>
                <c:pt idx="2415">
                  <c:v>9.6184651044797648E-3</c:v>
                </c:pt>
                <c:pt idx="2416">
                  <c:v>-4.7864887437547732E-3</c:v>
                </c:pt>
                <c:pt idx="2417">
                  <c:v>-1.4364236285631528E-2</c:v>
                </c:pt>
                <c:pt idx="2418">
                  <c:v>-2.2767420596757442E-2</c:v>
                </c:pt>
                <c:pt idx="2419">
                  <c:v>1.6424032575504774E-2</c:v>
                </c:pt>
                <c:pt idx="2420">
                  <c:v>-2.9352554041151637E-2</c:v>
                </c:pt>
                <c:pt idx="2421">
                  <c:v>2.0130315094267341E-5</c:v>
                </c:pt>
                <c:pt idx="2422">
                  <c:v>-3.9305108892398473E-2</c:v>
                </c:pt>
                <c:pt idx="2423">
                  <c:v>8.2360058748095245E-3</c:v>
                </c:pt>
                <c:pt idx="2424">
                  <c:v>-7.1009356911040829E-3</c:v>
                </c:pt>
                <c:pt idx="2425">
                  <c:v>-1.7825660152538027E-2</c:v>
                </c:pt>
                <c:pt idx="2426">
                  <c:v>-2.6711157157095867E-2</c:v>
                </c:pt>
                <c:pt idx="2427">
                  <c:v>-3.6243478864622952E-2</c:v>
                </c:pt>
                <c:pt idx="2428">
                  <c:v>6.4284464238280586E-3</c:v>
                </c:pt>
                <c:pt idx="2429">
                  <c:v>-6.4387858832263885E-3</c:v>
                </c:pt>
                <c:pt idx="2430">
                  <c:v>2.114394963604826E-3</c:v>
                </c:pt>
                <c:pt idx="2431">
                  <c:v>-2.6543190369824814E-2</c:v>
                </c:pt>
                <c:pt idx="2432">
                  <c:v>-2.4148301413877398E-2</c:v>
                </c:pt>
                <c:pt idx="2433">
                  <c:v>-1.0982748901088508E-2</c:v>
                </c:pt>
                <c:pt idx="2434">
                  <c:v>-1.8080449873158377E-2</c:v>
                </c:pt>
                <c:pt idx="2435">
                  <c:v>2.5364567838699805E-2</c:v>
                </c:pt>
                <c:pt idx="2436">
                  <c:v>1.0949493673152986E-2</c:v>
                </c:pt>
                <c:pt idx="2437">
                  <c:v>8.7627115660679645E-3</c:v>
                </c:pt>
                <c:pt idx="2438">
                  <c:v>2.1568856769979803E-2</c:v>
                </c:pt>
                <c:pt idx="2439">
                  <c:v>-8.2919916991320269E-3</c:v>
                </c:pt>
                <c:pt idx="2440">
                  <c:v>-3.1904537396574019E-3</c:v>
                </c:pt>
                <c:pt idx="2441">
                  <c:v>6.8114839990682741E-2</c:v>
                </c:pt>
                <c:pt idx="2442">
                  <c:v>1.7569888081657572E-2</c:v>
                </c:pt>
                <c:pt idx="2443">
                  <c:v>-5.5640977976622475E-3</c:v>
                </c:pt>
                <c:pt idx="2444">
                  <c:v>4.610130533213192E-3</c:v>
                </c:pt>
                <c:pt idx="2445">
                  <c:v>-4.7571943806026668E-2</c:v>
                </c:pt>
                <c:pt idx="2446">
                  <c:v>8.2449101499663582E-3</c:v>
                </c:pt>
                <c:pt idx="2447">
                  <c:v>-1.7211694407952803E-2</c:v>
                </c:pt>
                <c:pt idx="2448">
                  <c:v>1.1949745145817496E-2</c:v>
                </c:pt>
                <c:pt idx="2449">
                  <c:v>-1.7106284171729803E-2</c:v>
                </c:pt>
                <c:pt idx="2450">
                  <c:v>1.2081747113360042E-2</c:v>
                </c:pt>
                <c:pt idx="2451">
                  <c:v>5.5060045984306277E-2</c:v>
                </c:pt>
                <c:pt idx="2452">
                  <c:v>-4.5408014148643552E-3</c:v>
                </c:pt>
                <c:pt idx="2453">
                  <c:v>-8.5358879553733245E-3</c:v>
                </c:pt>
                <c:pt idx="2454">
                  <c:v>-1.6575987648505307E-3</c:v>
                </c:pt>
                <c:pt idx="2455">
                  <c:v>-2.4758292867188881E-2</c:v>
                </c:pt>
                <c:pt idx="2456">
                  <c:v>1.0051409785677295E-3</c:v>
                </c:pt>
                <c:pt idx="2457">
                  <c:v>-1.4123533187807102E-2</c:v>
                </c:pt>
                <c:pt idx="2458">
                  <c:v>1.8002124422679543E-3</c:v>
                </c:pt>
                <c:pt idx="2459">
                  <c:v>-2.1090237769998816E-2</c:v>
                </c:pt>
                <c:pt idx="2460">
                  <c:v>-1.3359249549469241E-2</c:v>
                </c:pt>
                <c:pt idx="2461">
                  <c:v>-2.8530247142426041E-2</c:v>
                </c:pt>
                <c:pt idx="2462">
                  <c:v>9.968986630924364E-3</c:v>
                </c:pt>
                <c:pt idx="2463">
                  <c:v>1.1871720955578403E-2</c:v>
                </c:pt>
                <c:pt idx="2464">
                  <c:v>5.3506854270201146E-2</c:v>
                </c:pt>
                <c:pt idx="2465">
                  <c:v>2.2848212781459355E-2</c:v>
                </c:pt>
                <c:pt idx="2466">
                  <c:v>1.7129065120350302E-2</c:v>
                </c:pt>
                <c:pt idx="2467">
                  <c:v>5.6948963147628283E-3</c:v>
                </c:pt>
                <c:pt idx="2468">
                  <c:v>-2.2519555456963165E-2</c:v>
                </c:pt>
                <c:pt idx="2469">
                  <c:v>-3.6867740529858882E-2</c:v>
                </c:pt>
                <c:pt idx="2470">
                  <c:v>2.5976515316323077E-2</c:v>
                </c:pt>
                <c:pt idx="2471">
                  <c:v>6.0595508873939476E-2</c:v>
                </c:pt>
                <c:pt idx="2472">
                  <c:v>9.8340898648400597E-3</c:v>
                </c:pt>
                <c:pt idx="2473">
                  <c:v>1.7810476809535982E-2</c:v>
                </c:pt>
                <c:pt idx="2474">
                  <c:v>1.5743697185681797E-2</c:v>
                </c:pt>
                <c:pt idx="2475">
                  <c:v>4.4328743710047927E-2</c:v>
                </c:pt>
                <c:pt idx="2476">
                  <c:v>2.9004878907330004E-2</c:v>
                </c:pt>
                <c:pt idx="2477">
                  <c:v>3.7165771464656196E-3</c:v>
                </c:pt>
                <c:pt idx="2478">
                  <c:v>-1.4942710781720825E-2</c:v>
                </c:pt>
                <c:pt idx="2479">
                  <c:v>-4.6083961960986103E-3</c:v>
                </c:pt>
                <c:pt idx="2480">
                  <c:v>4.3021962089677124E-2</c:v>
                </c:pt>
                <c:pt idx="2481">
                  <c:v>3.297265030085057E-3</c:v>
                </c:pt>
                <c:pt idx="2482">
                  <c:v>4.8694208880559933E-2</c:v>
                </c:pt>
                <c:pt idx="2483">
                  <c:v>3.3723491365598005E-2</c:v>
                </c:pt>
                <c:pt idx="2484">
                  <c:v>3.1801774065791599E-2</c:v>
                </c:pt>
                <c:pt idx="2485">
                  <c:v>-2.0502784001765065E-3</c:v>
                </c:pt>
                <c:pt idx="2486">
                  <c:v>-1.5709193627631759E-2</c:v>
                </c:pt>
                <c:pt idx="2487">
                  <c:v>-8.7997169787606289E-3</c:v>
                </c:pt>
                <c:pt idx="2488">
                  <c:v>-1.659445394083587E-2</c:v>
                </c:pt>
                <c:pt idx="2489">
                  <c:v>2.180209630494408E-2</c:v>
                </c:pt>
                <c:pt idx="2490">
                  <c:v>6.6232563113377326E-3</c:v>
                </c:pt>
                <c:pt idx="2491">
                  <c:v>-5.413459651830551E-2</c:v>
                </c:pt>
                <c:pt idx="2492">
                  <c:v>-3.0136638861350176E-2</c:v>
                </c:pt>
                <c:pt idx="2493">
                  <c:v>1.278164956597035E-2</c:v>
                </c:pt>
                <c:pt idx="2494">
                  <c:v>5.9034419756634777E-3</c:v>
                </c:pt>
                <c:pt idx="2495">
                  <c:v>-1.9411158883683548E-2</c:v>
                </c:pt>
                <c:pt idx="2496">
                  <c:v>2.3509737833231643E-2</c:v>
                </c:pt>
                <c:pt idx="2497">
                  <c:v>1.4190994688756611E-2</c:v>
                </c:pt>
                <c:pt idx="2498">
                  <c:v>-1.0207343319404524E-2</c:v>
                </c:pt>
                <c:pt idx="2499">
                  <c:v>4.1526983011084075E-4</c:v>
                </c:pt>
                <c:pt idx="2500">
                  <c:v>4.8633827963219731E-3</c:v>
                </c:pt>
                <c:pt idx="2501">
                  <c:v>-2.2818713161030335E-3</c:v>
                </c:pt>
                <c:pt idx="2502">
                  <c:v>1.3018862589938793E-2</c:v>
                </c:pt>
                <c:pt idx="2503">
                  <c:v>-2.4539921553659749E-2</c:v>
                </c:pt>
                <c:pt idx="2504">
                  <c:v>-7.0268302951453868E-3</c:v>
                </c:pt>
                <c:pt idx="2505">
                  <c:v>-1.7736292267333968E-2</c:v>
                </c:pt>
                <c:pt idx="2506">
                  <c:v>1.3411623558186455E-2</c:v>
                </c:pt>
                <c:pt idx="2507">
                  <c:v>1.930847228943143E-2</c:v>
                </c:pt>
                <c:pt idx="2508">
                  <c:v>-9.3273035660834166E-3</c:v>
                </c:pt>
                <c:pt idx="2509">
                  <c:v>7.938744805965561E-3</c:v>
                </c:pt>
                <c:pt idx="2510">
                  <c:v>-2.7418801053671935E-2</c:v>
                </c:pt>
                <c:pt idx="2511">
                  <c:v>3.3224827619715721E-3</c:v>
                </c:pt>
                <c:pt idx="2512">
                  <c:v>3.6587882587845767E-2</c:v>
                </c:pt>
                <c:pt idx="2513">
                  <c:v>-1.4854733750583063E-2</c:v>
                </c:pt>
                <c:pt idx="2514">
                  <c:v>-1.6774518926578664E-3</c:v>
                </c:pt>
                <c:pt idx="2515">
                  <c:v>7.3645611927591961E-3</c:v>
                </c:pt>
                <c:pt idx="2516">
                  <c:v>2.0005329472538087E-2</c:v>
                </c:pt>
                <c:pt idx="2517">
                  <c:v>-1.9578024894669373E-2</c:v>
                </c:pt>
                <c:pt idx="2518">
                  <c:v>8.7910168668956547E-3</c:v>
                </c:pt>
                <c:pt idx="2519">
                  <c:v>1.334496981534123E-2</c:v>
                </c:pt>
                <c:pt idx="2520">
                  <c:v>3.6597644536376303E-2</c:v>
                </c:pt>
                <c:pt idx="2521">
                  <c:v>-2.8101558764797363E-2</c:v>
                </c:pt>
                <c:pt idx="2522">
                  <c:v>-2.9729737960889047E-3</c:v>
                </c:pt>
                <c:pt idx="2523">
                  <c:v>-1.244998013447567E-3</c:v>
                </c:pt>
                <c:pt idx="2524">
                  <c:v>1.5364934641893032E-2</c:v>
                </c:pt>
                <c:pt idx="2525">
                  <c:v>-4.3655233708773614E-3</c:v>
                </c:pt>
                <c:pt idx="2526">
                  <c:v>1.8537264028925068E-2</c:v>
                </c:pt>
                <c:pt idx="2527">
                  <c:v>2.0317356102188155E-2</c:v>
                </c:pt>
                <c:pt idx="2528">
                  <c:v>6.7455915372547193E-2</c:v>
                </c:pt>
                <c:pt idx="2529">
                  <c:v>-7.4219705357259861E-3</c:v>
                </c:pt>
                <c:pt idx="2530">
                  <c:v>-4.3953919164903245E-2</c:v>
                </c:pt>
                <c:pt idx="2531">
                  <c:v>-1.711142144679938E-2</c:v>
                </c:pt>
                <c:pt idx="2532">
                  <c:v>-1.5258835502608658E-2</c:v>
                </c:pt>
                <c:pt idx="2533">
                  <c:v>1.3938603164974639E-2</c:v>
                </c:pt>
                <c:pt idx="2534">
                  <c:v>-3.7309885262513998E-2</c:v>
                </c:pt>
                <c:pt idx="2535">
                  <c:v>-9.4134257112379032E-3</c:v>
                </c:pt>
                <c:pt idx="2536">
                  <c:v>1.6360736216021996E-2</c:v>
                </c:pt>
                <c:pt idx="2537">
                  <c:v>1.6810921709174399E-2</c:v>
                </c:pt>
                <c:pt idx="2538">
                  <c:v>1.7445202869845844E-3</c:v>
                </c:pt>
                <c:pt idx="2539">
                  <c:v>1.4403053280822272E-2</c:v>
                </c:pt>
                <c:pt idx="2540">
                  <c:v>-1.4170354741046555E-2</c:v>
                </c:pt>
                <c:pt idx="2541">
                  <c:v>3.0985950611751512E-2</c:v>
                </c:pt>
                <c:pt idx="2542">
                  <c:v>1.5461980403299481E-3</c:v>
                </c:pt>
                <c:pt idx="2543">
                  <c:v>1.3630531622600263E-3</c:v>
                </c:pt>
                <c:pt idx="2544">
                  <c:v>-2.3822314434996692E-2</c:v>
                </c:pt>
                <c:pt idx="2545">
                  <c:v>1.5234300602334846E-2</c:v>
                </c:pt>
                <c:pt idx="2546">
                  <c:v>-8.0442333297930466E-3</c:v>
                </c:pt>
                <c:pt idx="2547">
                  <c:v>6.960798124033836E-3</c:v>
                </c:pt>
                <c:pt idx="2548">
                  <c:v>-2.9058770946497237E-3</c:v>
                </c:pt>
                <c:pt idx="2549">
                  <c:v>-4.9443628485732749E-3</c:v>
                </c:pt>
                <c:pt idx="2550">
                  <c:v>-1.6726201780058722E-2</c:v>
                </c:pt>
                <c:pt idx="2551">
                  <c:v>-3.438276673544688E-3</c:v>
                </c:pt>
                <c:pt idx="2552">
                  <c:v>-1.0309944936943372E-2</c:v>
                </c:pt>
                <c:pt idx="2553">
                  <c:v>1.8039400376589149E-2</c:v>
                </c:pt>
                <c:pt idx="2554">
                  <c:v>-1.4377537910008138E-2</c:v>
                </c:pt>
                <c:pt idx="2555">
                  <c:v>1.7778597305071087E-2</c:v>
                </c:pt>
                <c:pt idx="2556">
                  <c:v>2.2762559398688601E-2</c:v>
                </c:pt>
                <c:pt idx="2557">
                  <c:v>-2.6904825147706125E-2</c:v>
                </c:pt>
                <c:pt idx="2558">
                  <c:v>3.7998982061598581E-2</c:v>
                </c:pt>
                <c:pt idx="2559">
                  <c:v>-4.6329221380580418E-2</c:v>
                </c:pt>
                <c:pt idx="2560">
                  <c:v>-1.4576927088976559E-2</c:v>
                </c:pt>
                <c:pt idx="2561">
                  <c:v>1.2880523387807605E-2</c:v>
                </c:pt>
                <c:pt idx="2562">
                  <c:v>-3.4592444924325606E-3</c:v>
                </c:pt>
                <c:pt idx="2563">
                  <c:v>-1.2766748382542374E-2</c:v>
                </c:pt>
                <c:pt idx="2564">
                  <c:v>1.3100639864739319E-2</c:v>
                </c:pt>
                <c:pt idx="2565">
                  <c:v>-3.6666710211507587E-2</c:v>
                </c:pt>
                <c:pt idx="2566">
                  <c:v>4.4749239782151944E-2</c:v>
                </c:pt>
                <c:pt idx="2567">
                  <c:v>-7.5982031697152761E-3</c:v>
                </c:pt>
                <c:pt idx="2568">
                  <c:v>5.8950440298892529E-2</c:v>
                </c:pt>
                <c:pt idx="2569">
                  <c:v>2.6934879937341567E-2</c:v>
                </c:pt>
                <c:pt idx="2570">
                  <c:v>1.4820696865131025E-2</c:v>
                </c:pt>
                <c:pt idx="2571">
                  <c:v>1.7942598681548656E-3</c:v>
                </c:pt>
                <c:pt idx="2572">
                  <c:v>1.3779336035265023E-2</c:v>
                </c:pt>
                <c:pt idx="2573">
                  <c:v>-1.9557652601840808E-2</c:v>
                </c:pt>
                <c:pt idx="2574">
                  <c:v>1.8379843584729629E-2</c:v>
                </c:pt>
                <c:pt idx="2575">
                  <c:v>-3.9375066752673236E-2</c:v>
                </c:pt>
                <c:pt idx="2576">
                  <c:v>-1.6912952360886031E-2</c:v>
                </c:pt>
                <c:pt idx="2577">
                  <c:v>5.4236146758080191E-3</c:v>
                </c:pt>
                <c:pt idx="2578">
                  <c:v>1.6439291015794444E-2</c:v>
                </c:pt>
                <c:pt idx="2579">
                  <c:v>2.1442908151029897E-2</c:v>
                </c:pt>
                <c:pt idx="2580">
                  <c:v>-3.4710453854528665E-2</c:v>
                </c:pt>
                <c:pt idx="2581">
                  <c:v>-1.7567458946899855E-2</c:v>
                </c:pt>
                <c:pt idx="2582">
                  <c:v>1.2525107003908001E-2</c:v>
                </c:pt>
                <c:pt idx="2583">
                  <c:v>1.6565005250752701E-2</c:v>
                </c:pt>
                <c:pt idx="2584">
                  <c:v>-1.9071141761370314E-2</c:v>
                </c:pt>
                <c:pt idx="2585">
                  <c:v>2.3293223639662089E-2</c:v>
                </c:pt>
                <c:pt idx="2586">
                  <c:v>2.5967254440597835E-2</c:v>
                </c:pt>
                <c:pt idx="2587">
                  <c:v>-3.5707801772718174E-3</c:v>
                </c:pt>
                <c:pt idx="2588">
                  <c:v>7.3133015095717836E-3</c:v>
                </c:pt>
                <c:pt idx="2589">
                  <c:v>-1.7900568761980283E-2</c:v>
                </c:pt>
                <c:pt idx="2590">
                  <c:v>-4.0579299454372178E-2</c:v>
                </c:pt>
                <c:pt idx="2591">
                  <c:v>5.2273102064715471E-3</c:v>
                </c:pt>
                <c:pt idx="2592">
                  <c:v>2.0081650135266565E-2</c:v>
                </c:pt>
                <c:pt idx="2593">
                  <c:v>-1.5295912888244965E-2</c:v>
                </c:pt>
                <c:pt idx="2594">
                  <c:v>1.2530336310507213E-2</c:v>
                </c:pt>
                <c:pt idx="2595">
                  <c:v>-2.0519702937073381E-2</c:v>
                </c:pt>
                <c:pt idx="2596">
                  <c:v>2.282121165208055E-2</c:v>
                </c:pt>
                <c:pt idx="2597">
                  <c:v>2.2881287972180645E-2</c:v>
                </c:pt>
                <c:pt idx="2598">
                  <c:v>2.0795019849471699E-2</c:v>
                </c:pt>
                <c:pt idx="2599">
                  <c:v>4.0737360913623517E-2</c:v>
                </c:pt>
                <c:pt idx="2600">
                  <c:v>3.0774152671197992E-2</c:v>
                </c:pt>
                <c:pt idx="2601">
                  <c:v>-2.5218203220764998E-2</c:v>
                </c:pt>
                <c:pt idx="2602">
                  <c:v>-4.5271052046901697E-2</c:v>
                </c:pt>
                <c:pt idx="2603">
                  <c:v>2.8708988795642428E-2</c:v>
                </c:pt>
                <c:pt idx="2604">
                  <c:v>9.3124556090620914E-3</c:v>
                </c:pt>
                <c:pt idx="2605">
                  <c:v>3.7586194657215489E-3</c:v>
                </c:pt>
                <c:pt idx="2606">
                  <c:v>-3.0165666976520178E-2</c:v>
                </c:pt>
                <c:pt idx="2607">
                  <c:v>-2.5274600679098556E-2</c:v>
                </c:pt>
                <c:pt idx="2608">
                  <c:v>5.8386032248892161E-2</c:v>
                </c:pt>
                <c:pt idx="2609">
                  <c:v>-3.6675293163983921E-2</c:v>
                </c:pt>
                <c:pt idx="2610">
                  <c:v>-1.0102488464060587E-2</c:v>
                </c:pt>
                <c:pt idx="2611">
                  <c:v>-7.9356026441379859E-3</c:v>
                </c:pt>
                <c:pt idx="2612">
                  <c:v>1.0078460874655313E-2</c:v>
                </c:pt>
                <c:pt idx="2613">
                  <c:v>-6.0971715782368319E-3</c:v>
                </c:pt>
                <c:pt idx="2614">
                  <c:v>2.4772222842540614E-2</c:v>
                </c:pt>
                <c:pt idx="2615">
                  <c:v>-3.4498708426355856E-2</c:v>
                </c:pt>
                <c:pt idx="2616">
                  <c:v>1.1777505567264691E-2</c:v>
                </c:pt>
                <c:pt idx="2617">
                  <c:v>-1.2587646349793653E-2</c:v>
                </c:pt>
                <c:pt idx="2618">
                  <c:v>-9.1800794658462997E-3</c:v>
                </c:pt>
                <c:pt idx="2619">
                  <c:v>-1.790357508605022E-2</c:v>
                </c:pt>
                <c:pt idx="2620">
                  <c:v>4.6424505715264006E-2</c:v>
                </c:pt>
                <c:pt idx="2621">
                  <c:v>-2.8489540076895029E-2</c:v>
                </c:pt>
                <c:pt idx="2622">
                  <c:v>-2.5632078573873857E-2</c:v>
                </c:pt>
                <c:pt idx="2623">
                  <c:v>8.4797054833041161E-3</c:v>
                </c:pt>
                <c:pt idx="2624">
                  <c:v>1.4491297509299728E-2</c:v>
                </c:pt>
                <c:pt idx="2625">
                  <c:v>1.8556340697748162E-2</c:v>
                </c:pt>
                <c:pt idx="2626">
                  <c:v>2.1526152524484208E-3</c:v>
                </c:pt>
                <c:pt idx="2627">
                  <c:v>1.5794355534529493E-2</c:v>
                </c:pt>
                <c:pt idx="2628">
                  <c:v>-1.6002997168152368E-3</c:v>
                </c:pt>
                <c:pt idx="2629">
                  <c:v>4.2652835105801895E-2</c:v>
                </c:pt>
                <c:pt idx="2630">
                  <c:v>-2.9550836276625688E-2</c:v>
                </c:pt>
                <c:pt idx="2631">
                  <c:v>1.536922273628831E-2</c:v>
                </c:pt>
                <c:pt idx="2632">
                  <c:v>-2.414284024941429E-2</c:v>
                </c:pt>
                <c:pt idx="2633">
                  <c:v>-2.6990199433541411E-2</c:v>
                </c:pt>
                <c:pt idx="2634">
                  <c:v>-7.4708344171414733E-3</c:v>
                </c:pt>
                <c:pt idx="2635">
                  <c:v>-5.4259123593535685E-2</c:v>
                </c:pt>
                <c:pt idx="2636">
                  <c:v>2.0080519645010821E-2</c:v>
                </c:pt>
                <c:pt idx="2637">
                  <c:v>-4.254429686041946E-2</c:v>
                </c:pt>
                <c:pt idx="2638">
                  <c:v>-1.8017871992264916E-3</c:v>
                </c:pt>
                <c:pt idx="2639">
                  <c:v>3.290892097648975E-3</c:v>
                </c:pt>
                <c:pt idx="2640">
                  <c:v>-1.9908061347722307E-2</c:v>
                </c:pt>
                <c:pt idx="2641">
                  <c:v>-1.8457865367173285E-2</c:v>
                </c:pt>
                <c:pt idx="2642">
                  <c:v>1.3792208597255553E-2</c:v>
                </c:pt>
                <c:pt idx="2643">
                  <c:v>2.4472394836577555E-2</c:v>
                </c:pt>
                <c:pt idx="2644">
                  <c:v>-1.0578102114422075E-2</c:v>
                </c:pt>
                <c:pt idx="2645">
                  <c:v>2.026500641829827E-2</c:v>
                </c:pt>
                <c:pt idx="2646">
                  <c:v>-1.3000971052301784E-2</c:v>
                </c:pt>
                <c:pt idx="2647">
                  <c:v>2.8381678162220387E-2</c:v>
                </c:pt>
                <c:pt idx="2648">
                  <c:v>-3.0964004140914447E-2</c:v>
                </c:pt>
                <c:pt idx="2649">
                  <c:v>1.3875916962249667E-2</c:v>
                </c:pt>
                <c:pt idx="2650">
                  <c:v>9.8223731504416528E-3</c:v>
                </c:pt>
                <c:pt idx="2651">
                  <c:v>2.1208633682562816E-2</c:v>
                </c:pt>
                <c:pt idx="2652">
                  <c:v>1.1509967738553605E-2</c:v>
                </c:pt>
                <c:pt idx="2653">
                  <c:v>2.3706491014326512E-2</c:v>
                </c:pt>
                <c:pt idx="2654">
                  <c:v>9.8788349514628958E-3</c:v>
                </c:pt>
                <c:pt idx="2655">
                  <c:v>1.2526486260524479E-2</c:v>
                </c:pt>
                <c:pt idx="2656">
                  <c:v>-2.2955804419655824E-2</c:v>
                </c:pt>
                <c:pt idx="2657">
                  <c:v>1.5238705575941027E-2</c:v>
                </c:pt>
                <c:pt idx="2658">
                  <c:v>-3.0280744716012279E-2</c:v>
                </c:pt>
                <c:pt idx="2659">
                  <c:v>1.0492120538124826E-3</c:v>
                </c:pt>
                <c:pt idx="2660">
                  <c:v>-3.6534828077783188E-2</c:v>
                </c:pt>
                <c:pt idx="2661">
                  <c:v>8.2707943405110236E-3</c:v>
                </c:pt>
                <c:pt idx="2662">
                  <c:v>-4.6604714535358464E-2</c:v>
                </c:pt>
                <c:pt idx="2663">
                  <c:v>1.6494381898558962E-2</c:v>
                </c:pt>
                <c:pt idx="2664">
                  <c:v>-2.2845559635470431E-2</c:v>
                </c:pt>
                <c:pt idx="2665">
                  <c:v>-2.2517383530223777E-2</c:v>
                </c:pt>
                <c:pt idx="2666">
                  <c:v>-5.3198997389037592E-2</c:v>
                </c:pt>
                <c:pt idx="2667">
                  <c:v>-6.1527300680808018E-3</c:v>
                </c:pt>
                <c:pt idx="2668">
                  <c:v>1.6194055962000409E-3</c:v>
                </c:pt>
                <c:pt idx="2669">
                  <c:v>3.8700596008599221E-3</c:v>
                </c:pt>
                <c:pt idx="2670">
                  <c:v>-3.0336401394324468E-2</c:v>
                </c:pt>
                <c:pt idx="2671">
                  <c:v>-9.7699817109449215E-3</c:v>
                </c:pt>
                <c:pt idx="2672">
                  <c:v>1.0535741773574508E-2</c:v>
                </c:pt>
                <c:pt idx="2673">
                  <c:v>1.2169298093099494E-2</c:v>
                </c:pt>
                <c:pt idx="2674">
                  <c:v>1.5126661073613877E-2</c:v>
                </c:pt>
                <c:pt idx="2675">
                  <c:v>2.5665138687422921E-2</c:v>
                </c:pt>
                <c:pt idx="2676">
                  <c:v>-9.5957247876884508E-3</c:v>
                </c:pt>
                <c:pt idx="2677">
                  <c:v>-5.5082021999345188E-3</c:v>
                </c:pt>
                <c:pt idx="2678">
                  <c:v>2.6318816901735726E-2</c:v>
                </c:pt>
                <c:pt idx="2679">
                  <c:v>-4.8225918784614089E-3</c:v>
                </c:pt>
                <c:pt idx="2680">
                  <c:v>4.1469784064257862E-3</c:v>
                </c:pt>
                <c:pt idx="2681">
                  <c:v>-3.0214709887547382E-2</c:v>
                </c:pt>
                <c:pt idx="2682">
                  <c:v>-2.0234711018641313E-2</c:v>
                </c:pt>
                <c:pt idx="2683">
                  <c:v>2.537679543297912E-3</c:v>
                </c:pt>
                <c:pt idx="2684">
                  <c:v>1.0912145062197256E-2</c:v>
                </c:pt>
                <c:pt idx="2685">
                  <c:v>-4.8098591490752015E-3</c:v>
                </c:pt>
                <c:pt idx="2686">
                  <c:v>-2.8867460945386128E-2</c:v>
                </c:pt>
                <c:pt idx="2687">
                  <c:v>-1.3432956200657988E-2</c:v>
                </c:pt>
                <c:pt idx="2688">
                  <c:v>-1.7597561849397161E-2</c:v>
                </c:pt>
                <c:pt idx="2689">
                  <c:v>4.8967863037011665E-2</c:v>
                </c:pt>
                <c:pt idx="2690">
                  <c:v>-1.2454422851103481E-2</c:v>
                </c:pt>
                <c:pt idx="2691">
                  <c:v>1.9317833047392437E-2</c:v>
                </c:pt>
                <c:pt idx="2692">
                  <c:v>1.9470519266471441E-2</c:v>
                </c:pt>
                <c:pt idx="2693">
                  <c:v>1.5902673703878788E-2</c:v>
                </c:pt>
                <c:pt idx="2694">
                  <c:v>-1.7117174607397274E-2</c:v>
                </c:pt>
                <c:pt idx="2695">
                  <c:v>-1.9265178968811678E-2</c:v>
                </c:pt>
                <c:pt idx="2696">
                  <c:v>-1.7267932260537151E-3</c:v>
                </c:pt>
                <c:pt idx="2697">
                  <c:v>8.2076452461944983E-3</c:v>
                </c:pt>
                <c:pt idx="2698">
                  <c:v>9.4063716305708298E-2</c:v>
                </c:pt>
                <c:pt idx="2699">
                  <c:v>-1.7550562148697713E-2</c:v>
                </c:pt>
                <c:pt idx="2700">
                  <c:v>-1.8691187342621714E-2</c:v>
                </c:pt>
                <c:pt idx="2701">
                  <c:v>2.3697134479667249E-2</c:v>
                </c:pt>
                <c:pt idx="2702">
                  <c:v>-4.2960620602326485E-3</c:v>
                </c:pt>
                <c:pt idx="2703">
                  <c:v>-6.4775772962471865E-3</c:v>
                </c:pt>
                <c:pt idx="2704">
                  <c:v>-3.1046313925535839E-3</c:v>
                </c:pt>
                <c:pt idx="2705">
                  <c:v>-3.2942422049660129E-2</c:v>
                </c:pt>
                <c:pt idx="2706">
                  <c:v>9.071351385179463E-3</c:v>
                </c:pt>
                <c:pt idx="2707">
                  <c:v>-4.0523628033681272E-2</c:v>
                </c:pt>
                <c:pt idx="2708">
                  <c:v>3.6046467353775966E-2</c:v>
                </c:pt>
                <c:pt idx="2709">
                  <c:v>1.3574105209528441E-3</c:v>
                </c:pt>
                <c:pt idx="2710">
                  <c:v>-1.8036105464373186E-2</c:v>
                </c:pt>
                <c:pt idx="2711">
                  <c:v>-9.8237366097560595E-3</c:v>
                </c:pt>
                <c:pt idx="2712">
                  <c:v>1.8415383328009686E-2</c:v>
                </c:pt>
                <c:pt idx="2713">
                  <c:v>3.6911371531309016E-2</c:v>
                </c:pt>
                <c:pt idx="2714">
                  <c:v>1.195453320442965E-2</c:v>
                </c:pt>
                <c:pt idx="2715">
                  <c:v>3.6314451506293755E-2</c:v>
                </c:pt>
                <c:pt idx="2716">
                  <c:v>-4.8906607823318494E-2</c:v>
                </c:pt>
                <c:pt idx="2717">
                  <c:v>2.8723003174428142E-2</c:v>
                </c:pt>
                <c:pt idx="2718">
                  <c:v>-1.9750335590028128E-2</c:v>
                </c:pt>
                <c:pt idx="2719">
                  <c:v>-1.3836775365973992E-2</c:v>
                </c:pt>
                <c:pt idx="2720">
                  <c:v>7.2762863419151783E-3</c:v>
                </c:pt>
                <c:pt idx="2721">
                  <c:v>1.8967884360225448E-2</c:v>
                </c:pt>
                <c:pt idx="2722">
                  <c:v>-1.2343197003278676E-2</c:v>
                </c:pt>
                <c:pt idx="2723">
                  <c:v>-2.1485048214782129E-2</c:v>
                </c:pt>
                <c:pt idx="2724">
                  <c:v>5.3816806282629796E-3</c:v>
                </c:pt>
                <c:pt idx="2725">
                  <c:v>7.7996365230717252E-3</c:v>
                </c:pt>
                <c:pt idx="2726">
                  <c:v>2.0381775066729699E-2</c:v>
                </c:pt>
                <c:pt idx="2727">
                  <c:v>-2.69006063940192E-2</c:v>
                </c:pt>
                <c:pt idx="2728">
                  <c:v>-2.3034936736696959E-2</c:v>
                </c:pt>
                <c:pt idx="2729">
                  <c:v>-2.4097565026211701E-2</c:v>
                </c:pt>
                <c:pt idx="2730">
                  <c:v>-1.7384501058234435E-2</c:v>
                </c:pt>
                <c:pt idx="2731">
                  <c:v>5.570233280355303E-2</c:v>
                </c:pt>
                <c:pt idx="2732">
                  <c:v>-3.3858369070538623E-2</c:v>
                </c:pt>
                <c:pt idx="2733">
                  <c:v>-7.3330432946784249E-3</c:v>
                </c:pt>
                <c:pt idx="2734">
                  <c:v>-1.8892123578018928E-2</c:v>
                </c:pt>
                <c:pt idx="2735">
                  <c:v>6.5227476529194526E-4</c:v>
                </c:pt>
                <c:pt idx="2736">
                  <c:v>2.3948849438487657E-2</c:v>
                </c:pt>
                <c:pt idx="2737">
                  <c:v>3.283958991208764E-3</c:v>
                </c:pt>
                <c:pt idx="2738">
                  <c:v>-3.5400571798009622E-2</c:v>
                </c:pt>
                <c:pt idx="2739">
                  <c:v>-1.5110961955859998E-2</c:v>
                </c:pt>
                <c:pt idx="2740">
                  <c:v>-3.4959952394598907E-3</c:v>
                </c:pt>
                <c:pt idx="2741">
                  <c:v>4.1865301741944562E-2</c:v>
                </c:pt>
                <c:pt idx="2742">
                  <c:v>3.8622479845511141E-2</c:v>
                </c:pt>
                <c:pt idx="2743">
                  <c:v>7.6475335355448176E-2</c:v>
                </c:pt>
                <c:pt idx="2744">
                  <c:v>1.0105079980303315E-2</c:v>
                </c:pt>
                <c:pt idx="2745">
                  <c:v>-4.2338307341535604E-2</c:v>
                </c:pt>
                <c:pt idx="2746">
                  <c:v>-6.0578612155301904E-3</c:v>
                </c:pt>
                <c:pt idx="2747">
                  <c:v>5.3704244372840812E-2</c:v>
                </c:pt>
                <c:pt idx="2748">
                  <c:v>4.8628524287743502E-3</c:v>
                </c:pt>
                <c:pt idx="2749">
                  <c:v>1.1159120015458001E-2</c:v>
                </c:pt>
                <c:pt idx="2750">
                  <c:v>-9.7768673501261935E-3</c:v>
                </c:pt>
                <c:pt idx="2751">
                  <c:v>-2.9264144253969213E-2</c:v>
                </c:pt>
                <c:pt idx="2752">
                  <c:v>-8.6314748482148947E-4</c:v>
                </c:pt>
                <c:pt idx="2753">
                  <c:v>1.7902641752383038E-2</c:v>
                </c:pt>
                <c:pt idx="2754">
                  <c:v>-7.1562064195696828E-3</c:v>
                </c:pt>
                <c:pt idx="2755">
                  <c:v>2.2342073433840315E-2</c:v>
                </c:pt>
                <c:pt idx="2756">
                  <c:v>-1.1351307118597862E-2</c:v>
                </c:pt>
                <c:pt idx="2757">
                  <c:v>1.7916319922377525E-2</c:v>
                </c:pt>
                <c:pt idx="2758">
                  <c:v>-1.0340166142332257E-3</c:v>
                </c:pt>
                <c:pt idx="2759">
                  <c:v>-2.6551537682776367E-2</c:v>
                </c:pt>
                <c:pt idx="2760">
                  <c:v>-1.5254253612446006E-2</c:v>
                </c:pt>
                <c:pt idx="2761">
                  <c:v>4.6117824623922634E-3</c:v>
                </c:pt>
                <c:pt idx="2762">
                  <c:v>1.6240327602463623E-2</c:v>
                </c:pt>
                <c:pt idx="2763">
                  <c:v>-1.5615992518606587E-2</c:v>
                </c:pt>
                <c:pt idx="2764">
                  <c:v>6.4553830802059453E-2</c:v>
                </c:pt>
                <c:pt idx="2765">
                  <c:v>-3.1702537395674635E-2</c:v>
                </c:pt>
                <c:pt idx="2766">
                  <c:v>-2.4953421681273152E-2</c:v>
                </c:pt>
                <c:pt idx="2767">
                  <c:v>2.6047034767572155E-2</c:v>
                </c:pt>
                <c:pt idx="2768">
                  <c:v>-2.7317943016363726E-4</c:v>
                </c:pt>
                <c:pt idx="2769">
                  <c:v>-1.6059645129040522E-2</c:v>
                </c:pt>
                <c:pt idx="2770">
                  <c:v>-4.2569748012756509E-2</c:v>
                </c:pt>
                <c:pt idx="2771">
                  <c:v>-7.3051880263587943E-3</c:v>
                </c:pt>
                <c:pt idx="2772">
                  <c:v>1.5302173990846047E-3</c:v>
                </c:pt>
                <c:pt idx="2773">
                  <c:v>2.5940960401431897E-3</c:v>
                </c:pt>
                <c:pt idx="2774">
                  <c:v>-1.4070236424193413E-2</c:v>
                </c:pt>
                <c:pt idx="2775">
                  <c:v>-4.4813938012163226E-3</c:v>
                </c:pt>
                <c:pt idx="2776">
                  <c:v>4.7867639750220396E-2</c:v>
                </c:pt>
                <c:pt idx="2777">
                  <c:v>-9.0382053790780577E-3</c:v>
                </c:pt>
                <c:pt idx="2778">
                  <c:v>1.926878292329046E-2</c:v>
                </c:pt>
                <c:pt idx="2779">
                  <c:v>-4.4874669891119545E-3</c:v>
                </c:pt>
                <c:pt idx="2780">
                  <c:v>-2.4101639979374624E-2</c:v>
                </c:pt>
                <c:pt idx="2781">
                  <c:v>1.0555590496430952E-2</c:v>
                </c:pt>
                <c:pt idx="2782">
                  <c:v>-1.9639815862229203E-2</c:v>
                </c:pt>
                <c:pt idx="2783">
                  <c:v>2.1203777163921328E-2</c:v>
                </c:pt>
                <c:pt idx="2784">
                  <c:v>-4.421129745072485E-2</c:v>
                </c:pt>
                <c:pt idx="2785">
                  <c:v>-2.2566273926107602E-2</c:v>
                </c:pt>
                <c:pt idx="2786">
                  <c:v>3.3866548826752738E-3</c:v>
                </c:pt>
                <c:pt idx="2787">
                  <c:v>1.8447823275469547E-4</c:v>
                </c:pt>
                <c:pt idx="2788">
                  <c:v>-3.6662866548436673E-2</c:v>
                </c:pt>
                <c:pt idx="2789">
                  <c:v>1.0965743649366561E-3</c:v>
                </c:pt>
                <c:pt idx="2790">
                  <c:v>-1.36979561230114E-4</c:v>
                </c:pt>
                <c:pt idx="2791">
                  <c:v>-1.5089965643860982E-2</c:v>
                </c:pt>
                <c:pt idx="2792">
                  <c:v>3.546997750551658E-2</c:v>
                </c:pt>
                <c:pt idx="2793">
                  <c:v>-2.2892251955093042E-2</c:v>
                </c:pt>
                <c:pt idx="2794">
                  <c:v>-2.5323579350526337E-3</c:v>
                </c:pt>
                <c:pt idx="2795">
                  <c:v>-1.3026959041133913E-2</c:v>
                </c:pt>
                <c:pt idx="2796">
                  <c:v>1.8650870204657145E-2</c:v>
                </c:pt>
                <c:pt idx="2797">
                  <c:v>2.347268564834E-2</c:v>
                </c:pt>
                <c:pt idx="2798">
                  <c:v>2.6699354105236595E-2</c:v>
                </c:pt>
                <c:pt idx="2799">
                  <c:v>-1.2583702653103306E-2</c:v>
                </c:pt>
                <c:pt idx="2800">
                  <c:v>-1.2192843576082E-2</c:v>
                </c:pt>
                <c:pt idx="2801">
                  <c:v>-1.887599760990737E-2</c:v>
                </c:pt>
                <c:pt idx="2802">
                  <c:v>-2.4452949440412187E-2</c:v>
                </c:pt>
                <c:pt idx="2803">
                  <c:v>-3.0415370501681556E-3</c:v>
                </c:pt>
                <c:pt idx="2804">
                  <c:v>1.8839026996836136E-2</c:v>
                </c:pt>
                <c:pt idx="2805">
                  <c:v>2.7005563387544271E-2</c:v>
                </c:pt>
                <c:pt idx="2806">
                  <c:v>-2.7288439796143975E-2</c:v>
                </c:pt>
                <c:pt idx="2807">
                  <c:v>2.0527573220714183E-2</c:v>
                </c:pt>
                <c:pt idx="2808">
                  <c:v>2.2534684759057518E-2</c:v>
                </c:pt>
                <c:pt idx="2809">
                  <c:v>2.3575639052412941E-2</c:v>
                </c:pt>
                <c:pt idx="2810">
                  <c:v>1.1138457867696256E-2</c:v>
                </c:pt>
                <c:pt idx="2811">
                  <c:v>-6.297478368843662E-2</c:v>
                </c:pt>
                <c:pt idx="2812">
                  <c:v>-2.3553001845215669E-2</c:v>
                </c:pt>
                <c:pt idx="2813">
                  <c:v>1.8188572913280372E-2</c:v>
                </c:pt>
                <c:pt idx="2814">
                  <c:v>3.3034228964566245E-2</c:v>
                </c:pt>
                <c:pt idx="2815">
                  <c:v>-1.93077980258997E-2</c:v>
                </c:pt>
                <c:pt idx="2816">
                  <c:v>-3.1806034202252899E-2</c:v>
                </c:pt>
                <c:pt idx="2817">
                  <c:v>-4.3029902512689455E-2</c:v>
                </c:pt>
                <c:pt idx="2818">
                  <c:v>2.8756129409339616E-2</c:v>
                </c:pt>
                <c:pt idx="2819">
                  <c:v>2.3143971766838873E-2</c:v>
                </c:pt>
                <c:pt idx="2820">
                  <c:v>1.2813358719207138E-3</c:v>
                </c:pt>
                <c:pt idx="2821">
                  <c:v>-9.811254102482134E-3</c:v>
                </c:pt>
                <c:pt idx="2822">
                  <c:v>8.4255617107694709E-3</c:v>
                </c:pt>
                <c:pt idx="2823">
                  <c:v>-7.2934949761602266E-3</c:v>
                </c:pt>
                <c:pt idx="2824">
                  <c:v>-7.3080991008269269E-3</c:v>
                </c:pt>
                <c:pt idx="2825">
                  <c:v>-3.1791821377432229E-2</c:v>
                </c:pt>
                <c:pt idx="2826">
                  <c:v>-5.7289778015570982E-3</c:v>
                </c:pt>
                <c:pt idx="2827">
                  <c:v>-3.7100109149830682E-2</c:v>
                </c:pt>
                <c:pt idx="2828">
                  <c:v>2.1631699052284337E-2</c:v>
                </c:pt>
                <c:pt idx="2829">
                  <c:v>7.3755990388147067E-3</c:v>
                </c:pt>
                <c:pt idx="2830">
                  <c:v>-2.294848943741672E-2</c:v>
                </c:pt>
                <c:pt idx="2831">
                  <c:v>-4.8391287100789746E-3</c:v>
                </c:pt>
                <c:pt idx="2832">
                  <c:v>2.5611187051937708E-3</c:v>
                </c:pt>
                <c:pt idx="2833">
                  <c:v>8.6946516367364356E-3</c:v>
                </c:pt>
                <c:pt idx="2834">
                  <c:v>-1.7699149863755426E-2</c:v>
                </c:pt>
                <c:pt idx="2835">
                  <c:v>-2.1582013093854952E-2</c:v>
                </c:pt>
                <c:pt idx="2836">
                  <c:v>-2.1331729496115694E-2</c:v>
                </c:pt>
                <c:pt idx="2837">
                  <c:v>-1.8979347702080323E-4</c:v>
                </c:pt>
                <c:pt idx="2838">
                  <c:v>1.9204341975419016E-2</c:v>
                </c:pt>
                <c:pt idx="2839">
                  <c:v>4.1500471964671971E-3</c:v>
                </c:pt>
                <c:pt idx="2840">
                  <c:v>5.3569933505075787E-2</c:v>
                </c:pt>
                <c:pt idx="2841">
                  <c:v>-1.3239681876770422E-2</c:v>
                </c:pt>
                <c:pt idx="2842">
                  <c:v>-8.1515617762710768E-3</c:v>
                </c:pt>
                <c:pt idx="2843">
                  <c:v>5.9545909141425019E-2</c:v>
                </c:pt>
                <c:pt idx="2844">
                  <c:v>2.0428642552224374E-2</c:v>
                </c:pt>
                <c:pt idx="2845">
                  <c:v>-8.8795278299088828E-3</c:v>
                </c:pt>
                <c:pt idx="2846">
                  <c:v>3.3912747009574237E-3</c:v>
                </c:pt>
                <c:pt idx="2847">
                  <c:v>-2.3525366862341173E-2</c:v>
                </c:pt>
                <c:pt idx="2848">
                  <c:v>1.2103860936946445E-2</c:v>
                </c:pt>
                <c:pt idx="2849">
                  <c:v>2.0863726048431168E-2</c:v>
                </c:pt>
                <c:pt idx="2850">
                  <c:v>8.381890097749374E-4</c:v>
                </c:pt>
                <c:pt idx="2851">
                  <c:v>-2.9382332121823233E-2</c:v>
                </c:pt>
                <c:pt idx="2852">
                  <c:v>5.7351175766462426E-3</c:v>
                </c:pt>
                <c:pt idx="2853">
                  <c:v>-1.1501743873896303E-2</c:v>
                </c:pt>
                <c:pt idx="2854">
                  <c:v>-2.5248029222878048E-2</c:v>
                </c:pt>
                <c:pt idx="2855">
                  <c:v>2.9676342522104479E-2</c:v>
                </c:pt>
                <c:pt idx="2856">
                  <c:v>5.6960776999668415E-2</c:v>
                </c:pt>
                <c:pt idx="2857">
                  <c:v>1.8658794173068809E-2</c:v>
                </c:pt>
                <c:pt idx="2858">
                  <c:v>4.9290156811346991E-3</c:v>
                </c:pt>
                <c:pt idx="2859">
                  <c:v>3.5494834399445889E-2</c:v>
                </c:pt>
                <c:pt idx="2860">
                  <c:v>-3.5642049912294502E-3</c:v>
                </c:pt>
                <c:pt idx="2861">
                  <c:v>-7.0851424576557406E-3</c:v>
                </c:pt>
                <c:pt idx="2862">
                  <c:v>-6.1303742346049163E-3</c:v>
                </c:pt>
                <c:pt idx="2863">
                  <c:v>1.1706405588242713E-2</c:v>
                </c:pt>
                <c:pt idx="2864">
                  <c:v>6.8401648190307991E-3</c:v>
                </c:pt>
                <c:pt idx="2865">
                  <c:v>-1.2982720558557079E-2</c:v>
                </c:pt>
                <c:pt idx="2866">
                  <c:v>-2.4377519099916662E-2</c:v>
                </c:pt>
                <c:pt idx="2867">
                  <c:v>-5.979794999804651E-2</c:v>
                </c:pt>
                <c:pt idx="2868">
                  <c:v>1.1622434003498617E-2</c:v>
                </c:pt>
                <c:pt idx="2869">
                  <c:v>-2.7848883717219095E-2</c:v>
                </c:pt>
                <c:pt idx="2870">
                  <c:v>-4.4635435363708526E-3</c:v>
                </c:pt>
                <c:pt idx="2871">
                  <c:v>-1.9441711848720146E-3</c:v>
                </c:pt>
                <c:pt idx="2872">
                  <c:v>-3.5241839955714081E-2</c:v>
                </c:pt>
                <c:pt idx="2873">
                  <c:v>-6.0030317064168112E-3</c:v>
                </c:pt>
                <c:pt idx="2874">
                  <c:v>1.9687074957325652E-2</c:v>
                </c:pt>
                <c:pt idx="2875">
                  <c:v>1.3375295208104314E-2</c:v>
                </c:pt>
                <c:pt idx="2876">
                  <c:v>3.4795308443793045E-3</c:v>
                </c:pt>
                <c:pt idx="2877">
                  <c:v>4.9282522363477035E-2</c:v>
                </c:pt>
                <c:pt idx="2878">
                  <c:v>1.2591416623569022E-2</c:v>
                </c:pt>
                <c:pt idx="2879">
                  <c:v>2.3156967055935944E-2</c:v>
                </c:pt>
                <c:pt idx="2880">
                  <c:v>1.0570602533605394E-2</c:v>
                </c:pt>
                <c:pt idx="2881">
                  <c:v>-1.7230401034250654E-2</c:v>
                </c:pt>
                <c:pt idx="2882">
                  <c:v>-1.0927854066226705E-2</c:v>
                </c:pt>
                <c:pt idx="2883">
                  <c:v>-2.4376962582275449E-2</c:v>
                </c:pt>
                <c:pt idx="2884">
                  <c:v>-1.094589146411948E-2</c:v>
                </c:pt>
                <c:pt idx="2885">
                  <c:v>4.677383317246301E-2</c:v>
                </c:pt>
                <c:pt idx="2886">
                  <c:v>3.3028079795767259E-2</c:v>
                </c:pt>
                <c:pt idx="2887">
                  <c:v>-2.0731519989880268E-2</c:v>
                </c:pt>
                <c:pt idx="2888">
                  <c:v>3.6434992751719443E-2</c:v>
                </c:pt>
                <c:pt idx="2889">
                  <c:v>-4.2374768928337463E-2</c:v>
                </c:pt>
                <c:pt idx="2890">
                  <c:v>-1.3188457727909645E-2</c:v>
                </c:pt>
                <c:pt idx="2891">
                  <c:v>-1.2000086434587477E-2</c:v>
                </c:pt>
                <c:pt idx="2892">
                  <c:v>-1.9848462667897443E-2</c:v>
                </c:pt>
                <c:pt idx="2893">
                  <c:v>7.2165202294681603E-4</c:v>
                </c:pt>
                <c:pt idx="2894">
                  <c:v>-1.3563749810419806E-2</c:v>
                </c:pt>
                <c:pt idx="2895">
                  <c:v>-3.2658746865706932E-2</c:v>
                </c:pt>
                <c:pt idx="2896">
                  <c:v>-4.1274286556040839E-3</c:v>
                </c:pt>
                <c:pt idx="2897">
                  <c:v>-2.2373999070850912E-3</c:v>
                </c:pt>
                <c:pt idx="2898">
                  <c:v>-3.2274961289542603E-4</c:v>
                </c:pt>
                <c:pt idx="2899">
                  <c:v>7.6184147834823905E-3</c:v>
                </c:pt>
                <c:pt idx="2900">
                  <c:v>-1.5660291167262985E-2</c:v>
                </c:pt>
                <c:pt idx="2901">
                  <c:v>-1.4918339482688725E-2</c:v>
                </c:pt>
                <c:pt idx="2902">
                  <c:v>-4.9672805252031958E-2</c:v>
                </c:pt>
                <c:pt idx="2903">
                  <c:v>1.7343311729832113E-3</c:v>
                </c:pt>
                <c:pt idx="2904">
                  <c:v>3.88182607785892E-2</c:v>
                </c:pt>
                <c:pt idx="2905">
                  <c:v>-3.0883533755994921E-2</c:v>
                </c:pt>
                <c:pt idx="2906">
                  <c:v>3.1310796098751856E-2</c:v>
                </c:pt>
                <c:pt idx="2907">
                  <c:v>-2.0585290989757497E-2</c:v>
                </c:pt>
                <c:pt idx="2908">
                  <c:v>6.552125075865738E-3</c:v>
                </c:pt>
                <c:pt idx="2909">
                  <c:v>4.8927410812305908E-3</c:v>
                </c:pt>
                <c:pt idx="2910">
                  <c:v>-1.9957181264088148E-2</c:v>
                </c:pt>
                <c:pt idx="2911">
                  <c:v>3.0951834105820294E-2</c:v>
                </c:pt>
                <c:pt idx="2912">
                  <c:v>4.2322598549850892E-3</c:v>
                </c:pt>
                <c:pt idx="2913">
                  <c:v>9.1937596880907156E-3</c:v>
                </c:pt>
                <c:pt idx="2914">
                  <c:v>1.1031537442505056E-3</c:v>
                </c:pt>
                <c:pt idx="2915">
                  <c:v>-6.9174080459423401E-3</c:v>
                </c:pt>
                <c:pt idx="2916">
                  <c:v>9.707614709732219E-3</c:v>
                </c:pt>
                <c:pt idx="2917">
                  <c:v>3.7132185508775867E-2</c:v>
                </c:pt>
                <c:pt idx="2918">
                  <c:v>1.387698019391242E-2</c:v>
                </c:pt>
                <c:pt idx="2919">
                  <c:v>1.7644223688978444E-2</c:v>
                </c:pt>
                <c:pt idx="2920">
                  <c:v>-2.0178784057941594E-3</c:v>
                </c:pt>
                <c:pt idx="2921">
                  <c:v>2.5371424620294965E-2</c:v>
                </c:pt>
                <c:pt idx="2922">
                  <c:v>2.1011354977392521E-2</c:v>
                </c:pt>
                <c:pt idx="2923">
                  <c:v>6.0059186393261726E-3</c:v>
                </c:pt>
                <c:pt idx="2924">
                  <c:v>-4.9364674676814473E-3</c:v>
                </c:pt>
                <c:pt idx="2925">
                  <c:v>1.2472127284394369E-2</c:v>
                </c:pt>
                <c:pt idx="2926">
                  <c:v>1.5798414903235216E-2</c:v>
                </c:pt>
                <c:pt idx="2927">
                  <c:v>1.9318319613525266E-2</c:v>
                </c:pt>
                <c:pt idx="2928">
                  <c:v>2.3539867513353196E-2</c:v>
                </c:pt>
                <c:pt idx="2929">
                  <c:v>-5.2319235704531432E-2</c:v>
                </c:pt>
                <c:pt idx="2930">
                  <c:v>-1.0183543769178448E-2</c:v>
                </c:pt>
                <c:pt idx="2931">
                  <c:v>4.2994757005749163E-3</c:v>
                </c:pt>
                <c:pt idx="2932">
                  <c:v>-4.9768479456148446E-3</c:v>
                </c:pt>
                <c:pt idx="2933">
                  <c:v>2.770370250450448E-2</c:v>
                </c:pt>
                <c:pt idx="2934">
                  <c:v>5.2648219082488137E-2</c:v>
                </c:pt>
                <c:pt idx="2935">
                  <c:v>1.9611307572607511E-2</c:v>
                </c:pt>
                <c:pt idx="2936">
                  <c:v>-1.4916125558470796E-2</c:v>
                </c:pt>
                <c:pt idx="2937">
                  <c:v>-2.6441776347927177E-2</c:v>
                </c:pt>
                <c:pt idx="2938">
                  <c:v>-4.8299624503658878E-2</c:v>
                </c:pt>
                <c:pt idx="2939">
                  <c:v>8.9056951267285495E-3</c:v>
                </c:pt>
                <c:pt idx="2940">
                  <c:v>-1.8091292744927185E-3</c:v>
                </c:pt>
                <c:pt idx="2941">
                  <c:v>1.2717622011373667E-2</c:v>
                </c:pt>
                <c:pt idx="2942">
                  <c:v>-2.9627572544432702E-2</c:v>
                </c:pt>
                <c:pt idx="2943">
                  <c:v>-2.7680803483050406E-2</c:v>
                </c:pt>
                <c:pt idx="2944">
                  <c:v>-3.0967794747115304E-2</c:v>
                </c:pt>
                <c:pt idx="2945">
                  <c:v>2.2124970755900617E-2</c:v>
                </c:pt>
                <c:pt idx="2946">
                  <c:v>4.754165338193201E-2</c:v>
                </c:pt>
                <c:pt idx="2947">
                  <c:v>-1.7332544833233734E-2</c:v>
                </c:pt>
                <c:pt idx="2948">
                  <c:v>-2.4754686057048645E-2</c:v>
                </c:pt>
                <c:pt idx="2949">
                  <c:v>1.441651417444282E-2</c:v>
                </c:pt>
                <c:pt idx="2950">
                  <c:v>3.8359312066177709E-2</c:v>
                </c:pt>
                <c:pt idx="2951">
                  <c:v>-3.6888350055362222E-2</c:v>
                </c:pt>
                <c:pt idx="2952">
                  <c:v>5.027931217346961E-3</c:v>
                </c:pt>
                <c:pt idx="2953">
                  <c:v>-2.4549167152351323E-2</c:v>
                </c:pt>
                <c:pt idx="2954">
                  <c:v>-8.2321253320972957E-3</c:v>
                </c:pt>
                <c:pt idx="2955">
                  <c:v>2.8766719093599125E-2</c:v>
                </c:pt>
                <c:pt idx="2956">
                  <c:v>-3.5212778794287393E-2</c:v>
                </c:pt>
                <c:pt idx="2957">
                  <c:v>4.485290921162826E-2</c:v>
                </c:pt>
                <c:pt idx="2958">
                  <c:v>8.8340815164280242E-3</c:v>
                </c:pt>
                <c:pt idx="2959">
                  <c:v>9.4155051088393887E-4</c:v>
                </c:pt>
                <c:pt idx="2960">
                  <c:v>7.4407543423069579E-3</c:v>
                </c:pt>
                <c:pt idx="2961">
                  <c:v>-1.3812840224815184E-2</c:v>
                </c:pt>
                <c:pt idx="2962">
                  <c:v>6.8890309461790023E-3</c:v>
                </c:pt>
                <c:pt idx="2963">
                  <c:v>1.7050839464051601E-2</c:v>
                </c:pt>
                <c:pt idx="2964">
                  <c:v>1.3397052212577355E-2</c:v>
                </c:pt>
                <c:pt idx="2965">
                  <c:v>-2.1346328045512491E-2</c:v>
                </c:pt>
                <c:pt idx="2966">
                  <c:v>1.8029200918573578E-3</c:v>
                </c:pt>
                <c:pt idx="2967">
                  <c:v>2.0203101774955805E-2</c:v>
                </c:pt>
                <c:pt idx="2968">
                  <c:v>-3.0516601061091903E-2</c:v>
                </c:pt>
                <c:pt idx="2969">
                  <c:v>-8.7559486498660147E-3</c:v>
                </c:pt>
                <c:pt idx="2970">
                  <c:v>-1.0607345504190324E-2</c:v>
                </c:pt>
                <c:pt idx="2971">
                  <c:v>2.909320912869284E-3</c:v>
                </c:pt>
                <c:pt idx="2972">
                  <c:v>2.0493426815664663E-2</c:v>
                </c:pt>
                <c:pt idx="2973">
                  <c:v>3.2630504619259516E-2</c:v>
                </c:pt>
                <c:pt idx="2974">
                  <c:v>2.7431544788713749E-2</c:v>
                </c:pt>
                <c:pt idx="2975">
                  <c:v>-6.3933455706358111E-3</c:v>
                </c:pt>
                <c:pt idx="2976">
                  <c:v>4.143473540033675E-2</c:v>
                </c:pt>
                <c:pt idx="2977">
                  <c:v>4.0836052693442981E-2</c:v>
                </c:pt>
                <c:pt idx="2978">
                  <c:v>-1.9040737242871232E-2</c:v>
                </c:pt>
                <c:pt idx="2979">
                  <c:v>-7.7719568621153708E-4</c:v>
                </c:pt>
                <c:pt idx="2980">
                  <c:v>-1.0568556911344695E-3</c:v>
                </c:pt>
                <c:pt idx="2981">
                  <c:v>3.2238131434248141E-2</c:v>
                </c:pt>
                <c:pt idx="2982">
                  <c:v>-1.7478372967286201E-2</c:v>
                </c:pt>
                <c:pt idx="2983">
                  <c:v>-2.4263870249375267E-2</c:v>
                </c:pt>
                <c:pt idx="2984">
                  <c:v>-1.0006253484767188E-3</c:v>
                </c:pt>
                <c:pt idx="2985">
                  <c:v>2.5532450310442392E-2</c:v>
                </c:pt>
                <c:pt idx="2986">
                  <c:v>-3.8336568662347539E-2</c:v>
                </c:pt>
                <c:pt idx="2987">
                  <c:v>2.4178850015859853E-2</c:v>
                </c:pt>
                <c:pt idx="2988">
                  <c:v>2.5586997847828357E-3</c:v>
                </c:pt>
                <c:pt idx="2989">
                  <c:v>-5.7711745615418482E-3</c:v>
                </c:pt>
                <c:pt idx="2990">
                  <c:v>-1.5589397980741829E-2</c:v>
                </c:pt>
                <c:pt idx="2991">
                  <c:v>-5.505523405471455E-3</c:v>
                </c:pt>
                <c:pt idx="2992">
                  <c:v>1.5066212113111953E-2</c:v>
                </c:pt>
                <c:pt idx="2993">
                  <c:v>2.8221452236529831E-3</c:v>
                </c:pt>
                <c:pt idx="2994">
                  <c:v>-3.8272614638683289E-3</c:v>
                </c:pt>
                <c:pt idx="2995">
                  <c:v>2.9017902319548476E-2</c:v>
                </c:pt>
                <c:pt idx="2996">
                  <c:v>1.0166783506467027E-2</c:v>
                </c:pt>
                <c:pt idx="2997">
                  <c:v>1.2522274067137365E-2</c:v>
                </c:pt>
                <c:pt idx="2998">
                  <c:v>-1.3921870387227137E-2</c:v>
                </c:pt>
                <c:pt idx="2999">
                  <c:v>5.0699640717597402E-3</c:v>
                </c:pt>
                <c:pt idx="3000">
                  <c:v>1.8496340200133098E-3</c:v>
                </c:pt>
                <c:pt idx="3001">
                  <c:v>-1.4744862792950422E-2</c:v>
                </c:pt>
                <c:pt idx="3002">
                  <c:v>-3.2647925993768402E-2</c:v>
                </c:pt>
                <c:pt idx="3003">
                  <c:v>1.471647353335047E-2</c:v>
                </c:pt>
                <c:pt idx="3004">
                  <c:v>-2.1192083928779543E-2</c:v>
                </c:pt>
                <c:pt idx="3005">
                  <c:v>9.0650201575569189E-3</c:v>
                </c:pt>
                <c:pt idx="3006">
                  <c:v>-1.465410598740858E-3</c:v>
                </c:pt>
                <c:pt idx="3007">
                  <c:v>7.8440504260045563E-3</c:v>
                </c:pt>
                <c:pt idx="3008">
                  <c:v>-7.7094997055805574E-3</c:v>
                </c:pt>
                <c:pt idx="3009">
                  <c:v>-1.6122090472241626E-2</c:v>
                </c:pt>
                <c:pt idx="3010">
                  <c:v>1.3927644375938101E-2</c:v>
                </c:pt>
                <c:pt idx="3011">
                  <c:v>2.3295960322046672E-2</c:v>
                </c:pt>
                <c:pt idx="3012">
                  <c:v>3.4094086002642493E-2</c:v>
                </c:pt>
                <c:pt idx="3013">
                  <c:v>1.6798808405530909E-2</c:v>
                </c:pt>
                <c:pt idx="3014">
                  <c:v>2.9007495283745677E-2</c:v>
                </c:pt>
                <c:pt idx="3015">
                  <c:v>-2.3132141963334775E-2</c:v>
                </c:pt>
                <c:pt idx="3016">
                  <c:v>4.2747447818219278E-2</c:v>
                </c:pt>
                <c:pt idx="3017">
                  <c:v>2.2197555460476727E-3</c:v>
                </c:pt>
                <c:pt idx="3018">
                  <c:v>-2.7337426693243298E-2</c:v>
                </c:pt>
                <c:pt idx="3019">
                  <c:v>-1.8337701121941039E-2</c:v>
                </c:pt>
                <c:pt idx="3020">
                  <c:v>-1.1901401074820475E-2</c:v>
                </c:pt>
                <c:pt idx="3021">
                  <c:v>-2.2070452744245274E-2</c:v>
                </c:pt>
                <c:pt idx="3022">
                  <c:v>3.5895422905907824E-2</c:v>
                </c:pt>
                <c:pt idx="3023">
                  <c:v>2.9330588629301321E-2</c:v>
                </c:pt>
                <c:pt idx="3024">
                  <c:v>-1.4669654011265332E-3</c:v>
                </c:pt>
                <c:pt idx="3025">
                  <c:v>3.0793749854959203E-2</c:v>
                </c:pt>
                <c:pt idx="3026">
                  <c:v>-3.3075424084339361E-2</c:v>
                </c:pt>
                <c:pt idx="3027">
                  <c:v>-6.1277673107117819E-3</c:v>
                </c:pt>
                <c:pt idx="3028">
                  <c:v>-3.3597615858855325E-3</c:v>
                </c:pt>
                <c:pt idx="3029">
                  <c:v>-2.2689843312754254E-2</c:v>
                </c:pt>
                <c:pt idx="3030">
                  <c:v>5.3756276817765111E-2</c:v>
                </c:pt>
                <c:pt idx="3031">
                  <c:v>1.7236802755008968E-2</c:v>
                </c:pt>
                <c:pt idx="3032">
                  <c:v>1.0341076177957998E-2</c:v>
                </c:pt>
                <c:pt idx="3033">
                  <c:v>9.6706461716846229E-3</c:v>
                </c:pt>
                <c:pt idx="3034">
                  <c:v>-3.0100587381139802E-2</c:v>
                </c:pt>
                <c:pt idx="3035">
                  <c:v>-2.3995849754827107E-2</c:v>
                </c:pt>
                <c:pt idx="3036">
                  <c:v>-2.7898993057615121E-2</c:v>
                </c:pt>
                <c:pt idx="3037">
                  <c:v>3.6171375594699351E-2</c:v>
                </c:pt>
                <c:pt idx="3038">
                  <c:v>-9.1348284031646382E-3</c:v>
                </c:pt>
                <c:pt idx="3039">
                  <c:v>-1.1935744897753113E-2</c:v>
                </c:pt>
                <c:pt idx="3040">
                  <c:v>1.6463892386812857E-2</c:v>
                </c:pt>
                <c:pt idx="3041">
                  <c:v>-1.3825153143116648E-3</c:v>
                </c:pt>
                <c:pt idx="3042">
                  <c:v>1.3007712886595539E-2</c:v>
                </c:pt>
                <c:pt idx="3043">
                  <c:v>2.5698981201795416E-2</c:v>
                </c:pt>
                <c:pt idx="3044">
                  <c:v>1.8173106219370128E-2</c:v>
                </c:pt>
                <c:pt idx="3045">
                  <c:v>-8.3884359465155357E-3</c:v>
                </c:pt>
                <c:pt idx="3046">
                  <c:v>2.0014748094306891E-2</c:v>
                </c:pt>
                <c:pt idx="3047">
                  <c:v>9.1273648645008379E-3</c:v>
                </c:pt>
                <c:pt idx="3048">
                  <c:v>-3.219241955911168E-2</c:v>
                </c:pt>
                <c:pt idx="3049">
                  <c:v>2.0482372596466202E-2</c:v>
                </c:pt>
                <c:pt idx="3050">
                  <c:v>-3.2946574189408717E-2</c:v>
                </c:pt>
                <c:pt idx="3051">
                  <c:v>2.4480678426047108E-3</c:v>
                </c:pt>
                <c:pt idx="3052">
                  <c:v>9.3749072150264706E-3</c:v>
                </c:pt>
                <c:pt idx="3053">
                  <c:v>1.7532075771828181E-3</c:v>
                </c:pt>
                <c:pt idx="3054">
                  <c:v>-2.1867535526959993E-2</c:v>
                </c:pt>
                <c:pt idx="3055">
                  <c:v>-1.2197213153846462E-2</c:v>
                </c:pt>
                <c:pt idx="3056">
                  <c:v>4.7061895058781347E-2</c:v>
                </c:pt>
                <c:pt idx="3057">
                  <c:v>2.6185938670261238E-2</c:v>
                </c:pt>
                <c:pt idx="3058">
                  <c:v>-1.2250642815914693E-2</c:v>
                </c:pt>
                <c:pt idx="3059">
                  <c:v>-4.9663696199285911E-3</c:v>
                </c:pt>
                <c:pt idx="3060">
                  <c:v>3.9751250822857914E-3</c:v>
                </c:pt>
                <c:pt idx="3061">
                  <c:v>-3.5409136529881619E-2</c:v>
                </c:pt>
                <c:pt idx="3062">
                  <c:v>-5.6268027408803219E-2</c:v>
                </c:pt>
                <c:pt idx="3063">
                  <c:v>-3.1333704266735221E-2</c:v>
                </c:pt>
                <c:pt idx="3064">
                  <c:v>2.0431982577246779E-2</c:v>
                </c:pt>
                <c:pt idx="3065">
                  <c:v>2.8229978590740668E-2</c:v>
                </c:pt>
                <c:pt idx="3066">
                  <c:v>2.1469819744422348E-2</c:v>
                </c:pt>
                <c:pt idx="3067">
                  <c:v>-4.4588222006382419E-2</c:v>
                </c:pt>
                <c:pt idx="3068">
                  <c:v>-3.1897803373862596E-2</c:v>
                </c:pt>
                <c:pt idx="3069">
                  <c:v>2.1705452853918936E-2</c:v>
                </c:pt>
                <c:pt idx="3070">
                  <c:v>-1.1088195869900296E-2</c:v>
                </c:pt>
                <c:pt idx="3071">
                  <c:v>-2.9411550626545203E-2</c:v>
                </c:pt>
                <c:pt idx="3072">
                  <c:v>-1.9990807144770906E-2</c:v>
                </c:pt>
                <c:pt idx="3073">
                  <c:v>5.0813887645876112E-3</c:v>
                </c:pt>
                <c:pt idx="3074">
                  <c:v>-1.5938542633800394E-2</c:v>
                </c:pt>
                <c:pt idx="3075">
                  <c:v>1.5234896379237377E-2</c:v>
                </c:pt>
                <c:pt idx="3076">
                  <c:v>7.3280507157707127E-3</c:v>
                </c:pt>
                <c:pt idx="3077">
                  <c:v>1.7899887702360461E-2</c:v>
                </c:pt>
                <c:pt idx="3078">
                  <c:v>9.2003943800903262E-3</c:v>
                </c:pt>
                <c:pt idx="3079">
                  <c:v>1.2522525639440991E-2</c:v>
                </c:pt>
                <c:pt idx="3080">
                  <c:v>1.1112280396279246E-2</c:v>
                </c:pt>
                <c:pt idx="3081">
                  <c:v>-2.8605815825473082E-2</c:v>
                </c:pt>
                <c:pt idx="3082">
                  <c:v>-4.9025204338008881E-3</c:v>
                </c:pt>
                <c:pt idx="3083">
                  <c:v>1.7147988243322101E-2</c:v>
                </c:pt>
                <c:pt idx="3084">
                  <c:v>-9.2752454028944813E-3</c:v>
                </c:pt>
                <c:pt idx="3085">
                  <c:v>3.9255070700514203E-3</c:v>
                </c:pt>
                <c:pt idx="3086">
                  <c:v>4.3819241258760307E-2</c:v>
                </c:pt>
                <c:pt idx="3087">
                  <c:v>3.6484910372203083E-2</c:v>
                </c:pt>
                <c:pt idx="3088">
                  <c:v>-1.0287016551552166E-2</c:v>
                </c:pt>
                <c:pt idx="3089">
                  <c:v>-1.274955881464686E-2</c:v>
                </c:pt>
                <c:pt idx="3090">
                  <c:v>-1.2429977813513217E-2</c:v>
                </c:pt>
                <c:pt idx="3091">
                  <c:v>6.022377951929149E-3</c:v>
                </c:pt>
                <c:pt idx="3092">
                  <c:v>-1.8226602669569707E-2</c:v>
                </c:pt>
                <c:pt idx="3093">
                  <c:v>-2.3451218275310916E-2</c:v>
                </c:pt>
                <c:pt idx="3094">
                  <c:v>1.0876945265618511E-2</c:v>
                </c:pt>
                <c:pt idx="3095">
                  <c:v>-3.822452573628906E-2</c:v>
                </c:pt>
                <c:pt idx="3096">
                  <c:v>-2.0840834980725111E-2</c:v>
                </c:pt>
                <c:pt idx="3097">
                  <c:v>5.1596138761442638E-2</c:v>
                </c:pt>
                <c:pt idx="3098">
                  <c:v>-2.5359864157324295E-2</c:v>
                </c:pt>
                <c:pt idx="3099">
                  <c:v>2.2974353215095965E-2</c:v>
                </c:pt>
                <c:pt idx="3100">
                  <c:v>-7.2069872003239794E-3</c:v>
                </c:pt>
                <c:pt idx="3101">
                  <c:v>-1.0601103402974326E-2</c:v>
                </c:pt>
                <c:pt idx="3102">
                  <c:v>1.9611492881440172E-2</c:v>
                </c:pt>
                <c:pt idx="3103">
                  <c:v>-8.9281795062740761E-3</c:v>
                </c:pt>
                <c:pt idx="3104">
                  <c:v>1.5511943061734803E-2</c:v>
                </c:pt>
                <c:pt idx="3105">
                  <c:v>2.8699270210420597E-2</c:v>
                </c:pt>
                <c:pt idx="3106">
                  <c:v>-6.6759991580125407E-3</c:v>
                </c:pt>
                <c:pt idx="3107">
                  <c:v>2.0653593996826621E-3</c:v>
                </c:pt>
                <c:pt idx="3108">
                  <c:v>8.6337532123888401E-3</c:v>
                </c:pt>
                <c:pt idx="3109">
                  <c:v>-3.5426074667843546E-2</c:v>
                </c:pt>
                <c:pt idx="3110">
                  <c:v>8.3564410843206764E-3</c:v>
                </c:pt>
                <c:pt idx="3111">
                  <c:v>-9.0421251994386564E-3</c:v>
                </c:pt>
                <c:pt idx="3112">
                  <c:v>3.6098264413900994E-3</c:v>
                </c:pt>
                <c:pt idx="3113">
                  <c:v>1.7971217067363879E-2</c:v>
                </c:pt>
                <c:pt idx="3114">
                  <c:v>6.2092702321355706E-3</c:v>
                </c:pt>
                <c:pt idx="3115">
                  <c:v>8.1770724499274461E-4</c:v>
                </c:pt>
                <c:pt idx="3116">
                  <c:v>2.5981460676013628E-3</c:v>
                </c:pt>
                <c:pt idx="3117">
                  <c:v>-1.6373574927040339E-2</c:v>
                </c:pt>
                <c:pt idx="3118">
                  <c:v>1.3332013195121938E-2</c:v>
                </c:pt>
                <c:pt idx="3119">
                  <c:v>-2.6761501259486734E-2</c:v>
                </c:pt>
                <c:pt idx="3120">
                  <c:v>-1.2489894628844355E-2</c:v>
                </c:pt>
                <c:pt idx="3121">
                  <c:v>-5.5567886173760335E-4</c:v>
                </c:pt>
                <c:pt idx="3122">
                  <c:v>1.2205914701852906E-2</c:v>
                </c:pt>
                <c:pt idx="3123">
                  <c:v>-9.4099846207999615E-3</c:v>
                </c:pt>
                <c:pt idx="3124">
                  <c:v>-9.8207711425767358E-3</c:v>
                </c:pt>
                <c:pt idx="3125">
                  <c:v>-3.7507346069389748E-2</c:v>
                </c:pt>
                <c:pt idx="3126">
                  <c:v>2.1415055163392167E-2</c:v>
                </c:pt>
                <c:pt idx="3127">
                  <c:v>1.4700429154478336E-2</c:v>
                </c:pt>
                <c:pt idx="3128">
                  <c:v>2.6571963471396249E-3</c:v>
                </c:pt>
                <c:pt idx="3129">
                  <c:v>1.937126574498169E-2</c:v>
                </c:pt>
                <c:pt idx="3130">
                  <c:v>-7.2237534499178663E-2</c:v>
                </c:pt>
                <c:pt idx="3131">
                  <c:v>-7.3916204899259156E-3</c:v>
                </c:pt>
                <c:pt idx="3132">
                  <c:v>-9.9883854279040011E-3</c:v>
                </c:pt>
                <c:pt idx="3133">
                  <c:v>6.862680565423945E-3</c:v>
                </c:pt>
                <c:pt idx="3134">
                  <c:v>4.1269524013792615E-2</c:v>
                </c:pt>
                <c:pt idx="3135">
                  <c:v>2.5195945570512777E-2</c:v>
                </c:pt>
                <c:pt idx="3136">
                  <c:v>-1.3920796895157694E-2</c:v>
                </c:pt>
                <c:pt idx="3137">
                  <c:v>2.1695391286230509E-2</c:v>
                </c:pt>
                <c:pt idx="3138">
                  <c:v>-1.4681872153201174E-2</c:v>
                </c:pt>
                <c:pt idx="3139">
                  <c:v>-1.7822827544961888E-2</c:v>
                </c:pt>
                <c:pt idx="3140">
                  <c:v>4.2302118167442303E-2</c:v>
                </c:pt>
                <c:pt idx="3141">
                  <c:v>-2.6005719203533048E-2</c:v>
                </c:pt>
                <c:pt idx="3142">
                  <c:v>2.2649800087158431E-2</c:v>
                </c:pt>
                <c:pt idx="3143">
                  <c:v>4.7307116297561465E-2</c:v>
                </c:pt>
                <c:pt idx="3144">
                  <c:v>1.6192902943829916E-2</c:v>
                </c:pt>
                <c:pt idx="3145">
                  <c:v>4.0063106774451553E-2</c:v>
                </c:pt>
                <c:pt idx="3146">
                  <c:v>9.112619151037931E-3</c:v>
                </c:pt>
                <c:pt idx="3147">
                  <c:v>1.7527560154955369E-2</c:v>
                </c:pt>
                <c:pt idx="3148">
                  <c:v>1.8810663421693567E-2</c:v>
                </c:pt>
                <c:pt idx="3149">
                  <c:v>-1.3606073703179426E-2</c:v>
                </c:pt>
                <c:pt idx="3150">
                  <c:v>-1.3718276405140508E-2</c:v>
                </c:pt>
                <c:pt idx="3151">
                  <c:v>-1.267073748264007E-2</c:v>
                </c:pt>
                <c:pt idx="3152">
                  <c:v>6.0079396977916026E-4</c:v>
                </c:pt>
                <c:pt idx="3153">
                  <c:v>2.6652006215354046E-2</c:v>
                </c:pt>
                <c:pt idx="3154">
                  <c:v>3.8950606554909507E-3</c:v>
                </c:pt>
                <c:pt idx="3155">
                  <c:v>-7.4192436386812024E-3</c:v>
                </c:pt>
                <c:pt idx="3156">
                  <c:v>-1.363603396283025E-2</c:v>
                </c:pt>
                <c:pt idx="3157">
                  <c:v>1.5016032393072311E-2</c:v>
                </c:pt>
                <c:pt idx="3158">
                  <c:v>2.3787840721311303E-2</c:v>
                </c:pt>
                <c:pt idx="3159">
                  <c:v>-9.6812856061811604E-3</c:v>
                </c:pt>
                <c:pt idx="3160">
                  <c:v>3.1758691943700652E-3</c:v>
                </c:pt>
                <c:pt idx="3161">
                  <c:v>1.6917491679057595E-2</c:v>
                </c:pt>
                <c:pt idx="3162">
                  <c:v>-1.0727309915078169E-2</c:v>
                </c:pt>
                <c:pt idx="3163">
                  <c:v>-1.035829466972038E-2</c:v>
                </c:pt>
                <c:pt idx="3164">
                  <c:v>-7.7239062916198663E-3</c:v>
                </c:pt>
                <c:pt idx="3165">
                  <c:v>-4.3732356222359658E-2</c:v>
                </c:pt>
                <c:pt idx="3166">
                  <c:v>-1.1253561059947056E-2</c:v>
                </c:pt>
                <c:pt idx="3167">
                  <c:v>-2.2201298851112081E-2</c:v>
                </c:pt>
                <c:pt idx="3168">
                  <c:v>3.7088339550885099E-2</c:v>
                </c:pt>
                <c:pt idx="3169">
                  <c:v>-6.2953931723638851E-3</c:v>
                </c:pt>
                <c:pt idx="3170">
                  <c:v>1.599448973008857E-2</c:v>
                </c:pt>
                <c:pt idx="3171">
                  <c:v>-3.660494821368467E-3</c:v>
                </c:pt>
                <c:pt idx="3172">
                  <c:v>-1.083813407838095E-2</c:v>
                </c:pt>
                <c:pt idx="3173">
                  <c:v>1.529374928699905E-3</c:v>
                </c:pt>
                <c:pt idx="3174">
                  <c:v>1.9039095029689656E-2</c:v>
                </c:pt>
                <c:pt idx="3175">
                  <c:v>8.3786897737662402E-3</c:v>
                </c:pt>
                <c:pt idx="3176">
                  <c:v>-3.3954215782347878E-3</c:v>
                </c:pt>
                <c:pt idx="3177">
                  <c:v>-2.0203459451423357E-2</c:v>
                </c:pt>
                <c:pt idx="3178">
                  <c:v>3.7708045828761985E-2</c:v>
                </c:pt>
                <c:pt idx="3179">
                  <c:v>1.1571817443283193E-2</c:v>
                </c:pt>
                <c:pt idx="3180">
                  <c:v>-8.3621543693265694E-3</c:v>
                </c:pt>
                <c:pt idx="3181">
                  <c:v>3.2062829762784843E-2</c:v>
                </c:pt>
                <c:pt idx="3182">
                  <c:v>-1.3367377509338071E-2</c:v>
                </c:pt>
                <c:pt idx="3183">
                  <c:v>-1.2318110732123869E-2</c:v>
                </c:pt>
                <c:pt idx="3184">
                  <c:v>1.9793760302634685E-3</c:v>
                </c:pt>
                <c:pt idx="3185">
                  <c:v>-4.8589676499480802E-3</c:v>
                </c:pt>
                <c:pt idx="3186">
                  <c:v>2.2273512615227357E-2</c:v>
                </c:pt>
                <c:pt idx="3187">
                  <c:v>-1.3874162521743838E-2</c:v>
                </c:pt>
                <c:pt idx="3188">
                  <c:v>-2.1342501790643561E-3</c:v>
                </c:pt>
                <c:pt idx="3189">
                  <c:v>3.4700438946874967E-3</c:v>
                </c:pt>
                <c:pt idx="3190">
                  <c:v>2.4797596667076861E-2</c:v>
                </c:pt>
                <c:pt idx="3191">
                  <c:v>-7.189087817869047E-3</c:v>
                </c:pt>
                <c:pt idx="3192">
                  <c:v>-3.0141978551494537E-2</c:v>
                </c:pt>
                <c:pt idx="3193">
                  <c:v>2.5672984363806033E-2</c:v>
                </c:pt>
                <c:pt idx="3194">
                  <c:v>1.0416778288758336E-2</c:v>
                </c:pt>
                <c:pt idx="3195">
                  <c:v>3.5569656630434862E-2</c:v>
                </c:pt>
                <c:pt idx="3196">
                  <c:v>5.2632152612849779E-2</c:v>
                </c:pt>
                <c:pt idx="3197">
                  <c:v>-2.1808017088685842E-2</c:v>
                </c:pt>
                <c:pt idx="3198">
                  <c:v>2.7264434353680915E-2</c:v>
                </c:pt>
                <c:pt idx="3199">
                  <c:v>6.6584588063400962E-3</c:v>
                </c:pt>
                <c:pt idx="3200">
                  <c:v>4.5155922185961175E-3</c:v>
                </c:pt>
                <c:pt idx="3201">
                  <c:v>3.4457586045975645E-2</c:v>
                </c:pt>
                <c:pt idx="3202">
                  <c:v>3.1706720356580419E-2</c:v>
                </c:pt>
                <c:pt idx="3203">
                  <c:v>8.5796687726616815E-3</c:v>
                </c:pt>
                <c:pt idx="3204">
                  <c:v>3.6838060167290299E-2</c:v>
                </c:pt>
                <c:pt idx="3205">
                  <c:v>2.2671480303469781E-2</c:v>
                </c:pt>
                <c:pt idx="3206">
                  <c:v>1.6816891510918589E-2</c:v>
                </c:pt>
                <c:pt idx="3207">
                  <c:v>2.4766807585547956E-2</c:v>
                </c:pt>
                <c:pt idx="3208">
                  <c:v>-1.7333738177656008E-3</c:v>
                </c:pt>
                <c:pt idx="3209">
                  <c:v>-5.9693627639073304E-3</c:v>
                </c:pt>
                <c:pt idx="3210">
                  <c:v>-3.0990804531924108E-3</c:v>
                </c:pt>
                <c:pt idx="3211">
                  <c:v>2.9204475252447296E-2</c:v>
                </c:pt>
                <c:pt idx="3212">
                  <c:v>-1.761597494759768E-2</c:v>
                </c:pt>
                <c:pt idx="3213">
                  <c:v>1.7555522352762431E-2</c:v>
                </c:pt>
                <c:pt idx="3214">
                  <c:v>-7.4148396525757481E-3</c:v>
                </c:pt>
                <c:pt idx="3215">
                  <c:v>-4.522433602158929E-2</c:v>
                </c:pt>
                <c:pt idx="3216">
                  <c:v>7.2682813559488291E-3</c:v>
                </c:pt>
                <c:pt idx="3217">
                  <c:v>-4.1953617914221988E-2</c:v>
                </c:pt>
                <c:pt idx="3218">
                  <c:v>-4.5726455479758784E-3</c:v>
                </c:pt>
                <c:pt idx="3219">
                  <c:v>-2.3307661312492196E-2</c:v>
                </c:pt>
                <c:pt idx="3220">
                  <c:v>1.8937910800767656E-2</c:v>
                </c:pt>
                <c:pt idx="3221">
                  <c:v>1.042008664764524E-2</c:v>
                </c:pt>
                <c:pt idx="3222">
                  <c:v>4.2285701635558434E-2</c:v>
                </c:pt>
                <c:pt idx="3223">
                  <c:v>1.3259571658771271E-2</c:v>
                </c:pt>
                <c:pt idx="3224">
                  <c:v>2.2969612492804953E-2</c:v>
                </c:pt>
                <c:pt idx="3225">
                  <c:v>-2.6257402688615451E-3</c:v>
                </c:pt>
                <c:pt idx="3226">
                  <c:v>3.2512943708164065E-2</c:v>
                </c:pt>
                <c:pt idx="3227">
                  <c:v>-2.6678839407483306E-3</c:v>
                </c:pt>
                <c:pt idx="3228">
                  <c:v>-2.9279254238584827E-2</c:v>
                </c:pt>
                <c:pt idx="3229">
                  <c:v>-2.8839657920501183E-2</c:v>
                </c:pt>
                <c:pt idx="3230">
                  <c:v>2.3413647788615894E-2</c:v>
                </c:pt>
                <c:pt idx="3231">
                  <c:v>-3.5228075546528191E-3</c:v>
                </c:pt>
                <c:pt idx="3232">
                  <c:v>-9.8093798136733301E-3</c:v>
                </c:pt>
                <c:pt idx="3233">
                  <c:v>-5.771086093335381E-3</c:v>
                </c:pt>
                <c:pt idx="3234">
                  <c:v>-3.2091137097322807E-3</c:v>
                </c:pt>
                <c:pt idx="3235">
                  <c:v>-2.008675423309916E-2</c:v>
                </c:pt>
                <c:pt idx="3236">
                  <c:v>-1.953333833003236E-2</c:v>
                </c:pt>
                <c:pt idx="3237">
                  <c:v>9.9943174797031808E-3</c:v>
                </c:pt>
                <c:pt idx="3238">
                  <c:v>-3.4022591442207289E-2</c:v>
                </c:pt>
                <c:pt idx="3239">
                  <c:v>1.5346521433795453E-2</c:v>
                </c:pt>
                <c:pt idx="3240">
                  <c:v>4.1890351237400869E-2</c:v>
                </c:pt>
                <c:pt idx="3241">
                  <c:v>4.4159946102905329E-3</c:v>
                </c:pt>
                <c:pt idx="3242">
                  <c:v>3.2950944947688368E-2</c:v>
                </c:pt>
                <c:pt idx="3243">
                  <c:v>-3.112691650591658E-2</c:v>
                </c:pt>
                <c:pt idx="3244">
                  <c:v>-1.6883402208160345E-2</c:v>
                </c:pt>
                <c:pt idx="3245">
                  <c:v>8.6784915140161751E-3</c:v>
                </c:pt>
                <c:pt idx="3246">
                  <c:v>-3.2070665696879691E-2</c:v>
                </c:pt>
                <c:pt idx="3247">
                  <c:v>-4.6948138278712193E-2</c:v>
                </c:pt>
                <c:pt idx="3248">
                  <c:v>7.8708392750338023E-3</c:v>
                </c:pt>
                <c:pt idx="3249">
                  <c:v>-6.6942729388431189E-3</c:v>
                </c:pt>
                <c:pt idx="3250">
                  <c:v>1.4421172839852696E-2</c:v>
                </c:pt>
                <c:pt idx="3251">
                  <c:v>2.7327179752633431E-2</c:v>
                </c:pt>
                <c:pt idx="3252">
                  <c:v>-1.6509646003295044E-2</c:v>
                </c:pt>
                <c:pt idx="3253">
                  <c:v>1.2309414094623449E-2</c:v>
                </c:pt>
                <c:pt idx="3254">
                  <c:v>9.7190775094304089E-3</c:v>
                </c:pt>
                <c:pt idx="3255">
                  <c:v>1.0095239646416836E-2</c:v>
                </c:pt>
                <c:pt idx="3256">
                  <c:v>3.0397240660932658E-2</c:v>
                </c:pt>
                <c:pt idx="3257">
                  <c:v>-1.5703763281527616E-2</c:v>
                </c:pt>
                <c:pt idx="3258">
                  <c:v>1.0442194930489484E-2</c:v>
                </c:pt>
                <c:pt idx="3259">
                  <c:v>-2.4781607353920408E-2</c:v>
                </c:pt>
                <c:pt idx="3260">
                  <c:v>-9.3682735652389146E-5</c:v>
                </c:pt>
                <c:pt idx="3261">
                  <c:v>-3.1910389443920766E-2</c:v>
                </c:pt>
                <c:pt idx="3262">
                  <c:v>-2.3108050244986467E-2</c:v>
                </c:pt>
                <c:pt idx="3263">
                  <c:v>1.3947039712531162E-2</c:v>
                </c:pt>
                <c:pt idx="3264">
                  <c:v>-1.5132312928946304E-2</c:v>
                </c:pt>
                <c:pt idx="3265">
                  <c:v>-1.2845544693600112E-2</c:v>
                </c:pt>
                <c:pt idx="3266">
                  <c:v>-9.0475254104382345E-3</c:v>
                </c:pt>
                <c:pt idx="3267">
                  <c:v>-8.2566146946108504E-3</c:v>
                </c:pt>
                <c:pt idx="3268">
                  <c:v>1.8527766471598671E-2</c:v>
                </c:pt>
                <c:pt idx="3269">
                  <c:v>4.159869360003382E-2</c:v>
                </c:pt>
                <c:pt idx="3270">
                  <c:v>5.5526573683867202E-2</c:v>
                </c:pt>
                <c:pt idx="3271">
                  <c:v>6.3527233991072241E-3</c:v>
                </c:pt>
                <c:pt idx="3272">
                  <c:v>-2.513590715859413E-2</c:v>
                </c:pt>
                <c:pt idx="3273">
                  <c:v>2.1608280315533364E-2</c:v>
                </c:pt>
                <c:pt idx="3274">
                  <c:v>-1.0302613230547954E-2</c:v>
                </c:pt>
                <c:pt idx="3275">
                  <c:v>4.119099725120934E-3</c:v>
                </c:pt>
                <c:pt idx="3276">
                  <c:v>4.6123636339728546E-3</c:v>
                </c:pt>
                <c:pt idx="3277">
                  <c:v>-1.1074286804851506E-2</c:v>
                </c:pt>
                <c:pt idx="3278">
                  <c:v>4.7714146570742768E-3</c:v>
                </c:pt>
                <c:pt idx="3279">
                  <c:v>-2.4832250460468087E-2</c:v>
                </c:pt>
                <c:pt idx="3280">
                  <c:v>2.280793451594447E-2</c:v>
                </c:pt>
                <c:pt idx="3281">
                  <c:v>3.1607205765620872E-2</c:v>
                </c:pt>
                <c:pt idx="3282">
                  <c:v>-3.3280676040537423E-2</c:v>
                </c:pt>
                <c:pt idx="3283">
                  <c:v>-2.3739187828213201E-2</c:v>
                </c:pt>
                <c:pt idx="3284">
                  <c:v>-4.6099698062619973E-2</c:v>
                </c:pt>
                <c:pt idx="3285">
                  <c:v>1.9130877911072382E-2</c:v>
                </c:pt>
                <c:pt idx="3286">
                  <c:v>-9.5501600051964928E-3</c:v>
                </c:pt>
                <c:pt idx="3287">
                  <c:v>3.2075302311584342E-2</c:v>
                </c:pt>
                <c:pt idx="3288">
                  <c:v>-3.4478244541608034E-2</c:v>
                </c:pt>
                <c:pt idx="3289">
                  <c:v>3.0807484590439631E-2</c:v>
                </c:pt>
                <c:pt idx="3290">
                  <c:v>2.5904272767454283E-2</c:v>
                </c:pt>
                <c:pt idx="3291">
                  <c:v>-2.912392333712268E-2</c:v>
                </c:pt>
                <c:pt idx="3292">
                  <c:v>3.0871483805660942E-2</c:v>
                </c:pt>
                <c:pt idx="3293">
                  <c:v>3.9402270330727393E-2</c:v>
                </c:pt>
                <c:pt idx="3294">
                  <c:v>-3.6845663144447177E-2</c:v>
                </c:pt>
                <c:pt idx="3295">
                  <c:v>4.5546048859463055E-2</c:v>
                </c:pt>
                <c:pt idx="3296">
                  <c:v>-5.2608765744693899E-3</c:v>
                </c:pt>
                <c:pt idx="3297">
                  <c:v>-2.0320186267736004E-2</c:v>
                </c:pt>
                <c:pt idx="3298">
                  <c:v>8.4773003840071196E-3</c:v>
                </c:pt>
                <c:pt idx="3299">
                  <c:v>3.5515276089178862E-3</c:v>
                </c:pt>
                <c:pt idx="3300">
                  <c:v>3.136065361578929E-2</c:v>
                </c:pt>
                <c:pt idx="3301">
                  <c:v>3.1116227657419226E-2</c:v>
                </c:pt>
                <c:pt idx="3302">
                  <c:v>8.4741667918229804E-3</c:v>
                </c:pt>
                <c:pt idx="3303">
                  <c:v>-2.6636695652125363E-2</c:v>
                </c:pt>
                <c:pt idx="3304">
                  <c:v>-2.906683711112654E-2</c:v>
                </c:pt>
                <c:pt idx="3305">
                  <c:v>2.5820948461248848E-2</c:v>
                </c:pt>
                <c:pt idx="3306">
                  <c:v>3.3694042373243679E-2</c:v>
                </c:pt>
                <c:pt idx="3307">
                  <c:v>-5.4580102212718057E-4</c:v>
                </c:pt>
                <c:pt idx="3308">
                  <c:v>3.7867994032429665E-2</c:v>
                </c:pt>
                <c:pt idx="3309">
                  <c:v>4.7849806918941591E-2</c:v>
                </c:pt>
                <c:pt idx="3310">
                  <c:v>4.1353709400464018E-2</c:v>
                </c:pt>
                <c:pt idx="3311">
                  <c:v>-1.3862528541889236E-2</c:v>
                </c:pt>
                <c:pt idx="3312">
                  <c:v>4.9011932528505872E-2</c:v>
                </c:pt>
                <c:pt idx="3313">
                  <c:v>4.5377346273297876E-2</c:v>
                </c:pt>
                <c:pt idx="3314">
                  <c:v>-2.1104709590540588E-2</c:v>
                </c:pt>
                <c:pt idx="3315">
                  <c:v>8.9831929006740886E-4</c:v>
                </c:pt>
                <c:pt idx="3316">
                  <c:v>-1.4801200145420999E-2</c:v>
                </c:pt>
                <c:pt idx="3317">
                  <c:v>-4.8040614183681319E-3</c:v>
                </c:pt>
                <c:pt idx="3318">
                  <c:v>-7.2510932748125922E-2</c:v>
                </c:pt>
                <c:pt idx="3319">
                  <c:v>1.4037376057530082E-2</c:v>
                </c:pt>
                <c:pt idx="3320">
                  <c:v>-2.82583685457286E-2</c:v>
                </c:pt>
                <c:pt idx="3321">
                  <c:v>7.0535563524768679E-3</c:v>
                </c:pt>
                <c:pt idx="3322">
                  <c:v>2.5465854240073266E-2</c:v>
                </c:pt>
                <c:pt idx="3323">
                  <c:v>-1.0824531183553452E-2</c:v>
                </c:pt>
                <c:pt idx="3324">
                  <c:v>3.4540484892633484E-2</c:v>
                </c:pt>
                <c:pt idx="3325">
                  <c:v>-2.1935965561558371E-2</c:v>
                </c:pt>
                <c:pt idx="3326">
                  <c:v>7.0366976962679836E-4</c:v>
                </c:pt>
                <c:pt idx="3327">
                  <c:v>2.5498104575408066E-2</c:v>
                </c:pt>
                <c:pt idx="3328">
                  <c:v>2.2867160225958749E-2</c:v>
                </c:pt>
                <c:pt idx="3329">
                  <c:v>2.2061543154629801E-2</c:v>
                </c:pt>
                <c:pt idx="3330">
                  <c:v>6.5748039561704906E-3</c:v>
                </c:pt>
                <c:pt idx="3331">
                  <c:v>1.0030181439153699E-2</c:v>
                </c:pt>
                <c:pt idx="3332">
                  <c:v>4.0521648913797517E-2</c:v>
                </c:pt>
                <c:pt idx="3333">
                  <c:v>-1.4814286144477951E-3</c:v>
                </c:pt>
                <c:pt idx="3334">
                  <c:v>2.8110910455708255E-2</c:v>
                </c:pt>
                <c:pt idx="3335">
                  <c:v>7.3239370399839302E-3</c:v>
                </c:pt>
                <c:pt idx="3336">
                  <c:v>1.7671508931250034E-2</c:v>
                </c:pt>
                <c:pt idx="3337">
                  <c:v>2.1597119002783809E-2</c:v>
                </c:pt>
                <c:pt idx="3338">
                  <c:v>7.3540089037892817E-2</c:v>
                </c:pt>
                <c:pt idx="3339">
                  <c:v>-9.4538769505615426E-3</c:v>
                </c:pt>
                <c:pt idx="3340">
                  <c:v>2.7922544873518255E-2</c:v>
                </c:pt>
                <c:pt idx="3341">
                  <c:v>1.6977828656652264E-2</c:v>
                </c:pt>
                <c:pt idx="3342">
                  <c:v>-3.7322976095433597E-3</c:v>
                </c:pt>
                <c:pt idx="3343">
                  <c:v>-3.7132750655398533E-2</c:v>
                </c:pt>
                <c:pt idx="3344">
                  <c:v>1.4026960228402219E-2</c:v>
                </c:pt>
                <c:pt idx="3345">
                  <c:v>5.394397843229671E-4</c:v>
                </c:pt>
                <c:pt idx="3346">
                  <c:v>-2.1721416819874477E-3</c:v>
                </c:pt>
                <c:pt idx="3347">
                  <c:v>-9.2192410133785062E-3</c:v>
                </c:pt>
                <c:pt idx="3348">
                  <c:v>-2.5551455615724798E-2</c:v>
                </c:pt>
                <c:pt idx="3349">
                  <c:v>1.348592105934464E-2</c:v>
                </c:pt>
                <c:pt idx="3350">
                  <c:v>2.2489863878609809E-2</c:v>
                </c:pt>
                <c:pt idx="3351">
                  <c:v>-3.0535945205532624E-2</c:v>
                </c:pt>
                <c:pt idx="3352">
                  <c:v>3.5801676379515757E-2</c:v>
                </c:pt>
                <c:pt idx="3353">
                  <c:v>-1.0193456483579014E-2</c:v>
                </c:pt>
                <c:pt idx="3354">
                  <c:v>1.0956957101165631E-2</c:v>
                </c:pt>
                <c:pt idx="3355">
                  <c:v>4.0029739456734471E-2</c:v>
                </c:pt>
                <c:pt idx="3356">
                  <c:v>2.5341693592431748E-2</c:v>
                </c:pt>
                <c:pt idx="3357">
                  <c:v>1.3231199885986807E-2</c:v>
                </c:pt>
                <c:pt idx="3358">
                  <c:v>-3.12525345730056E-2</c:v>
                </c:pt>
                <c:pt idx="3359">
                  <c:v>-1.4072736779169958E-2</c:v>
                </c:pt>
                <c:pt idx="3360">
                  <c:v>-1.0551836694599625E-2</c:v>
                </c:pt>
                <c:pt idx="3361">
                  <c:v>-9.2140316620507763E-3</c:v>
                </c:pt>
                <c:pt idx="3362">
                  <c:v>2.2921686882413927E-2</c:v>
                </c:pt>
                <c:pt idx="3363">
                  <c:v>2.7755868950082689E-3</c:v>
                </c:pt>
                <c:pt idx="3364">
                  <c:v>-1.9888649007878137E-2</c:v>
                </c:pt>
                <c:pt idx="3365">
                  <c:v>1.9039054086587334E-2</c:v>
                </c:pt>
                <c:pt idx="3366">
                  <c:v>5.1385842404983104E-2</c:v>
                </c:pt>
                <c:pt idx="3367">
                  <c:v>-8.6368547815022408E-3</c:v>
                </c:pt>
                <c:pt idx="3368">
                  <c:v>-7.9500059355285587E-3</c:v>
                </c:pt>
                <c:pt idx="3369">
                  <c:v>-3.854341644509715E-3</c:v>
                </c:pt>
                <c:pt idx="3370">
                  <c:v>2.0394770950247304E-2</c:v>
                </c:pt>
                <c:pt idx="3371">
                  <c:v>-2.538998972302459E-2</c:v>
                </c:pt>
                <c:pt idx="3372">
                  <c:v>-1.2102931027339295E-2</c:v>
                </c:pt>
                <c:pt idx="3373">
                  <c:v>-1.1938546311267451E-2</c:v>
                </c:pt>
                <c:pt idx="3374">
                  <c:v>-2.382078572616938E-3</c:v>
                </c:pt>
                <c:pt idx="3375">
                  <c:v>2.96367194029107E-2</c:v>
                </c:pt>
                <c:pt idx="3376">
                  <c:v>2.6334050035696794E-2</c:v>
                </c:pt>
                <c:pt idx="3377">
                  <c:v>-6.2579274931365614E-2</c:v>
                </c:pt>
                <c:pt idx="3378">
                  <c:v>1.8243750944855808E-2</c:v>
                </c:pt>
                <c:pt idx="3379">
                  <c:v>1.2600307640620563E-2</c:v>
                </c:pt>
                <c:pt idx="3380">
                  <c:v>-3.5084294172404447E-2</c:v>
                </c:pt>
                <c:pt idx="3381">
                  <c:v>-8.2958717287762822E-3</c:v>
                </c:pt>
                <c:pt idx="3382">
                  <c:v>-2.4621729062363724E-2</c:v>
                </c:pt>
                <c:pt idx="3383">
                  <c:v>-5.4727801031073074E-3</c:v>
                </c:pt>
                <c:pt idx="3384">
                  <c:v>1.2125972957961974E-2</c:v>
                </c:pt>
                <c:pt idx="3385">
                  <c:v>2.9791109629166125E-2</c:v>
                </c:pt>
                <c:pt idx="3386">
                  <c:v>-2.9183190828287856E-2</c:v>
                </c:pt>
                <c:pt idx="3387">
                  <c:v>4.6892755942139784E-2</c:v>
                </c:pt>
                <c:pt idx="3388">
                  <c:v>-5.7266002860681675E-3</c:v>
                </c:pt>
                <c:pt idx="3389">
                  <c:v>4.4808415671492595E-2</c:v>
                </c:pt>
                <c:pt idx="3390">
                  <c:v>3.4719265760315386E-3</c:v>
                </c:pt>
                <c:pt idx="3391">
                  <c:v>-1.7252821655323096E-2</c:v>
                </c:pt>
                <c:pt idx="3392">
                  <c:v>-1.5955680250989663E-2</c:v>
                </c:pt>
                <c:pt idx="3393">
                  <c:v>4.7885469627981736E-2</c:v>
                </c:pt>
                <c:pt idx="3394">
                  <c:v>-1.393623958794229E-3</c:v>
                </c:pt>
                <c:pt idx="3395">
                  <c:v>3.3459503159454111E-2</c:v>
                </c:pt>
                <c:pt idx="3396">
                  <c:v>-2.6426660378399584E-2</c:v>
                </c:pt>
                <c:pt idx="3397">
                  <c:v>3.7925249130046447E-2</c:v>
                </c:pt>
                <c:pt idx="3398">
                  <c:v>-1.315880047634219E-2</c:v>
                </c:pt>
                <c:pt idx="3399">
                  <c:v>3.1977736366526452E-3</c:v>
                </c:pt>
                <c:pt idx="3400">
                  <c:v>1.7910878921576091E-3</c:v>
                </c:pt>
                <c:pt idx="3401">
                  <c:v>1.2306466240244031E-3</c:v>
                </c:pt>
                <c:pt idx="3402">
                  <c:v>4.6392652185526267E-2</c:v>
                </c:pt>
                <c:pt idx="3403">
                  <c:v>2.170256076235615E-2</c:v>
                </c:pt>
                <c:pt idx="3404">
                  <c:v>-2.3212291794970721E-2</c:v>
                </c:pt>
                <c:pt idx="3405">
                  <c:v>-3.0643705416584743E-2</c:v>
                </c:pt>
                <c:pt idx="3406">
                  <c:v>5.416102757195064E-2</c:v>
                </c:pt>
                <c:pt idx="3407">
                  <c:v>-6.055141837901074E-5</c:v>
                </c:pt>
                <c:pt idx="3408">
                  <c:v>-1.5098612042269238E-2</c:v>
                </c:pt>
                <c:pt idx="3409">
                  <c:v>-1.545045533610875E-2</c:v>
                </c:pt>
                <c:pt idx="3410">
                  <c:v>-9.4457449597604784E-3</c:v>
                </c:pt>
                <c:pt idx="3411">
                  <c:v>-8.3405715612957995E-3</c:v>
                </c:pt>
                <c:pt idx="3412">
                  <c:v>2.0685991306992325E-2</c:v>
                </c:pt>
                <c:pt idx="3413">
                  <c:v>1.9070191656404542E-2</c:v>
                </c:pt>
                <c:pt idx="3414">
                  <c:v>1.8011084346096776E-2</c:v>
                </c:pt>
                <c:pt idx="3415">
                  <c:v>1.4310622131897396E-3</c:v>
                </c:pt>
                <c:pt idx="3416">
                  <c:v>-3.0789490350010464E-2</c:v>
                </c:pt>
                <c:pt idx="3417">
                  <c:v>2.9659736647570743E-2</c:v>
                </c:pt>
                <c:pt idx="3418">
                  <c:v>1.5296840104865045E-2</c:v>
                </c:pt>
                <c:pt idx="3419">
                  <c:v>-1.0116696611216182E-2</c:v>
                </c:pt>
                <c:pt idx="3420">
                  <c:v>-5.0007329323583302E-3</c:v>
                </c:pt>
                <c:pt idx="3421">
                  <c:v>6.4261704126787715E-3</c:v>
                </c:pt>
                <c:pt idx="3422">
                  <c:v>-3.0881888159244964E-2</c:v>
                </c:pt>
                <c:pt idx="3423">
                  <c:v>-9.9136328019570705E-3</c:v>
                </c:pt>
                <c:pt idx="3424">
                  <c:v>2.627155605366651E-2</c:v>
                </c:pt>
                <c:pt idx="3425">
                  <c:v>-2.8588677703098763E-2</c:v>
                </c:pt>
                <c:pt idx="3426">
                  <c:v>3.8795214745920785E-2</c:v>
                </c:pt>
                <c:pt idx="3427">
                  <c:v>4.2853852286462574E-3</c:v>
                </c:pt>
                <c:pt idx="3428">
                  <c:v>-8.3718117018738922E-3</c:v>
                </c:pt>
                <c:pt idx="3429">
                  <c:v>-2.5965551928772614E-2</c:v>
                </c:pt>
                <c:pt idx="3430">
                  <c:v>-4.3157665280609429E-2</c:v>
                </c:pt>
                <c:pt idx="3431">
                  <c:v>3.3975322462196436E-2</c:v>
                </c:pt>
                <c:pt idx="3432">
                  <c:v>-2.6624074775876003E-2</c:v>
                </c:pt>
                <c:pt idx="3433">
                  <c:v>-4.9211297094491402E-2</c:v>
                </c:pt>
                <c:pt idx="3434">
                  <c:v>-2.3375978231668395E-2</c:v>
                </c:pt>
                <c:pt idx="3435">
                  <c:v>-2.0435362436692327E-2</c:v>
                </c:pt>
                <c:pt idx="3436">
                  <c:v>-1.1637811759345718E-2</c:v>
                </c:pt>
                <c:pt idx="3437">
                  <c:v>1.2250172384342497E-2</c:v>
                </c:pt>
                <c:pt idx="3438">
                  <c:v>-2.37294420725866E-2</c:v>
                </c:pt>
                <c:pt idx="3439">
                  <c:v>1.0523337350722285E-2</c:v>
                </c:pt>
                <c:pt idx="3440">
                  <c:v>3.0249083986781337E-2</c:v>
                </c:pt>
                <c:pt idx="3441">
                  <c:v>-9.7118614756148518E-3</c:v>
                </c:pt>
                <c:pt idx="3442">
                  <c:v>1.1897246026925755E-2</c:v>
                </c:pt>
                <c:pt idx="3443">
                  <c:v>2.1068826825986445E-2</c:v>
                </c:pt>
                <c:pt idx="3444">
                  <c:v>4.7110978135815173E-3</c:v>
                </c:pt>
                <c:pt idx="3445">
                  <c:v>1.4806394441603832E-2</c:v>
                </c:pt>
                <c:pt idx="3446">
                  <c:v>-7.1948059998374683E-3</c:v>
                </c:pt>
                <c:pt idx="3447">
                  <c:v>4.0115903394497686E-2</c:v>
                </c:pt>
                <c:pt idx="3448">
                  <c:v>-3.4741970840206312E-3</c:v>
                </c:pt>
                <c:pt idx="3449">
                  <c:v>-3.7442729284432437E-2</c:v>
                </c:pt>
                <c:pt idx="3450">
                  <c:v>2.9623340972877492E-2</c:v>
                </c:pt>
                <c:pt idx="3451">
                  <c:v>9.785743555165944E-3</c:v>
                </c:pt>
                <c:pt idx="3452">
                  <c:v>-4.0893305805528943E-3</c:v>
                </c:pt>
                <c:pt idx="3453">
                  <c:v>-4.7884112808930027E-3</c:v>
                </c:pt>
                <c:pt idx="3454">
                  <c:v>7.1808622487224694E-3</c:v>
                </c:pt>
                <c:pt idx="3455">
                  <c:v>-2.0458564545133531E-2</c:v>
                </c:pt>
                <c:pt idx="3456">
                  <c:v>3.0661167575759311E-2</c:v>
                </c:pt>
                <c:pt idx="3457">
                  <c:v>-1.1131569056669146E-2</c:v>
                </c:pt>
                <c:pt idx="3458">
                  <c:v>-7.4307417624865871E-3</c:v>
                </c:pt>
                <c:pt idx="3459">
                  <c:v>-1.3836423642544563E-2</c:v>
                </c:pt>
                <c:pt idx="3460">
                  <c:v>3.166870863645796E-2</c:v>
                </c:pt>
                <c:pt idx="3461">
                  <c:v>-1.545551759531056E-2</c:v>
                </c:pt>
                <c:pt idx="3462">
                  <c:v>-8.9378239168207783E-3</c:v>
                </c:pt>
                <c:pt idx="3463">
                  <c:v>3.0762427597556905E-2</c:v>
                </c:pt>
                <c:pt idx="3464">
                  <c:v>-4.9040589639469563E-2</c:v>
                </c:pt>
                <c:pt idx="3465">
                  <c:v>-7.3329442093467024E-3</c:v>
                </c:pt>
                <c:pt idx="3466">
                  <c:v>2.8754458833902798E-2</c:v>
                </c:pt>
                <c:pt idx="3467">
                  <c:v>-9.882491425339866E-3</c:v>
                </c:pt>
                <c:pt idx="3468">
                  <c:v>1.8984016449544026E-2</c:v>
                </c:pt>
                <c:pt idx="3469">
                  <c:v>3.2977401560708684E-2</c:v>
                </c:pt>
                <c:pt idx="3470">
                  <c:v>-2.7770662661610004E-2</c:v>
                </c:pt>
                <c:pt idx="3471">
                  <c:v>-6.3546455845883629E-3</c:v>
                </c:pt>
                <c:pt idx="3472">
                  <c:v>3.3328633878686419E-2</c:v>
                </c:pt>
                <c:pt idx="3473">
                  <c:v>-4.7425045065559654E-3</c:v>
                </c:pt>
                <c:pt idx="3474">
                  <c:v>2.324966041185102E-2</c:v>
                </c:pt>
                <c:pt idx="3475">
                  <c:v>-1.7225598939440553E-3</c:v>
                </c:pt>
                <c:pt idx="3476">
                  <c:v>1.8412400439793683E-2</c:v>
                </c:pt>
                <c:pt idx="3477">
                  <c:v>5.5387255042524855E-2</c:v>
                </c:pt>
                <c:pt idx="3478">
                  <c:v>-1.3494962703378332E-3</c:v>
                </c:pt>
                <c:pt idx="3479">
                  <c:v>-7.7447147333457658E-3</c:v>
                </c:pt>
                <c:pt idx="3480">
                  <c:v>8.7778345270711627E-3</c:v>
                </c:pt>
                <c:pt idx="3481">
                  <c:v>2.3678090978765682E-2</c:v>
                </c:pt>
                <c:pt idx="3482">
                  <c:v>-4.1191720796966719E-3</c:v>
                </c:pt>
                <c:pt idx="3483">
                  <c:v>5.1445286788995882E-3</c:v>
                </c:pt>
                <c:pt idx="3484">
                  <c:v>1.8445241534394191E-3</c:v>
                </c:pt>
                <c:pt idx="3485">
                  <c:v>-5.4482429627436706E-2</c:v>
                </c:pt>
                <c:pt idx="3486">
                  <c:v>-5.7268844266284771E-3</c:v>
                </c:pt>
                <c:pt idx="3487">
                  <c:v>8.3158338173829598E-3</c:v>
                </c:pt>
                <c:pt idx="3488">
                  <c:v>1.4853635151161457E-2</c:v>
                </c:pt>
                <c:pt idx="3489">
                  <c:v>1.2885562689004502E-2</c:v>
                </c:pt>
                <c:pt idx="3490">
                  <c:v>1.4348138602493891E-2</c:v>
                </c:pt>
                <c:pt idx="3491">
                  <c:v>-1.017938992338962E-3</c:v>
                </c:pt>
                <c:pt idx="3492">
                  <c:v>1.0358814179512559E-2</c:v>
                </c:pt>
                <c:pt idx="3493">
                  <c:v>-1.8683413412271106E-2</c:v>
                </c:pt>
                <c:pt idx="3494">
                  <c:v>3.2601416021700122E-2</c:v>
                </c:pt>
                <c:pt idx="3495">
                  <c:v>3.4904850078224463E-2</c:v>
                </c:pt>
                <c:pt idx="3496">
                  <c:v>3.0873414531390744E-3</c:v>
                </c:pt>
                <c:pt idx="3497">
                  <c:v>1.4537676432181176E-2</c:v>
                </c:pt>
                <c:pt idx="3498">
                  <c:v>4.7236217837950345E-2</c:v>
                </c:pt>
                <c:pt idx="3499">
                  <c:v>-1.451593606465362E-3</c:v>
                </c:pt>
                <c:pt idx="3500">
                  <c:v>1.2809989279913878E-2</c:v>
                </c:pt>
                <c:pt idx="3501">
                  <c:v>-3.4565525006855467E-2</c:v>
                </c:pt>
                <c:pt idx="3502">
                  <c:v>2.8293792716856364E-2</c:v>
                </c:pt>
                <c:pt idx="3503">
                  <c:v>3.124409282010388E-3</c:v>
                </c:pt>
                <c:pt idx="3504">
                  <c:v>-2.2399181218795655E-3</c:v>
                </c:pt>
                <c:pt idx="3505">
                  <c:v>-2.3279692617308011E-2</c:v>
                </c:pt>
                <c:pt idx="3506">
                  <c:v>3.2807220703988005E-2</c:v>
                </c:pt>
                <c:pt idx="3507">
                  <c:v>1.4638283995134834E-2</c:v>
                </c:pt>
                <c:pt idx="3508">
                  <c:v>-2.0882116821311622E-2</c:v>
                </c:pt>
                <c:pt idx="3509">
                  <c:v>-4.0147513424072793E-2</c:v>
                </c:pt>
                <c:pt idx="3510">
                  <c:v>-3.8327583369054522E-3</c:v>
                </c:pt>
                <c:pt idx="3511">
                  <c:v>-2.9322174989972694E-2</c:v>
                </c:pt>
                <c:pt idx="3512">
                  <c:v>7.7374688436147851E-2</c:v>
                </c:pt>
                <c:pt idx="3513">
                  <c:v>3.661598700246807E-2</c:v>
                </c:pt>
                <c:pt idx="3514">
                  <c:v>-5.8663284202613929E-2</c:v>
                </c:pt>
                <c:pt idx="3515">
                  <c:v>-4.1402824701070234E-2</c:v>
                </c:pt>
                <c:pt idx="3516">
                  <c:v>-4.2560450365460398E-2</c:v>
                </c:pt>
                <c:pt idx="3517">
                  <c:v>5.1885198225113411E-3</c:v>
                </c:pt>
                <c:pt idx="3518">
                  <c:v>-2.9832056687479642E-2</c:v>
                </c:pt>
                <c:pt idx="3519">
                  <c:v>-4.443939396210575E-2</c:v>
                </c:pt>
                <c:pt idx="3520">
                  <c:v>-2.7293921998436516E-2</c:v>
                </c:pt>
                <c:pt idx="3521">
                  <c:v>-3.9108781486225791E-3</c:v>
                </c:pt>
                <c:pt idx="3522">
                  <c:v>-2.1537717311038804E-2</c:v>
                </c:pt>
                <c:pt idx="3523">
                  <c:v>1.9655349338417512E-2</c:v>
                </c:pt>
                <c:pt idx="3524">
                  <c:v>-3.2151333831599495E-2</c:v>
                </c:pt>
                <c:pt idx="3525">
                  <c:v>-3.0654419885419355E-2</c:v>
                </c:pt>
                <c:pt idx="3526">
                  <c:v>-2.5693445064283903E-2</c:v>
                </c:pt>
                <c:pt idx="3527">
                  <c:v>6.4409094416959887E-3</c:v>
                </c:pt>
                <c:pt idx="3528">
                  <c:v>-4.6865248551190959E-2</c:v>
                </c:pt>
                <c:pt idx="3529">
                  <c:v>5.220058415917235E-2</c:v>
                </c:pt>
                <c:pt idx="3530">
                  <c:v>-1.4857088468436502E-2</c:v>
                </c:pt>
                <c:pt idx="3531">
                  <c:v>-2.7779071690704313E-3</c:v>
                </c:pt>
                <c:pt idx="3532">
                  <c:v>-1.1153186349828906E-2</c:v>
                </c:pt>
                <c:pt idx="3533">
                  <c:v>-2.2137387403913421E-2</c:v>
                </c:pt>
                <c:pt idx="3534">
                  <c:v>-5.5206700326451835E-3</c:v>
                </c:pt>
                <c:pt idx="3535">
                  <c:v>-6.80027299793475E-3</c:v>
                </c:pt>
                <c:pt idx="3536">
                  <c:v>5.4617492089325814E-3</c:v>
                </c:pt>
                <c:pt idx="3537">
                  <c:v>-6.2481776448225727E-3</c:v>
                </c:pt>
                <c:pt idx="3538">
                  <c:v>-3.5483597432619335E-2</c:v>
                </c:pt>
                <c:pt idx="3539">
                  <c:v>-2.2685405719996901E-3</c:v>
                </c:pt>
                <c:pt idx="3540">
                  <c:v>4.120194406042909E-2</c:v>
                </c:pt>
                <c:pt idx="3541">
                  <c:v>-9.5790101918416994E-3</c:v>
                </c:pt>
                <c:pt idx="3542">
                  <c:v>9.7439073536890325E-3</c:v>
                </c:pt>
                <c:pt idx="3543">
                  <c:v>1.1081449668389483E-2</c:v>
                </c:pt>
                <c:pt idx="3544">
                  <c:v>1.3260858494141471E-2</c:v>
                </c:pt>
                <c:pt idx="3545">
                  <c:v>2.6895348548537239E-2</c:v>
                </c:pt>
                <c:pt idx="3546">
                  <c:v>7.0897685849789522E-4</c:v>
                </c:pt>
                <c:pt idx="3547">
                  <c:v>6.9127302688901018E-3</c:v>
                </c:pt>
                <c:pt idx="3548">
                  <c:v>-9.0901973075212337E-3</c:v>
                </c:pt>
                <c:pt idx="3549">
                  <c:v>-1.3551149951078329E-2</c:v>
                </c:pt>
                <c:pt idx="3550">
                  <c:v>6.112242612148067E-3</c:v>
                </c:pt>
                <c:pt idx="3551">
                  <c:v>-2.767080214444368E-3</c:v>
                </c:pt>
                <c:pt idx="3552">
                  <c:v>3.3156316922298264E-2</c:v>
                </c:pt>
                <c:pt idx="3553">
                  <c:v>-1.3890527880148221E-2</c:v>
                </c:pt>
                <c:pt idx="3554">
                  <c:v>3.7981573920360971E-3</c:v>
                </c:pt>
                <c:pt idx="3555">
                  <c:v>1.3732961293324051E-2</c:v>
                </c:pt>
                <c:pt idx="3556">
                  <c:v>-1.6325072315377002E-2</c:v>
                </c:pt>
                <c:pt idx="3557">
                  <c:v>-4.4681833615007639E-3</c:v>
                </c:pt>
                <c:pt idx="3558">
                  <c:v>2.5780722401793923E-2</c:v>
                </c:pt>
                <c:pt idx="3559">
                  <c:v>5.458137191923948E-2</c:v>
                </c:pt>
                <c:pt idx="3560">
                  <c:v>-3.7549881072142223E-2</c:v>
                </c:pt>
                <c:pt idx="3561">
                  <c:v>2.1548956684307737E-2</c:v>
                </c:pt>
                <c:pt idx="3562">
                  <c:v>1.4270910434803413E-2</c:v>
                </c:pt>
                <c:pt idx="3563">
                  <c:v>5.9176891841722767E-3</c:v>
                </c:pt>
                <c:pt idx="3564">
                  <c:v>7.5134693780010784E-3</c:v>
                </c:pt>
                <c:pt idx="3565">
                  <c:v>-1.7836432008051597E-2</c:v>
                </c:pt>
                <c:pt idx="3566">
                  <c:v>9.5909228259331378E-3</c:v>
                </c:pt>
                <c:pt idx="3567">
                  <c:v>1.6593122458745928E-3</c:v>
                </c:pt>
                <c:pt idx="3568">
                  <c:v>4.8462163897774878E-2</c:v>
                </c:pt>
                <c:pt idx="3569">
                  <c:v>-4.5941260535822946E-2</c:v>
                </c:pt>
                <c:pt idx="3570">
                  <c:v>1.0101895031035132E-2</c:v>
                </c:pt>
                <c:pt idx="3571">
                  <c:v>2.1443554546993074E-4</c:v>
                </c:pt>
                <c:pt idx="3572">
                  <c:v>-4.9088148167553712E-2</c:v>
                </c:pt>
                <c:pt idx="3573">
                  <c:v>-2.7500423330783213E-2</c:v>
                </c:pt>
                <c:pt idx="3574">
                  <c:v>1.3264220449526265E-2</c:v>
                </c:pt>
                <c:pt idx="3575">
                  <c:v>-5.4737702267251016E-3</c:v>
                </c:pt>
                <c:pt idx="3576">
                  <c:v>-3.6316899463354521E-2</c:v>
                </c:pt>
                <c:pt idx="3577">
                  <c:v>1.2087388146035272E-2</c:v>
                </c:pt>
                <c:pt idx="3578">
                  <c:v>2.5634705148234224E-2</c:v>
                </c:pt>
                <c:pt idx="3579">
                  <c:v>2.7415971509456263E-2</c:v>
                </c:pt>
                <c:pt idx="3580">
                  <c:v>2.0434993243597876E-2</c:v>
                </c:pt>
                <c:pt idx="3581">
                  <c:v>6.5087614095136505E-3</c:v>
                </c:pt>
                <c:pt idx="3582">
                  <c:v>1.3801735679656261E-2</c:v>
                </c:pt>
                <c:pt idx="3583">
                  <c:v>-5.1856781572725275E-2</c:v>
                </c:pt>
                <c:pt idx="3584">
                  <c:v>-1.73799430564082E-3</c:v>
                </c:pt>
                <c:pt idx="3585">
                  <c:v>-4.7827078511631448E-2</c:v>
                </c:pt>
                <c:pt idx="3586">
                  <c:v>9.3072199076367941E-3</c:v>
                </c:pt>
                <c:pt idx="3587">
                  <c:v>-2.6414207186223389E-3</c:v>
                </c:pt>
                <c:pt idx="3588">
                  <c:v>-5.3418560078702625E-3</c:v>
                </c:pt>
                <c:pt idx="3589">
                  <c:v>-1.6331123106827702E-2</c:v>
                </c:pt>
                <c:pt idx="3590">
                  <c:v>1.4219283246908843E-2</c:v>
                </c:pt>
                <c:pt idx="3591">
                  <c:v>2.5065391664932879E-2</c:v>
                </c:pt>
                <c:pt idx="3592">
                  <c:v>2.8547033583622212E-2</c:v>
                </c:pt>
                <c:pt idx="3593">
                  <c:v>-1.7759119622308261E-3</c:v>
                </c:pt>
                <c:pt idx="3594">
                  <c:v>9.9853179249364179E-3</c:v>
                </c:pt>
                <c:pt idx="3595">
                  <c:v>-2.3083200883182206E-2</c:v>
                </c:pt>
                <c:pt idx="3596">
                  <c:v>-2.4467637059299458E-2</c:v>
                </c:pt>
                <c:pt idx="3597">
                  <c:v>2.4114261740494317E-2</c:v>
                </c:pt>
                <c:pt idx="3598">
                  <c:v>-1.2902146092129276E-2</c:v>
                </c:pt>
                <c:pt idx="3599">
                  <c:v>3.0906404237293721E-2</c:v>
                </c:pt>
                <c:pt idx="3600">
                  <c:v>-1.0102070550602507E-2</c:v>
                </c:pt>
                <c:pt idx="3601">
                  <c:v>3.4228666196635352E-2</c:v>
                </c:pt>
                <c:pt idx="3602">
                  <c:v>3.7814551638695834E-2</c:v>
                </c:pt>
                <c:pt idx="3603">
                  <c:v>-3.5514078809866963E-2</c:v>
                </c:pt>
                <c:pt idx="3604">
                  <c:v>3.43881449940951E-2</c:v>
                </c:pt>
                <c:pt idx="3605">
                  <c:v>4.673415308162638E-2</c:v>
                </c:pt>
                <c:pt idx="3606">
                  <c:v>4.1185618613750041E-3</c:v>
                </c:pt>
                <c:pt idx="3607">
                  <c:v>-1.2634817332956707E-2</c:v>
                </c:pt>
                <c:pt idx="3608">
                  <c:v>-1.228598972885216E-2</c:v>
                </c:pt>
                <c:pt idx="3609">
                  <c:v>-1.7427514263762746E-2</c:v>
                </c:pt>
                <c:pt idx="3610">
                  <c:v>-4.5345781370306086E-2</c:v>
                </c:pt>
                <c:pt idx="3611">
                  <c:v>2.2640350256990089E-2</c:v>
                </c:pt>
                <c:pt idx="3612">
                  <c:v>2.7629121236742535E-2</c:v>
                </c:pt>
                <c:pt idx="3613">
                  <c:v>3.513169064114853E-2</c:v>
                </c:pt>
                <c:pt idx="3614">
                  <c:v>-5.9761557314678779E-3</c:v>
                </c:pt>
                <c:pt idx="3615">
                  <c:v>2.4178843854358006E-2</c:v>
                </c:pt>
                <c:pt idx="3616">
                  <c:v>2.848379007719774E-2</c:v>
                </c:pt>
                <c:pt idx="3617">
                  <c:v>1.6337433419014044E-2</c:v>
                </c:pt>
                <c:pt idx="3618">
                  <c:v>8.7816474896044838E-3</c:v>
                </c:pt>
                <c:pt idx="3619">
                  <c:v>7.5204605681563116E-3</c:v>
                </c:pt>
                <c:pt idx="3620">
                  <c:v>-4.4032256961986121E-2</c:v>
                </c:pt>
                <c:pt idx="3621">
                  <c:v>-2.1159892804756424E-2</c:v>
                </c:pt>
                <c:pt idx="3622">
                  <c:v>-1.5839722424816231E-2</c:v>
                </c:pt>
                <c:pt idx="3623">
                  <c:v>1.0549789644431823E-2</c:v>
                </c:pt>
                <c:pt idx="3624">
                  <c:v>-8.0860478082050626E-3</c:v>
                </c:pt>
                <c:pt idx="3625">
                  <c:v>2.3488201794439726E-2</c:v>
                </c:pt>
                <c:pt idx="3626">
                  <c:v>3.1499728539203908E-2</c:v>
                </c:pt>
                <c:pt idx="3627">
                  <c:v>2.4310888403529358E-2</c:v>
                </c:pt>
                <c:pt idx="3628">
                  <c:v>3.3005585806434784E-2</c:v>
                </c:pt>
                <c:pt idx="3629">
                  <c:v>-3.2164681546250844E-2</c:v>
                </c:pt>
                <c:pt idx="3630">
                  <c:v>-1.5097493683119176E-2</c:v>
                </c:pt>
                <c:pt idx="3631">
                  <c:v>-2.1185509832495788E-3</c:v>
                </c:pt>
                <c:pt idx="3632">
                  <c:v>1.8588401828352225E-2</c:v>
                </c:pt>
                <c:pt idx="3633">
                  <c:v>1.027346608777821E-2</c:v>
                </c:pt>
                <c:pt idx="3634">
                  <c:v>1.0305341955632784E-2</c:v>
                </c:pt>
                <c:pt idx="3635">
                  <c:v>-9.6828160904150647E-3</c:v>
                </c:pt>
                <c:pt idx="3636">
                  <c:v>-3.7213700065845561E-2</c:v>
                </c:pt>
                <c:pt idx="3637">
                  <c:v>2.143994987469245E-3</c:v>
                </c:pt>
                <c:pt idx="3638">
                  <c:v>4.6392128142615237E-2</c:v>
                </c:pt>
                <c:pt idx="3639">
                  <c:v>-1.1894178208117679E-2</c:v>
                </c:pt>
                <c:pt idx="3640">
                  <c:v>-5.4395861607858184E-3</c:v>
                </c:pt>
                <c:pt idx="3641">
                  <c:v>1.5108215613329989E-2</c:v>
                </c:pt>
                <c:pt idx="3642">
                  <c:v>-1.3621869709175836E-2</c:v>
                </c:pt>
                <c:pt idx="3643">
                  <c:v>6.8322287466628558E-3</c:v>
                </c:pt>
                <c:pt idx="3644">
                  <c:v>-2.16759789753985E-2</c:v>
                </c:pt>
                <c:pt idx="3645">
                  <c:v>4.0688957933689818E-2</c:v>
                </c:pt>
                <c:pt idx="3646">
                  <c:v>-2.3007681511890882E-2</c:v>
                </c:pt>
                <c:pt idx="3647">
                  <c:v>-2.9625775057818639E-2</c:v>
                </c:pt>
                <c:pt idx="3648">
                  <c:v>-2.2497477793894893E-2</c:v>
                </c:pt>
                <c:pt idx="3649">
                  <c:v>2.1697452669756302E-2</c:v>
                </c:pt>
                <c:pt idx="3650">
                  <c:v>1.9090184768484935E-2</c:v>
                </c:pt>
                <c:pt idx="3651">
                  <c:v>2.9088385960453877E-2</c:v>
                </c:pt>
                <c:pt idx="3652">
                  <c:v>6.2153283780994495E-2</c:v>
                </c:pt>
                <c:pt idx="3653">
                  <c:v>-3.3761322784261381E-2</c:v>
                </c:pt>
                <c:pt idx="3654">
                  <c:v>8.2863135580384176E-3</c:v>
                </c:pt>
                <c:pt idx="3655">
                  <c:v>2.1621750632338791E-2</c:v>
                </c:pt>
                <c:pt idx="3656">
                  <c:v>-4.8785004836261046E-2</c:v>
                </c:pt>
                <c:pt idx="3657">
                  <c:v>1.7487018824368767E-3</c:v>
                </c:pt>
                <c:pt idx="3658">
                  <c:v>-3.4084072077677094E-2</c:v>
                </c:pt>
                <c:pt idx="3659">
                  <c:v>-1.0903221879447018E-2</c:v>
                </c:pt>
                <c:pt idx="3660">
                  <c:v>-7.8753567397354535E-3</c:v>
                </c:pt>
                <c:pt idx="3661">
                  <c:v>-2.3956341831835641E-2</c:v>
                </c:pt>
                <c:pt idx="3662">
                  <c:v>1.4099454266927202E-2</c:v>
                </c:pt>
                <c:pt idx="3663">
                  <c:v>-2.3967634271961708E-2</c:v>
                </c:pt>
                <c:pt idx="3664">
                  <c:v>-3.1182961685347354E-2</c:v>
                </c:pt>
                <c:pt idx="3665">
                  <c:v>-2.457835837393809E-3</c:v>
                </c:pt>
                <c:pt idx="3666">
                  <c:v>-3.3265979642179089E-2</c:v>
                </c:pt>
                <c:pt idx="3667">
                  <c:v>-4.3513271575627843E-2</c:v>
                </c:pt>
                <c:pt idx="3668">
                  <c:v>1.7068242719715139E-2</c:v>
                </c:pt>
                <c:pt idx="3669">
                  <c:v>3.8249912922031705E-2</c:v>
                </c:pt>
                <c:pt idx="3670">
                  <c:v>2.6089156848179244E-2</c:v>
                </c:pt>
                <c:pt idx="3671">
                  <c:v>-2.8231381691460201E-2</c:v>
                </c:pt>
                <c:pt idx="3672">
                  <c:v>2.0397149062673311E-2</c:v>
                </c:pt>
                <c:pt idx="3673">
                  <c:v>2.8763742502490561E-2</c:v>
                </c:pt>
                <c:pt idx="3674">
                  <c:v>1.3956531013535814E-2</c:v>
                </c:pt>
                <c:pt idx="3675">
                  <c:v>-1.7074720741738634E-2</c:v>
                </c:pt>
                <c:pt idx="3676">
                  <c:v>2.7885041477301531E-2</c:v>
                </c:pt>
                <c:pt idx="3677">
                  <c:v>2.2974160282017628E-2</c:v>
                </c:pt>
                <c:pt idx="3678">
                  <c:v>4.5225222611119135E-3</c:v>
                </c:pt>
                <c:pt idx="3679">
                  <c:v>-1.6276769969963072E-2</c:v>
                </c:pt>
                <c:pt idx="3680">
                  <c:v>3.49307161050623E-2</c:v>
                </c:pt>
                <c:pt idx="3681">
                  <c:v>1.6930549879611553E-2</c:v>
                </c:pt>
                <c:pt idx="3682">
                  <c:v>-3.3270554917102749E-2</c:v>
                </c:pt>
                <c:pt idx="3683">
                  <c:v>-3.6486708069676244E-2</c:v>
                </c:pt>
                <c:pt idx="3684">
                  <c:v>-7.7311768181589236E-3</c:v>
                </c:pt>
                <c:pt idx="3685">
                  <c:v>-3.5738462683077579E-2</c:v>
                </c:pt>
                <c:pt idx="3686">
                  <c:v>1.7762473317224955E-2</c:v>
                </c:pt>
                <c:pt idx="3687">
                  <c:v>-3.5159203943902213E-2</c:v>
                </c:pt>
                <c:pt idx="3688">
                  <c:v>-8.8372713447091803E-3</c:v>
                </c:pt>
                <c:pt idx="3689">
                  <c:v>-1.2889039516099579E-2</c:v>
                </c:pt>
                <c:pt idx="3690">
                  <c:v>1.4734824869886476E-2</c:v>
                </c:pt>
                <c:pt idx="3691">
                  <c:v>-1.0211776197671328E-2</c:v>
                </c:pt>
                <c:pt idx="3692">
                  <c:v>-4.6530030758220452E-2</c:v>
                </c:pt>
                <c:pt idx="3693">
                  <c:v>-2.415370782493465E-3</c:v>
                </c:pt>
                <c:pt idx="3694">
                  <c:v>-1.177971724097507E-2</c:v>
                </c:pt>
                <c:pt idx="3695">
                  <c:v>-2.3079507891057054E-2</c:v>
                </c:pt>
                <c:pt idx="3696">
                  <c:v>1.9471128357971487E-2</c:v>
                </c:pt>
                <c:pt idx="3697">
                  <c:v>7.4397606279398738E-4</c:v>
                </c:pt>
                <c:pt idx="3698">
                  <c:v>-1.5653374296155549E-2</c:v>
                </c:pt>
                <c:pt idx="3699">
                  <c:v>-2.6231103876753023E-2</c:v>
                </c:pt>
                <c:pt idx="3700">
                  <c:v>3.525986013563203E-2</c:v>
                </c:pt>
                <c:pt idx="3701">
                  <c:v>3.2071010232298448E-2</c:v>
                </c:pt>
                <c:pt idx="3702">
                  <c:v>-2.0429210091006157E-3</c:v>
                </c:pt>
                <c:pt idx="3703">
                  <c:v>-1.6496212432327604E-2</c:v>
                </c:pt>
                <c:pt idx="3704">
                  <c:v>-3.7905395581175082E-2</c:v>
                </c:pt>
                <c:pt idx="3705">
                  <c:v>-8.7511066327171441E-3</c:v>
                </c:pt>
                <c:pt idx="3706">
                  <c:v>1.1220024504375863E-2</c:v>
                </c:pt>
                <c:pt idx="3707">
                  <c:v>-2.1187841869385982E-2</c:v>
                </c:pt>
                <c:pt idx="3708">
                  <c:v>2.1753743666322378E-2</c:v>
                </c:pt>
                <c:pt idx="3709">
                  <c:v>-3.825997174616403E-2</c:v>
                </c:pt>
                <c:pt idx="3710">
                  <c:v>6.280182934606842E-3</c:v>
                </c:pt>
                <c:pt idx="3711">
                  <c:v>-1.3577116412040723E-2</c:v>
                </c:pt>
                <c:pt idx="3712">
                  <c:v>-7.673032127109309E-3</c:v>
                </c:pt>
                <c:pt idx="3713">
                  <c:v>1.1026118400291636E-2</c:v>
                </c:pt>
                <c:pt idx="3714">
                  <c:v>7.7757841365328761E-3</c:v>
                </c:pt>
                <c:pt idx="3715">
                  <c:v>1.1468385913570817E-2</c:v>
                </c:pt>
                <c:pt idx="3716">
                  <c:v>3.445386410872029E-2</c:v>
                </c:pt>
                <c:pt idx="3717">
                  <c:v>-2.4336623539283373E-2</c:v>
                </c:pt>
                <c:pt idx="3718">
                  <c:v>-9.7201674596373491E-3</c:v>
                </c:pt>
                <c:pt idx="3719">
                  <c:v>6.5382557245137248E-3</c:v>
                </c:pt>
                <c:pt idx="3720">
                  <c:v>-6.1913616279213619E-3</c:v>
                </c:pt>
                <c:pt idx="3721">
                  <c:v>3.1748104938314069E-3</c:v>
                </c:pt>
                <c:pt idx="3722">
                  <c:v>1.6650417445971202E-2</c:v>
                </c:pt>
                <c:pt idx="3723">
                  <c:v>-6.968545150441173E-3</c:v>
                </c:pt>
                <c:pt idx="3724">
                  <c:v>-1.1687511892408138E-2</c:v>
                </c:pt>
                <c:pt idx="3725">
                  <c:v>2.1237761330500753E-2</c:v>
                </c:pt>
                <c:pt idx="3726">
                  <c:v>1.1245993009458981E-2</c:v>
                </c:pt>
                <c:pt idx="3727">
                  <c:v>-9.5555060615629562E-3</c:v>
                </c:pt>
                <c:pt idx="3728">
                  <c:v>1.1239083873197902E-2</c:v>
                </c:pt>
                <c:pt idx="3729">
                  <c:v>-3.7500029651884613E-2</c:v>
                </c:pt>
                <c:pt idx="3730">
                  <c:v>2.7887431860122634E-2</c:v>
                </c:pt>
                <c:pt idx="3731">
                  <c:v>4.5226141809330597E-3</c:v>
                </c:pt>
                <c:pt idx="3732">
                  <c:v>-2.1340515940317276E-2</c:v>
                </c:pt>
                <c:pt idx="3733">
                  <c:v>1.4879968630583327E-2</c:v>
                </c:pt>
                <c:pt idx="3734">
                  <c:v>2.7284517547849996E-2</c:v>
                </c:pt>
                <c:pt idx="3735">
                  <c:v>2.5227024742210676E-2</c:v>
                </c:pt>
                <c:pt idx="3736">
                  <c:v>4.0665528172444537E-3</c:v>
                </c:pt>
                <c:pt idx="3737">
                  <c:v>-2.3127499013220209E-2</c:v>
                </c:pt>
                <c:pt idx="3738">
                  <c:v>-2.7227938526837341E-2</c:v>
                </c:pt>
                <c:pt idx="3739">
                  <c:v>5.4741347218874494E-3</c:v>
                </c:pt>
                <c:pt idx="3740">
                  <c:v>3.6921447392787486E-2</c:v>
                </c:pt>
                <c:pt idx="3741">
                  <c:v>2.5942167085885849E-2</c:v>
                </c:pt>
                <c:pt idx="3742">
                  <c:v>-3.1062091419466847E-2</c:v>
                </c:pt>
                <c:pt idx="3743">
                  <c:v>-4.0578290233692204E-3</c:v>
                </c:pt>
                <c:pt idx="3744">
                  <c:v>3.3033161187488412E-2</c:v>
                </c:pt>
                <c:pt idx="3745">
                  <c:v>8.0278994783452226E-3</c:v>
                </c:pt>
                <c:pt idx="3746">
                  <c:v>-1.1259859898972038E-2</c:v>
                </c:pt>
                <c:pt idx="3747">
                  <c:v>4.5543297506121299E-3</c:v>
                </c:pt>
                <c:pt idx="3748">
                  <c:v>1.7310799889174073E-2</c:v>
                </c:pt>
                <c:pt idx="3749">
                  <c:v>2.5920778465749767E-2</c:v>
                </c:pt>
                <c:pt idx="3750">
                  <c:v>1.2515986214131684E-2</c:v>
                </c:pt>
                <c:pt idx="3751">
                  <c:v>-3.753336838990512E-2</c:v>
                </c:pt>
                <c:pt idx="3752">
                  <c:v>3.4730706314031204E-2</c:v>
                </c:pt>
                <c:pt idx="3753">
                  <c:v>3.6012694590211142E-2</c:v>
                </c:pt>
                <c:pt idx="3754">
                  <c:v>-3.0507073564198864E-3</c:v>
                </c:pt>
                <c:pt idx="3755">
                  <c:v>1.415123199464224E-2</c:v>
                </c:pt>
                <c:pt idx="3756">
                  <c:v>-1.619034641886144E-2</c:v>
                </c:pt>
                <c:pt idx="3757">
                  <c:v>-1.7570211511246128E-2</c:v>
                </c:pt>
                <c:pt idx="3758">
                  <c:v>-4.2096304473146051E-2</c:v>
                </c:pt>
                <c:pt idx="3759">
                  <c:v>2.9472023057429939E-2</c:v>
                </c:pt>
                <c:pt idx="3760">
                  <c:v>-2.0653338286900122E-2</c:v>
                </c:pt>
                <c:pt idx="3761">
                  <c:v>-2.4637787034902693E-2</c:v>
                </c:pt>
                <c:pt idx="3762">
                  <c:v>1.2248621816506246E-2</c:v>
                </c:pt>
                <c:pt idx="3763">
                  <c:v>3.1296322640139164E-3</c:v>
                </c:pt>
                <c:pt idx="3764">
                  <c:v>1.5919075877908414E-2</c:v>
                </c:pt>
                <c:pt idx="3765">
                  <c:v>-1.432512599444309E-2</c:v>
                </c:pt>
                <c:pt idx="3766">
                  <c:v>2.1112036846284914E-2</c:v>
                </c:pt>
                <c:pt idx="3767">
                  <c:v>-3.3588042934832823E-3</c:v>
                </c:pt>
                <c:pt idx="3768">
                  <c:v>-2.5678775166952401E-4</c:v>
                </c:pt>
                <c:pt idx="3769">
                  <c:v>-2.4119588443410413E-2</c:v>
                </c:pt>
                <c:pt idx="3770">
                  <c:v>-1.5911150036537376E-2</c:v>
                </c:pt>
                <c:pt idx="3771">
                  <c:v>-2.461429277575071E-2</c:v>
                </c:pt>
                <c:pt idx="3772">
                  <c:v>-2.4351946105321785E-3</c:v>
                </c:pt>
                <c:pt idx="3773">
                  <c:v>2.0043653015862351E-2</c:v>
                </c:pt>
                <c:pt idx="3774">
                  <c:v>-3.1418416056840266E-2</c:v>
                </c:pt>
                <c:pt idx="3775">
                  <c:v>5.2453751524551284E-3</c:v>
                </c:pt>
                <c:pt idx="3776">
                  <c:v>-1.1709799883796449E-2</c:v>
                </c:pt>
                <c:pt idx="3777">
                  <c:v>4.1959423238365878E-2</c:v>
                </c:pt>
                <c:pt idx="3778">
                  <c:v>-5.4588197245014507E-2</c:v>
                </c:pt>
                <c:pt idx="3779">
                  <c:v>-7.0437102200402515E-3</c:v>
                </c:pt>
                <c:pt idx="3780">
                  <c:v>-4.3160876460300743E-2</c:v>
                </c:pt>
                <c:pt idx="3781">
                  <c:v>7.9294483703013004E-3</c:v>
                </c:pt>
                <c:pt idx="3782">
                  <c:v>-2.6050419526104932E-2</c:v>
                </c:pt>
                <c:pt idx="3783">
                  <c:v>-1.1646226615476256E-2</c:v>
                </c:pt>
                <c:pt idx="3784">
                  <c:v>-1.1057701743226874E-2</c:v>
                </c:pt>
                <c:pt idx="3785">
                  <c:v>2.164441742731836E-2</c:v>
                </c:pt>
                <c:pt idx="3786">
                  <c:v>3.7890188499802982E-2</c:v>
                </c:pt>
                <c:pt idx="3787">
                  <c:v>-6.5024027157746401E-3</c:v>
                </c:pt>
                <c:pt idx="3788">
                  <c:v>-2.1753886472176385E-2</c:v>
                </c:pt>
                <c:pt idx="3789">
                  <c:v>3.1479666580017586E-2</c:v>
                </c:pt>
                <c:pt idx="3790">
                  <c:v>-1.2756075342411919E-2</c:v>
                </c:pt>
                <c:pt idx="3791">
                  <c:v>1.6518046852628594E-2</c:v>
                </c:pt>
                <c:pt idx="3792">
                  <c:v>-3.8127769899362368E-2</c:v>
                </c:pt>
                <c:pt idx="3793">
                  <c:v>-9.5292132522037821E-3</c:v>
                </c:pt>
                <c:pt idx="3794">
                  <c:v>8.1218641089521385E-3</c:v>
                </c:pt>
                <c:pt idx="3795">
                  <c:v>2.3617052151507098E-2</c:v>
                </c:pt>
                <c:pt idx="3796">
                  <c:v>1.562510240897378E-2</c:v>
                </c:pt>
                <c:pt idx="3797">
                  <c:v>-5.4357540201841408E-2</c:v>
                </c:pt>
                <c:pt idx="3798">
                  <c:v>-1.5294308394958059E-2</c:v>
                </c:pt>
                <c:pt idx="3799">
                  <c:v>-2.9227821604574249E-2</c:v>
                </c:pt>
                <c:pt idx="3800">
                  <c:v>7.6067483406644688E-3</c:v>
                </c:pt>
                <c:pt idx="3801">
                  <c:v>6.7967813667512509E-3</c:v>
                </c:pt>
                <c:pt idx="3802">
                  <c:v>5.7053003665522788E-2</c:v>
                </c:pt>
                <c:pt idx="3803">
                  <c:v>-1.2327151975485316E-2</c:v>
                </c:pt>
                <c:pt idx="3804">
                  <c:v>-1.9268123582367045E-2</c:v>
                </c:pt>
                <c:pt idx="3805">
                  <c:v>9.9928676044096412E-3</c:v>
                </c:pt>
                <c:pt idx="3806">
                  <c:v>-3.6399247981202143E-2</c:v>
                </c:pt>
                <c:pt idx="3807">
                  <c:v>1.6846953075901395E-3</c:v>
                </c:pt>
                <c:pt idx="3808">
                  <c:v>1.0983881934305165E-2</c:v>
                </c:pt>
                <c:pt idx="3809">
                  <c:v>-2.4802707868962614E-3</c:v>
                </c:pt>
                <c:pt idx="3810">
                  <c:v>1.0212271924150954E-2</c:v>
                </c:pt>
                <c:pt idx="3811">
                  <c:v>-9.2651208509535402E-3</c:v>
                </c:pt>
                <c:pt idx="3812">
                  <c:v>-7.2540249815518832E-4</c:v>
                </c:pt>
                <c:pt idx="3813">
                  <c:v>3.2103434169296514E-2</c:v>
                </c:pt>
                <c:pt idx="3814">
                  <c:v>1.2680726407971592E-2</c:v>
                </c:pt>
                <c:pt idx="3815">
                  <c:v>-2.2607459282425718E-2</c:v>
                </c:pt>
                <c:pt idx="3816">
                  <c:v>1.1420483746251134E-2</c:v>
                </c:pt>
                <c:pt idx="3817">
                  <c:v>-3.4656014944468641E-2</c:v>
                </c:pt>
                <c:pt idx="3818">
                  <c:v>-1.0599945124770615E-2</c:v>
                </c:pt>
                <c:pt idx="3819">
                  <c:v>2.6882540488187664E-2</c:v>
                </c:pt>
                <c:pt idx="3820">
                  <c:v>-2.1201833394007077E-2</c:v>
                </c:pt>
                <c:pt idx="3821">
                  <c:v>-5.9336759483422825E-3</c:v>
                </c:pt>
                <c:pt idx="3822">
                  <c:v>-3.048190939676836E-3</c:v>
                </c:pt>
                <c:pt idx="3823">
                  <c:v>1.2081121561722263E-2</c:v>
                </c:pt>
                <c:pt idx="3824">
                  <c:v>7.2770807146237265E-3</c:v>
                </c:pt>
                <c:pt idx="3825">
                  <c:v>-1.5367462293042356E-2</c:v>
                </c:pt>
                <c:pt idx="3826">
                  <c:v>-2.3924927107005948E-2</c:v>
                </c:pt>
                <c:pt idx="3827">
                  <c:v>-1.4981848453996744E-3</c:v>
                </c:pt>
                <c:pt idx="3828">
                  <c:v>3.5168417359055723E-2</c:v>
                </c:pt>
                <c:pt idx="3829">
                  <c:v>-2.046361594769304E-2</c:v>
                </c:pt>
                <c:pt idx="3830">
                  <c:v>2.1876079180740089E-2</c:v>
                </c:pt>
                <c:pt idx="3831">
                  <c:v>7.5136673290718704E-3</c:v>
                </c:pt>
                <c:pt idx="3832">
                  <c:v>-4.066203264232357E-2</c:v>
                </c:pt>
                <c:pt idx="3833">
                  <c:v>2.8790048394736235E-2</c:v>
                </c:pt>
                <c:pt idx="3834">
                  <c:v>1.1356342941061687E-2</c:v>
                </c:pt>
                <c:pt idx="3835">
                  <c:v>1.362494803139451E-2</c:v>
                </c:pt>
                <c:pt idx="3836">
                  <c:v>-1.4553359711314945E-2</c:v>
                </c:pt>
                <c:pt idx="3837">
                  <c:v>2.4570885915590701E-2</c:v>
                </c:pt>
                <c:pt idx="3838">
                  <c:v>1.0545732956915922E-2</c:v>
                </c:pt>
                <c:pt idx="3839">
                  <c:v>5.4033729153426177E-3</c:v>
                </c:pt>
                <c:pt idx="3840">
                  <c:v>9.3544463362079874E-3</c:v>
                </c:pt>
                <c:pt idx="3841">
                  <c:v>-1.5150882855889426E-2</c:v>
                </c:pt>
                <c:pt idx="3842">
                  <c:v>3.1780823763236883E-2</c:v>
                </c:pt>
                <c:pt idx="3843">
                  <c:v>9.4448045225838332E-3</c:v>
                </c:pt>
                <c:pt idx="3844">
                  <c:v>8.8269329488860539E-3</c:v>
                </c:pt>
                <c:pt idx="3845">
                  <c:v>1.2844018945968523E-2</c:v>
                </c:pt>
                <c:pt idx="3846">
                  <c:v>2.2673088631527758E-2</c:v>
                </c:pt>
                <c:pt idx="3847">
                  <c:v>2.4491647990388669E-2</c:v>
                </c:pt>
                <c:pt idx="3848">
                  <c:v>-2.0167208431628957E-2</c:v>
                </c:pt>
                <c:pt idx="3849">
                  <c:v>2.0616443954753871E-2</c:v>
                </c:pt>
                <c:pt idx="3850">
                  <c:v>-1.1976794882636988E-2</c:v>
                </c:pt>
                <c:pt idx="3851">
                  <c:v>2.4120173096076565E-2</c:v>
                </c:pt>
                <c:pt idx="3852">
                  <c:v>2.4336656396213924E-2</c:v>
                </c:pt>
                <c:pt idx="3853">
                  <c:v>-1.6548200447107881E-2</c:v>
                </c:pt>
                <c:pt idx="3854">
                  <c:v>-2.9484267791803152E-2</c:v>
                </c:pt>
                <c:pt idx="3855">
                  <c:v>-2.2681536327111104E-2</c:v>
                </c:pt>
                <c:pt idx="3856">
                  <c:v>-4.1108818455548757E-2</c:v>
                </c:pt>
                <c:pt idx="3857">
                  <c:v>-6.009074455720324E-3</c:v>
                </c:pt>
                <c:pt idx="3858">
                  <c:v>-1.9572495652536426E-2</c:v>
                </c:pt>
                <c:pt idx="3859">
                  <c:v>-9.4149593203587071E-3</c:v>
                </c:pt>
                <c:pt idx="3860">
                  <c:v>-2.1969126725796727E-2</c:v>
                </c:pt>
                <c:pt idx="3861">
                  <c:v>-2.5005957546796733E-3</c:v>
                </c:pt>
                <c:pt idx="3862">
                  <c:v>-2.6302810964588939E-2</c:v>
                </c:pt>
                <c:pt idx="3863">
                  <c:v>5.784609369596995E-3</c:v>
                </c:pt>
                <c:pt idx="3864">
                  <c:v>2.0459862584391784E-2</c:v>
                </c:pt>
                <c:pt idx="3865">
                  <c:v>-2.2599732627379434E-2</c:v>
                </c:pt>
                <c:pt idx="3866">
                  <c:v>3.3010397043673929E-2</c:v>
                </c:pt>
                <c:pt idx="3867">
                  <c:v>-6.4732622370839085E-3</c:v>
                </c:pt>
                <c:pt idx="3868">
                  <c:v>-1.46630762457536E-2</c:v>
                </c:pt>
                <c:pt idx="3869">
                  <c:v>-1.6363570502140174E-2</c:v>
                </c:pt>
                <c:pt idx="3870">
                  <c:v>3.3533738893157228E-4</c:v>
                </c:pt>
                <c:pt idx="3871">
                  <c:v>-1.9308478353289457E-2</c:v>
                </c:pt>
                <c:pt idx="3872">
                  <c:v>-5.7271117204627596E-2</c:v>
                </c:pt>
                <c:pt idx="3873">
                  <c:v>-4.0749215259180085E-2</c:v>
                </c:pt>
                <c:pt idx="3874">
                  <c:v>2.313967917441417E-2</c:v>
                </c:pt>
                <c:pt idx="3875">
                  <c:v>-2.0944984972803844E-2</c:v>
                </c:pt>
                <c:pt idx="3876">
                  <c:v>1.8235050543284833E-2</c:v>
                </c:pt>
                <c:pt idx="3877">
                  <c:v>-3.0064542323131653E-2</c:v>
                </c:pt>
                <c:pt idx="3878">
                  <c:v>1.582693432659758E-2</c:v>
                </c:pt>
                <c:pt idx="3879">
                  <c:v>-2.1245107737193184E-2</c:v>
                </c:pt>
                <c:pt idx="3880">
                  <c:v>-2.1712473002429213E-2</c:v>
                </c:pt>
                <c:pt idx="3881">
                  <c:v>3.0484236756616441E-2</c:v>
                </c:pt>
                <c:pt idx="3882">
                  <c:v>6.9911439460233638E-3</c:v>
                </c:pt>
                <c:pt idx="3883">
                  <c:v>8.5960708992223328E-3</c:v>
                </c:pt>
                <c:pt idx="3884">
                  <c:v>-7.3455558920742618E-3</c:v>
                </c:pt>
                <c:pt idx="3885">
                  <c:v>-1.6792135326054104E-2</c:v>
                </c:pt>
                <c:pt idx="3886">
                  <c:v>-2.2441342802575578E-2</c:v>
                </c:pt>
                <c:pt idx="3887">
                  <c:v>7.9674323954914087E-3</c:v>
                </c:pt>
                <c:pt idx="3888">
                  <c:v>-1.6462421103115008E-2</c:v>
                </c:pt>
                <c:pt idx="3889">
                  <c:v>-7.9981892426767378E-4</c:v>
                </c:pt>
                <c:pt idx="3890">
                  <c:v>-2.0428025862842987E-2</c:v>
                </c:pt>
                <c:pt idx="3891">
                  <c:v>-2.0601694465326854E-2</c:v>
                </c:pt>
                <c:pt idx="3892">
                  <c:v>-4.2191779210603512E-2</c:v>
                </c:pt>
                <c:pt idx="3893">
                  <c:v>-4.0396292419042946E-3</c:v>
                </c:pt>
                <c:pt idx="3894">
                  <c:v>1.5572549921723836E-2</c:v>
                </c:pt>
                <c:pt idx="3895">
                  <c:v>9.2182427622561573E-3</c:v>
                </c:pt>
                <c:pt idx="3896">
                  <c:v>-2.9525050567307313E-2</c:v>
                </c:pt>
                <c:pt idx="3897">
                  <c:v>6.6772455458382077E-2</c:v>
                </c:pt>
                <c:pt idx="3898">
                  <c:v>-2.3893664797530509E-2</c:v>
                </c:pt>
                <c:pt idx="3899">
                  <c:v>-1.5608719112324945E-2</c:v>
                </c:pt>
                <c:pt idx="3900">
                  <c:v>6.1795923837070797E-2</c:v>
                </c:pt>
                <c:pt idx="3901">
                  <c:v>9.18170481638627E-3</c:v>
                </c:pt>
                <c:pt idx="3902">
                  <c:v>-1.2078949475553685E-2</c:v>
                </c:pt>
                <c:pt idx="3903">
                  <c:v>-1.9548279935116247E-2</c:v>
                </c:pt>
                <c:pt idx="3904">
                  <c:v>2.5245372343391768E-3</c:v>
                </c:pt>
                <c:pt idx="3905">
                  <c:v>2.4493034627722171E-3</c:v>
                </c:pt>
                <c:pt idx="3906">
                  <c:v>1.7736166371980461E-2</c:v>
                </c:pt>
                <c:pt idx="3907">
                  <c:v>6.9507956408463422E-3</c:v>
                </c:pt>
                <c:pt idx="3908">
                  <c:v>-1.0955804527777556E-2</c:v>
                </c:pt>
                <c:pt idx="3909">
                  <c:v>2.590554274761489E-2</c:v>
                </c:pt>
                <c:pt idx="3910">
                  <c:v>9.7831203209680136E-3</c:v>
                </c:pt>
                <c:pt idx="3911">
                  <c:v>2.2485712820821586E-2</c:v>
                </c:pt>
                <c:pt idx="3912">
                  <c:v>4.9059334417837861E-3</c:v>
                </c:pt>
                <c:pt idx="3913">
                  <c:v>1.7111707070134876E-3</c:v>
                </c:pt>
                <c:pt idx="3914">
                  <c:v>-2.3113989920803464E-4</c:v>
                </c:pt>
                <c:pt idx="3915">
                  <c:v>2.707379897598184E-2</c:v>
                </c:pt>
                <c:pt idx="3916">
                  <c:v>-3.1517327908524018E-2</c:v>
                </c:pt>
                <c:pt idx="3917">
                  <c:v>-4.3137986765846022E-2</c:v>
                </c:pt>
                <c:pt idx="3918">
                  <c:v>6.9590186771811627E-3</c:v>
                </c:pt>
                <c:pt idx="3919">
                  <c:v>-4.8681483823298025E-3</c:v>
                </c:pt>
                <c:pt idx="3920">
                  <c:v>-3.5935012124939991E-2</c:v>
                </c:pt>
                <c:pt idx="3921">
                  <c:v>1.8448204733265975E-2</c:v>
                </c:pt>
                <c:pt idx="3922">
                  <c:v>2.9564605074616425E-2</c:v>
                </c:pt>
                <c:pt idx="3923">
                  <c:v>1.5890961709082989E-2</c:v>
                </c:pt>
                <c:pt idx="3924">
                  <c:v>5.3693334528557551E-3</c:v>
                </c:pt>
                <c:pt idx="3925">
                  <c:v>3.6313676404372041E-3</c:v>
                </c:pt>
                <c:pt idx="3926">
                  <c:v>-9.3013444093740932E-3</c:v>
                </c:pt>
                <c:pt idx="3927">
                  <c:v>1.4948587082110804E-2</c:v>
                </c:pt>
                <c:pt idx="3928">
                  <c:v>-1.5918735164439516E-3</c:v>
                </c:pt>
                <c:pt idx="3929">
                  <c:v>3.951234844964336E-2</c:v>
                </c:pt>
                <c:pt idx="3930">
                  <c:v>3.9212323276473303E-2</c:v>
                </c:pt>
                <c:pt idx="3931">
                  <c:v>2.2462637990363601E-2</c:v>
                </c:pt>
                <c:pt idx="3932">
                  <c:v>1.6359207000354415E-2</c:v>
                </c:pt>
                <c:pt idx="3933">
                  <c:v>-3.3163649624920258E-2</c:v>
                </c:pt>
                <c:pt idx="3934">
                  <c:v>1.4474801717303778E-2</c:v>
                </c:pt>
                <c:pt idx="3935">
                  <c:v>1.5981609887730616E-3</c:v>
                </c:pt>
                <c:pt idx="3936">
                  <c:v>-2.3050829366707055E-2</c:v>
                </c:pt>
                <c:pt idx="3937">
                  <c:v>-1.274504495185913E-2</c:v>
                </c:pt>
                <c:pt idx="3938">
                  <c:v>1.37672161403795E-2</c:v>
                </c:pt>
                <c:pt idx="3939">
                  <c:v>2.0505524218534181E-2</c:v>
                </c:pt>
                <c:pt idx="3940">
                  <c:v>-2.4943811005053683E-2</c:v>
                </c:pt>
                <c:pt idx="3941">
                  <c:v>3.7265533549947202E-2</c:v>
                </c:pt>
                <c:pt idx="3942">
                  <c:v>4.6224199536216412E-2</c:v>
                </c:pt>
                <c:pt idx="3943">
                  <c:v>1.317234683855339E-2</c:v>
                </c:pt>
                <c:pt idx="3944">
                  <c:v>1.1402138932809192E-2</c:v>
                </c:pt>
                <c:pt idx="3945">
                  <c:v>-1.4814971219378921E-2</c:v>
                </c:pt>
                <c:pt idx="3946">
                  <c:v>1.2687976362966768E-2</c:v>
                </c:pt>
                <c:pt idx="3947">
                  <c:v>-5.1206436666269665E-3</c:v>
                </c:pt>
                <c:pt idx="3948">
                  <c:v>8.1717139662004466E-3</c:v>
                </c:pt>
                <c:pt idx="3949">
                  <c:v>2.1167179673642979E-2</c:v>
                </c:pt>
                <c:pt idx="3950">
                  <c:v>7.2625491127638296E-3</c:v>
                </c:pt>
                <c:pt idx="3951">
                  <c:v>1.6786044140721178E-2</c:v>
                </c:pt>
                <c:pt idx="3952">
                  <c:v>2.9053906880524571E-2</c:v>
                </c:pt>
                <c:pt idx="3953">
                  <c:v>1.2546622536677505E-2</c:v>
                </c:pt>
                <c:pt idx="3954">
                  <c:v>1.964612019971557E-2</c:v>
                </c:pt>
                <c:pt idx="3955">
                  <c:v>-1.1228690680700414E-2</c:v>
                </c:pt>
                <c:pt idx="3956">
                  <c:v>2.6214150078998442E-3</c:v>
                </c:pt>
                <c:pt idx="3957">
                  <c:v>-4.7929809928862262E-2</c:v>
                </c:pt>
                <c:pt idx="3958">
                  <c:v>2.7973750173396063E-2</c:v>
                </c:pt>
                <c:pt idx="3959">
                  <c:v>5.7887422529656635E-3</c:v>
                </c:pt>
                <c:pt idx="3960">
                  <c:v>-3.9071843712324313E-2</c:v>
                </c:pt>
                <c:pt idx="3961">
                  <c:v>6.3085057259649729E-3</c:v>
                </c:pt>
                <c:pt idx="3962">
                  <c:v>-5.2930503025903366E-4</c:v>
                </c:pt>
                <c:pt idx="3963">
                  <c:v>2.5967336207399438E-2</c:v>
                </c:pt>
                <c:pt idx="3964">
                  <c:v>-1.057078073011943E-2</c:v>
                </c:pt>
                <c:pt idx="3965">
                  <c:v>5.8724860526371929E-3</c:v>
                </c:pt>
                <c:pt idx="3966">
                  <c:v>-2.2838990119329404E-2</c:v>
                </c:pt>
                <c:pt idx="3967">
                  <c:v>6.3431875592988053E-3</c:v>
                </c:pt>
                <c:pt idx="3968">
                  <c:v>2.4745230156238862E-2</c:v>
                </c:pt>
                <c:pt idx="3969">
                  <c:v>5.2233625905730649E-3</c:v>
                </c:pt>
                <c:pt idx="3970">
                  <c:v>5.3054461116251034E-3</c:v>
                </c:pt>
                <c:pt idx="3971">
                  <c:v>2.6120371220665422E-4</c:v>
                </c:pt>
                <c:pt idx="3972">
                  <c:v>-3.1613938612563112E-2</c:v>
                </c:pt>
                <c:pt idx="3973">
                  <c:v>-1.1257372207533893E-2</c:v>
                </c:pt>
                <c:pt idx="3974">
                  <c:v>-1.3949346303766293E-2</c:v>
                </c:pt>
                <c:pt idx="3975">
                  <c:v>-1.996386362328266E-2</c:v>
                </c:pt>
                <c:pt idx="3976">
                  <c:v>2.8512529478903578E-2</c:v>
                </c:pt>
                <c:pt idx="3977">
                  <c:v>4.5140851173324045E-2</c:v>
                </c:pt>
                <c:pt idx="3978">
                  <c:v>2.1434112448731404E-2</c:v>
                </c:pt>
                <c:pt idx="3979">
                  <c:v>-7.4607556695152899E-3</c:v>
                </c:pt>
                <c:pt idx="3980">
                  <c:v>1.554837129861484E-2</c:v>
                </c:pt>
                <c:pt idx="3981">
                  <c:v>-2.901913040498208E-2</c:v>
                </c:pt>
                <c:pt idx="3982">
                  <c:v>1.233490447238611E-3</c:v>
                </c:pt>
                <c:pt idx="3983">
                  <c:v>-1.6972760597692677E-2</c:v>
                </c:pt>
                <c:pt idx="3984">
                  <c:v>4.4514554041428366E-2</c:v>
                </c:pt>
                <c:pt idx="3985">
                  <c:v>6.6539373285733599E-3</c:v>
                </c:pt>
                <c:pt idx="3986">
                  <c:v>1.2164296184636181E-2</c:v>
                </c:pt>
                <c:pt idx="3987">
                  <c:v>1.766572581750599E-2</c:v>
                </c:pt>
                <c:pt idx="3988">
                  <c:v>2.8821833723029579E-2</c:v>
                </c:pt>
                <c:pt idx="3989">
                  <c:v>2.2425344921437822E-2</c:v>
                </c:pt>
                <c:pt idx="3990">
                  <c:v>-1.3961503867750417E-2</c:v>
                </c:pt>
                <c:pt idx="3991">
                  <c:v>4.1702925842716163E-2</c:v>
                </c:pt>
                <c:pt idx="3992">
                  <c:v>-9.1452670723856169E-3</c:v>
                </c:pt>
                <c:pt idx="3993">
                  <c:v>4.0589243946565191E-2</c:v>
                </c:pt>
                <c:pt idx="3994">
                  <c:v>-1.2805785083717056E-2</c:v>
                </c:pt>
                <c:pt idx="3995">
                  <c:v>-4.0097367523180064E-2</c:v>
                </c:pt>
                <c:pt idx="3996">
                  <c:v>-3.1045602911969571E-2</c:v>
                </c:pt>
                <c:pt idx="3997">
                  <c:v>5.4072869032600716E-7</c:v>
                </c:pt>
                <c:pt idx="3998">
                  <c:v>5.7305968134567838E-3</c:v>
                </c:pt>
                <c:pt idx="3999">
                  <c:v>-1.0945183252375514E-2</c:v>
                </c:pt>
                <c:pt idx="4000">
                  <c:v>3.6106274110479135E-3</c:v>
                </c:pt>
                <c:pt idx="4001">
                  <c:v>1.8034966999575276E-2</c:v>
                </c:pt>
                <c:pt idx="4002">
                  <c:v>-5.2238446824344545E-3</c:v>
                </c:pt>
                <c:pt idx="4003">
                  <c:v>2.289640248862539E-3</c:v>
                </c:pt>
                <c:pt idx="4004">
                  <c:v>-3.687780447863481E-3</c:v>
                </c:pt>
                <c:pt idx="4005">
                  <c:v>-5.6622936180824295E-3</c:v>
                </c:pt>
                <c:pt idx="4006">
                  <c:v>1.2680468539791961E-2</c:v>
                </c:pt>
                <c:pt idx="4007">
                  <c:v>3.0578790303400979E-2</c:v>
                </c:pt>
                <c:pt idx="4008">
                  <c:v>-1.3689024691618675E-2</c:v>
                </c:pt>
                <c:pt idx="4009">
                  <c:v>-1.3669800209944887E-2</c:v>
                </c:pt>
                <c:pt idx="4010">
                  <c:v>-1.1166440261030897E-3</c:v>
                </c:pt>
                <c:pt idx="4011">
                  <c:v>-1.5757750361905718E-2</c:v>
                </c:pt>
                <c:pt idx="4012">
                  <c:v>5.5151432542371193E-3</c:v>
                </c:pt>
                <c:pt idx="4013">
                  <c:v>2.4948411754074085E-2</c:v>
                </c:pt>
                <c:pt idx="4014">
                  <c:v>4.2699535120524545E-2</c:v>
                </c:pt>
                <c:pt idx="4015">
                  <c:v>8.9525010095486048E-3</c:v>
                </c:pt>
                <c:pt idx="4016">
                  <c:v>6.6872197909991198E-3</c:v>
                </c:pt>
                <c:pt idx="4017">
                  <c:v>-4.1915070270643878E-3</c:v>
                </c:pt>
                <c:pt idx="4018">
                  <c:v>-2.0395768495124551E-4</c:v>
                </c:pt>
                <c:pt idx="4019">
                  <c:v>4.1400068727421212E-2</c:v>
                </c:pt>
                <c:pt idx="4020">
                  <c:v>-3.8678097904029708E-3</c:v>
                </c:pt>
                <c:pt idx="4021">
                  <c:v>4.8937838938533838E-2</c:v>
                </c:pt>
                <c:pt idx="4022">
                  <c:v>-4.4037551199606992E-2</c:v>
                </c:pt>
                <c:pt idx="4023">
                  <c:v>1.9429471233407263E-2</c:v>
                </c:pt>
                <c:pt idx="4024">
                  <c:v>4.5442983250352526E-3</c:v>
                </c:pt>
                <c:pt idx="4025">
                  <c:v>9.9839774390695375E-3</c:v>
                </c:pt>
                <c:pt idx="4026">
                  <c:v>2.5334544935035667E-2</c:v>
                </c:pt>
                <c:pt idx="4027">
                  <c:v>1.9217123768443759E-2</c:v>
                </c:pt>
                <c:pt idx="4028">
                  <c:v>4.1689755682737546E-3</c:v>
                </c:pt>
                <c:pt idx="4029">
                  <c:v>-1.5670239154239391E-2</c:v>
                </c:pt>
                <c:pt idx="4030">
                  <c:v>2.9450410709744777E-2</c:v>
                </c:pt>
                <c:pt idx="4031">
                  <c:v>-3.3360601296024153E-2</c:v>
                </c:pt>
                <c:pt idx="4032">
                  <c:v>-2.8514427690178812E-2</c:v>
                </c:pt>
                <c:pt idx="4033">
                  <c:v>-5.7080826586216063E-2</c:v>
                </c:pt>
                <c:pt idx="4034">
                  <c:v>2.9216744708952452E-2</c:v>
                </c:pt>
                <c:pt idx="4035">
                  <c:v>1.2627064393445487E-2</c:v>
                </c:pt>
                <c:pt idx="4036">
                  <c:v>-7.0681012240708073E-3</c:v>
                </c:pt>
                <c:pt idx="4037">
                  <c:v>-1.4462604696099175E-2</c:v>
                </c:pt>
                <c:pt idx="4038">
                  <c:v>-1.7874274789287967E-2</c:v>
                </c:pt>
                <c:pt idx="4039">
                  <c:v>-4.8996095818222389E-3</c:v>
                </c:pt>
                <c:pt idx="4040">
                  <c:v>2.104566310040859E-2</c:v>
                </c:pt>
                <c:pt idx="4041">
                  <c:v>-2.2278715035933774E-2</c:v>
                </c:pt>
                <c:pt idx="4042">
                  <c:v>2.3522976784470132E-2</c:v>
                </c:pt>
                <c:pt idx="4043">
                  <c:v>-3.7758947678201558E-2</c:v>
                </c:pt>
                <c:pt idx="4044">
                  <c:v>-2.0530036054952801E-2</c:v>
                </c:pt>
                <c:pt idx="4045">
                  <c:v>-7.0608363672679558E-2</c:v>
                </c:pt>
                <c:pt idx="4046">
                  <c:v>2.5684753719603347E-4</c:v>
                </c:pt>
                <c:pt idx="4047">
                  <c:v>2.679601154085454E-2</c:v>
                </c:pt>
                <c:pt idx="4048">
                  <c:v>1.7522865215015785E-2</c:v>
                </c:pt>
                <c:pt idx="4049">
                  <c:v>-2.371215172970113E-2</c:v>
                </c:pt>
                <c:pt idx="4050">
                  <c:v>2.6587442372150424E-2</c:v>
                </c:pt>
                <c:pt idx="4051">
                  <c:v>-1.0893015340112203E-2</c:v>
                </c:pt>
                <c:pt idx="4052">
                  <c:v>-1.158663649126525E-3</c:v>
                </c:pt>
                <c:pt idx="4053">
                  <c:v>-1.0265036015497723E-2</c:v>
                </c:pt>
                <c:pt idx="4054">
                  <c:v>2.1065892302181474E-2</c:v>
                </c:pt>
                <c:pt idx="4055">
                  <c:v>8.7908078327283068E-4</c:v>
                </c:pt>
                <c:pt idx="4056">
                  <c:v>1.1313746995639156E-2</c:v>
                </c:pt>
                <c:pt idx="4057">
                  <c:v>-1.5101348840757506E-2</c:v>
                </c:pt>
                <c:pt idx="4058">
                  <c:v>-1.7637601151358304E-2</c:v>
                </c:pt>
                <c:pt idx="4059">
                  <c:v>1.5672060878794504E-2</c:v>
                </c:pt>
                <c:pt idx="4060">
                  <c:v>8.4807316997764295E-3</c:v>
                </c:pt>
                <c:pt idx="4061">
                  <c:v>1.8662113460087736E-2</c:v>
                </c:pt>
                <c:pt idx="4062">
                  <c:v>4.1893950622191624E-3</c:v>
                </c:pt>
                <c:pt idx="4063">
                  <c:v>-2.1530213830023761E-2</c:v>
                </c:pt>
                <c:pt idx="4064">
                  <c:v>1.799239664652056E-2</c:v>
                </c:pt>
                <c:pt idx="4065">
                  <c:v>-4.2643632469794517E-2</c:v>
                </c:pt>
                <c:pt idx="4066">
                  <c:v>5.5068131387968219E-2</c:v>
                </c:pt>
                <c:pt idx="4067">
                  <c:v>1.8987259636624051E-2</c:v>
                </c:pt>
                <c:pt idx="4068">
                  <c:v>4.8876636376463049E-2</c:v>
                </c:pt>
                <c:pt idx="4069">
                  <c:v>3.3297513662136537E-3</c:v>
                </c:pt>
                <c:pt idx="4070">
                  <c:v>1.3696028153884493E-2</c:v>
                </c:pt>
                <c:pt idx="4071">
                  <c:v>1.9544960014949431E-2</c:v>
                </c:pt>
                <c:pt idx="4072">
                  <c:v>2.0450734702561889E-2</c:v>
                </c:pt>
                <c:pt idx="4073">
                  <c:v>-3.8734513239205418E-2</c:v>
                </c:pt>
                <c:pt idx="4074">
                  <c:v>1.5498229662849857E-2</c:v>
                </c:pt>
                <c:pt idx="4075">
                  <c:v>-2.7744032994712727E-2</c:v>
                </c:pt>
                <c:pt idx="4076">
                  <c:v>-2.4668003498539669E-2</c:v>
                </c:pt>
                <c:pt idx="4077">
                  <c:v>1.2130119542569396E-2</c:v>
                </c:pt>
                <c:pt idx="4078">
                  <c:v>-5.7377170385617848E-2</c:v>
                </c:pt>
                <c:pt idx="4079">
                  <c:v>-3.1483744603496241E-3</c:v>
                </c:pt>
                <c:pt idx="4080">
                  <c:v>3.0251688715917619E-2</c:v>
                </c:pt>
                <c:pt idx="4081">
                  <c:v>1.0409949084652875E-2</c:v>
                </c:pt>
                <c:pt idx="4082">
                  <c:v>-2.8823699854309926E-2</c:v>
                </c:pt>
                <c:pt idx="4083">
                  <c:v>1.3371433290685004E-2</c:v>
                </c:pt>
                <c:pt idx="4084">
                  <c:v>3.9751444278328853E-3</c:v>
                </c:pt>
                <c:pt idx="4085">
                  <c:v>-1.6290876854854371E-2</c:v>
                </c:pt>
                <c:pt idx="4086">
                  <c:v>2.5354940969639059E-2</c:v>
                </c:pt>
                <c:pt idx="4087">
                  <c:v>3.5918110595556017E-2</c:v>
                </c:pt>
                <c:pt idx="4088">
                  <c:v>-2.0777733985015343E-2</c:v>
                </c:pt>
                <c:pt idx="4089">
                  <c:v>5.2393813056132253E-3</c:v>
                </c:pt>
                <c:pt idx="4090">
                  <c:v>1.9157560639004634E-2</c:v>
                </c:pt>
                <c:pt idx="4091">
                  <c:v>-3.0412208962158824E-2</c:v>
                </c:pt>
                <c:pt idx="4092">
                  <c:v>-1.2517992657935123E-2</c:v>
                </c:pt>
                <c:pt idx="4093">
                  <c:v>1.7700807232901072E-2</c:v>
                </c:pt>
                <c:pt idx="4094">
                  <c:v>2.2697338966429021E-2</c:v>
                </c:pt>
                <c:pt idx="4095">
                  <c:v>9.1755162988035044E-3</c:v>
                </c:pt>
                <c:pt idx="4096">
                  <c:v>9.1155670381891634E-3</c:v>
                </c:pt>
                <c:pt idx="4097">
                  <c:v>-1.6853355541195436E-2</c:v>
                </c:pt>
                <c:pt idx="4098">
                  <c:v>-2.0200827668462644E-2</c:v>
                </c:pt>
                <c:pt idx="4099">
                  <c:v>-3.7382141414440365E-2</c:v>
                </c:pt>
                <c:pt idx="4100">
                  <c:v>3.9105276641294116E-2</c:v>
                </c:pt>
                <c:pt idx="4101">
                  <c:v>-1.9414505143553338E-2</c:v>
                </c:pt>
                <c:pt idx="4102">
                  <c:v>-1.6817221454193624E-2</c:v>
                </c:pt>
                <c:pt idx="4103">
                  <c:v>-1.5277734510313324E-2</c:v>
                </c:pt>
                <c:pt idx="4104">
                  <c:v>3.0053928827751399E-2</c:v>
                </c:pt>
                <c:pt idx="4105">
                  <c:v>-4.1214064276252758E-2</c:v>
                </c:pt>
                <c:pt idx="4106">
                  <c:v>3.2550097651923994E-2</c:v>
                </c:pt>
                <c:pt idx="4107">
                  <c:v>-5.9096004350243349E-2</c:v>
                </c:pt>
                <c:pt idx="4108">
                  <c:v>3.2268925121032681E-2</c:v>
                </c:pt>
                <c:pt idx="4109">
                  <c:v>-3.9670189479529501E-2</c:v>
                </c:pt>
                <c:pt idx="4110">
                  <c:v>2.4104737242131972E-2</c:v>
                </c:pt>
                <c:pt idx="4111">
                  <c:v>-1.1114119859862518E-2</c:v>
                </c:pt>
                <c:pt idx="4112">
                  <c:v>-3.6715675124023073E-2</c:v>
                </c:pt>
                <c:pt idx="4113">
                  <c:v>-2.4962113398896594E-2</c:v>
                </c:pt>
                <c:pt idx="4114">
                  <c:v>2.4432443539128497E-2</c:v>
                </c:pt>
                <c:pt idx="4115">
                  <c:v>2.1191444819045106E-2</c:v>
                </c:pt>
                <c:pt idx="4116">
                  <c:v>-3.8502255266396355E-2</c:v>
                </c:pt>
                <c:pt idx="4117">
                  <c:v>3.9530256824475245E-3</c:v>
                </c:pt>
                <c:pt idx="4118">
                  <c:v>2.8006343386191873E-2</c:v>
                </c:pt>
                <c:pt idx="4119">
                  <c:v>-4.5124621343861492E-2</c:v>
                </c:pt>
                <c:pt idx="4120">
                  <c:v>-1.6151036474872243E-2</c:v>
                </c:pt>
                <c:pt idx="4121">
                  <c:v>-1.7090180487732728E-3</c:v>
                </c:pt>
                <c:pt idx="4122">
                  <c:v>-4.6741960566059379E-2</c:v>
                </c:pt>
                <c:pt idx="4123">
                  <c:v>-1.2392016253732289E-2</c:v>
                </c:pt>
                <c:pt idx="4124">
                  <c:v>2.3062619159392801E-2</c:v>
                </c:pt>
                <c:pt idx="4125">
                  <c:v>1.7344867641624222E-2</c:v>
                </c:pt>
                <c:pt idx="4126">
                  <c:v>9.9553268982830465E-4</c:v>
                </c:pt>
                <c:pt idx="4127">
                  <c:v>1.473086459735576E-4</c:v>
                </c:pt>
                <c:pt idx="4128">
                  <c:v>8.611718459845822E-3</c:v>
                </c:pt>
                <c:pt idx="4129">
                  <c:v>-7.2872993322143143E-2</c:v>
                </c:pt>
                <c:pt idx="4130">
                  <c:v>-6.6046535791532968E-3</c:v>
                </c:pt>
                <c:pt idx="4131">
                  <c:v>3.1344244541934851E-2</c:v>
                </c:pt>
                <c:pt idx="4132">
                  <c:v>3.0806131593747281E-2</c:v>
                </c:pt>
                <c:pt idx="4133">
                  <c:v>2.7743639787292374E-2</c:v>
                </c:pt>
                <c:pt idx="4134">
                  <c:v>2.8462219141073445E-2</c:v>
                </c:pt>
                <c:pt idx="4135">
                  <c:v>-7.9828169394419602E-3</c:v>
                </c:pt>
                <c:pt idx="4136">
                  <c:v>-9.2646283217784758E-3</c:v>
                </c:pt>
                <c:pt idx="4137">
                  <c:v>-1.7543184747990551E-2</c:v>
                </c:pt>
                <c:pt idx="4138">
                  <c:v>-4.8914587496073747E-2</c:v>
                </c:pt>
                <c:pt idx="4139">
                  <c:v>8.5577901050473051E-3</c:v>
                </c:pt>
                <c:pt idx="4140">
                  <c:v>-1.9156450073494542E-2</c:v>
                </c:pt>
                <c:pt idx="4141">
                  <c:v>2.2182806225398269E-2</c:v>
                </c:pt>
                <c:pt idx="4142">
                  <c:v>2.366146687662446E-2</c:v>
                </c:pt>
                <c:pt idx="4143">
                  <c:v>2.969679954492515E-2</c:v>
                </c:pt>
                <c:pt idx="4144">
                  <c:v>-1.1910145525835625E-2</c:v>
                </c:pt>
                <c:pt idx="4145">
                  <c:v>-1.4732107216598379E-2</c:v>
                </c:pt>
                <c:pt idx="4146">
                  <c:v>-1.0975421458515879E-2</c:v>
                </c:pt>
                <c:pt idx="4147">
                  <c:v>-1.1615042810665908E-2</c:v>
                </c:pt>
                <c:pt idx="4148">
                  <c:v>4.2300822866061787E-2</c:v>
                </c:pt>
                <c:pt idx="4149">
                  <c:v>-1.399595820426312E-2</c:v>
                </c:pt>
                <c:pt idx="4150">
                  <c:v>1.1560535478827903E-2</c:v>
                </c:pt>
                <c:pt idx="4151">
                  <c:v>1.1066662827311891E-2</c:v>
                </c:pt>
                <c:pt idx="4152">
                  <c:v>7.8345464909757717E-3</c:v>
                </c:pt>
                <c:pt idx="4153">
                  <c:v>-1.2115327025872376E-2</c:v>
                </c:pt>
                <c:pt idx="4154">
                  <c:v>1.24999044783837E-2</c:v>
                </c:pt>
                <c:pt idx="4155">
                  <c:v>1.5213074237363405E-2</c:v>
                </c:pt>
                <c:pt idx="4156">
                  <c:v>6.3775812001669402E-2</c:v>
                </c:pt>
                <c:pt idx="4157">
                  <c:v>-1.3342270748821258E-2</c:v>
                </c:pt>
                <c:pt idx="4158">
                  <c:v>1.005982115586942E-2</c:v>
                </c:pt>
                <c:pt idx="4159">
                  <c:v>-1.2845173847449909E-2</c:v>
                </c:pt>
                <c:pt idx="4160">
                  <c:v>-2.7406812750495869E-2</c:v>
                </c:pt>
                <c:pt idx="4161">
                  <c:v>-5.7639744986077296E-3</c:v>
                </c:pt>
                <c:pt idx="4162">
                  <c:v>-9.3906853702748708E-4</c:v>
                </c:pt>
                <c:pt idx="4163">
                  <c:v>-2.5762506380087157E-2</c:v>
                </c:pt>
                <c:pt idx="4164">
                  <c:v>1.1994622048581437E-2</c:v>
                </c:pt>
                <c:pt idx="4165">
                  <c:v>-1.2039781064588003E-2</c:v>
                </c:pt>
                <c:pt idx="4166">
                  <c:v>3.4281977356491529E-2</c:v>
                </c:pt>
                <c:pt idx="4167">
                  <c:v>3.9424375051455456E-2</c:v>
                </c:pt>
                <c:pt idx="4168">
                  <c:v>2.6013899015478383E-2</c:v>
                </c:pt>
                <c:pt idx="4169">
                  <c:v>-3.525689632525681E-2</c:v>
                </c:pt>
                <c:pt idx="4170">
                  <c:v>4.0663707624803824E-3</c:v>
                </c:pt>
                <c:pt idx="4171">
                  <c:v>3.1618285823856265E-3</c:v>
                </c:pt>
                <c:pt idx="4172">
                  <c:v>-5.0041460135685153E-3</c:v>
                </c:pt>
                <c:pt idx="4173">
                  <c:v>-1.7224344795162477E-2</c:v>
                </c:pt>
                <c:pt idx="4174">
                  <c:v>-1.1969176433047891E-2</c:v>
                </c:pt>
                <c:pt idx="4175">
                  <c:v>-1.8994891473722426E-2</c:v>
                </c:pt>
                <c:pt idx="4176">
                  <c:v>-2.0312891233859796E-2</c:v>
                </c:pt>
                <c:pt idx="4177">
                  <c:v>-4.1032893038359108E-2</c:v>
                </c:pt>
                <c:pt idx="4178">
                  <c:v>-1.066808094814326E-2</c:v>
                </c:pt>
                <c:pt idx="4179">
                  <c:v>-3.364766347783972E-2</c:v>
                </c:pt>
                <c:pt idx="4180">
                  <c:v>6.4543807511085911E-3</c:v>
                </c:pt>
                <c:pt idx="4181">
                  <c:v>-1.0531065172785072E-2</c:v>
                </c:pt>
                <c:pt idx="4182">
                  <c:v>-2.7242916842713103E-2</c:v>
                </c:pt>
                <c:pt idx="4183">
                  <c:v>5.8827548190954017E-2</c:v>
                </c:pt>
                <c:pt idx="4184">
                  <c:v>1.7040356707743912E-2</c:v>
                </c:pt>
                <c:pt idx="4185">
                  <c:v>-2.059167778123577E-2</c:v>
                </c:pt>
                <c:pt idx="4186">
                  <c:v>-3.4564193121813039E-2</c:v>
                </c:pt>
                <c:pt idx="4187">
                  <c:v>-1.6999471048825442E-2</c:v>
                </c:pt>
                <c:pt idx="4188">
                  <c:v>-7.0746094061764232E-3</c:v>
                </c:pt>
                <c:pt idx="4189">
                  <c:v>-1.0789723264946009E-2</c:v>
                </c:pt>
                <c:pt idx="4190">
                  <c:v>3.0985064699748946E-2</c:v>
                </c:pt>
                <c:pt idx="4191">
                  <c:v>2.7395585566810318E-2</c:v>
                </c:pt>
                <c:pt idx="4192">
                  <c:v>8.1512099445294507E-3</c:v>
                </c:pt>
                <c:pt idx="4193">
                  <c:v>1.4005382484039248E-3</c:v>
                </c:pt>
                <c:pt idx="4194">
                  <c:v>1.3682424620474674E-2</c:v>
                </c:pt>
                <c:pt idx="4195">
                  <c:v>-3.9287043656353798E-2</c:v>
                </c:pt>
                <c:pt idx="4196">
                  <c:v>8.6470242203557212E-3</c:v>
                </c:pt>
                <c:pt idx="4197">
                  <c:v>1.3550083615226619E-2</c:v>
                </c:pt>
                <c:pt idx="4198">
                  <c:v>-4.5329461141238654E-2</c:v>
                </c:pt>
                <c:pt idx="4199">
                  <c:v>-3.6329485502921616E-2</c:v>
                </c:pt>
                <c:pt idx="4200">
                  <c:v>7.5129537687725883E-3</c:v>
                </c:pt>
                <c:pt idx="4201">
                  <c:v>3.5101351125430898E-2</c:v>
                </c:pt>
                <c:pt idx="4202">
                  <c:v>-3.4801272402727739E-3</c:v>
                </c:pt>
                <c:pt idx="4203">
                  <c:v>-3.540521194001519E-2</c:v>
                </c:pt>
                <c:pt idx="4204">
                  <c:v>-1.7681932606910023E-2</c:v>
                </c:pt>
                <c:pt idx="4205">
                  <c:v>-5.9281058243527843E-5</c:v>
                </c:pt>
                <c:pt idx="4206">
                  <c:v>-2.508415624467698E-2</c:v>
                </c:pt>
                <c:pt idx="4207">
                  <c:v>3.5656825096110588E-2</c:v>
                </c:pt>
                <c:pt idx="4208">
                  <c:v>-2.6082905752153118E-2</c:v>
                </c:pt>
                <c:pt idx="4209">
                  <c:v>-3.0728777681131151E-3</c:v>
                </c:pt>
                <c:pt idx="4210">
                  <c:v>-3.6280344739207319E-2</c:v>
                </c:pt>
                <c:pt idx="4211">
                  <c:v>-8.0874546891436909E-3</c:v>
                </c:pt>
                <c:pt idx="4212">
                  <c:v>3.1565040009010295E-2</c:v>
                </c:pt>
                <c:pt idx="4213">
                  <c:v>-2.5608003734561461E-2</c:v>
                </c:pt>
                <c:pt idx="4214">
                  <c:v>2.9889405937505928E-2</c:v>
                </c:pt>
                <c:pt idx="4215">
                  <c:v>1.149513540163666E-2</c:v>
                </c:pt>
                <c:pt idx="4216">
                  <c:v>2.5598610189367807E-2</c:v>
                </c:pt>
                <c:pt idx="4217">
                  <c:v>-3.0245872855645273E-2</c:v>
                </c:pt>
                <c:pt idx="4218">
                  <c:v>-3.655567959643536E-2</c:v>
                </c:pt>
                <c:pt idx="4219">
                  <c:v>1.9399880091639392E-2</c:v>
                </c:pt>
                <c:pt idx="4220">
                  <c:v>-2.0489290795356573E-2</c:v>
                </c:pt>
                <c:pt idx="4221">
                  <c:v>-1.1389879553987372E-2</c:v>
                </c:pt>
                <c:pt idx="4222">
                  <c:v>-3.3768291926853142E-2</c:v>
                </c:pt>
                <c:pt idx="4223">
                  <c:v>4.3185945571891468E-2</c:v>
                </c:pt>
                <c:pt idx="4224">
                  <c:v>5.3769525171063266E-2</c:v>
                </c:pt>
                <c:pt idx="4225">
                  <c:v>-3.3719806246989205E-2</c:v>
                </c:pt>
                <c:pt idx="4226">
                  <c:v>-2.0658112264433058E-3</c:v>
                </c:pt>
                <c:pt idx="4227">
                  <c:v>1.2908661201278307E-2</c:v>
                </c:pt>
                <c:pt idx="4228">
                  <c:v>-9.1016259705931969E-4</c:v>
                </c:pt>
                <c:pt idx="4229">
                  <c:v>-1.0786145760417741E-2</c:v>
                </c:pt>
                <c:pt idx="4230">
                  <c:v>-3.7591566069422891E-2</c:v>
                </c:pt>
                <c:pt idx="4231">
                  <c:v>2.7209926104057567E-2</c:v>
                </c:pt>
                <c:pt idx="4232">
                  <c:v>4.0256172359187992E-2</c:v>
                </c:pt>
                <c:pt idx="4233">
                  <c:v>1.8416994571837791E-2</c:v>
                </c:pt>
                <c:pt idx="4234">
                  <c:v>3.3068629214616221E-3</c:v>
                </c:pt>
                <c:pt idx="4235">
                  <c:v>-6.9113694927330754E-3</c:v>
                </c:pt>
                <c:pt idx="4236">
                  <c:v>1.3186876838437306E-3</c:v>
                </c:pt>
                <c:pt idx="4237">
                  <c:v>-1.1603759707603014E-2</c:v>
                </c:pt>
                <c:pt idx="4238">
                  <c:v>2.8649245344741402E-2</c:v>
                </c:pt>
                <c:pt idx="4239">
                  <c:v>-4.4481640469683177E-2</c:v>
                </c:pt>
                <c:pt idx="4240">
                  <c:v>-2.7267832982898119E-2</c:v>
                </c:pt>
                <c:pt idx="4241">
                  <c:v>2.1868906211266748E-2</c:v>
                </c:pt>
                <c:pt idx="4242">
                  <c:v>9.8538122269651793E-3</c:v>
                </c:pt>
                <c:pt idx="4243">
                  <c:v>6.8223434713984357E-3</c:v>
                </c:pt>
                <c:pt idx="4244">
                  <c:v>-2.8408877969621375E-2</c:v>
                </c:pt>
                <c:pt idx="4245">
                  <c:v>5.4510703722420607E-3</c:v>
                </c:pt>
                <c:pt idx="4246">
                  <c:v>6.8969081761254981E-3</c:v>
                </c:pt>
                <c:pt idx="4247">
                  <c:v>-9.544932241627193E-3</c:v>
                </c:pt>
                <c:pt idx="4248">
                  <c:v>9.8091283298161816E-3</c:v>
                </c:pt>
                <c:pt idx="4249">
                  <c:v>7.323168452220476E-3</c:v>
                </c:pt>
                <c:pt idx="4250">
                  <c:v>2.4196364119405079E-3</c:v>
                </c:pt>
                <c:pt idx="4251">
                  <c:v>4.4203351307416969E-2</c:v>
                </c:pt>
                <c:pt idx="4252">
                  <c:v>8.9292419384529708E-3</c:v>
                </c:pt>
                <c:pt idx="4253">
                  <c:v>5.9246649174328439E-2</c:v>
                </c:pt>
                <c:pt idx="4254">
                  <c:v>3.817962078377099E-2</c:v>
                </c:pt>
                <c:pt idx="4255">
                  <c:v>4.5618324001688179E-2</c:v>
                </c:pt>
                <c:pt idx="4256">
                  <c:v>-1.2564462674486711E-2</c:v>
                </c:pt>
                <c:pt idx="4257">
                  <c:v>-1.7979729413193868E-2</c:v>
                </c:pt>
                <c:pt idx="4258">
                  <c:v>4.7979138485203916E-2</c:v>
                </c:pt>
                <c:pt idx="4259">
                  <c:v>-5.3899095010468412E-2</c:v>
                </c:pt>
                <c:pt idx="4260">
                  <c:v>-2.3084216199688947E-2</c:v>
                </c:pt>
                <c:pt idx="4261">
                  <c:v>-1.0010963875079498E-2</c:v>
                </c:pt>
                <c:pt idx="4262">
                  <c:v>1.7865752827080344E-2</c:v>
                </c:pt>
                <c:pt idx="4263">
                  <c:v>-1.7719110373711648E-2</c:v>
                </c:pt>
                <c:pt idx="4264">
                  <c:v>2.0259803555757912E-2</c:v>
                </c:pt>
                <c:pt idx="4265">
                  <c:v>2.6830930829725364E-2</c:v>
                </c:pt>
                <c:pt idx="4266">
                  <c:v>3.6937777194599883E-2</c:v>
                </c:pt>
                <c:pt idx="4267">
                  <c:v>-4.6960236970906677E-2</c:v>
                </c:pt>
                <c:pt idx="4268">
                  <c:v>3.9987160945912585E-2</c:v>
                </c:pt>
                <c:pt idx="4269">
                  <c:v>2.9647096203382781E-2</c:v>
                </c:pt>
                <c:pt idx="4270">
                  <c:v>3.7052753844857827E-3</c:v>
                </c:pt>
                <c:pt idx="4271">
                  <c:v>-3.2792537310151637E-2</c:v>
                </c:pt>
                <c:pt idx="4272">
                  <c:v>-6.9067607966758725E-3</c:v>
                </c:pt>
                <c:pt idx="4273">
                  <c:v>3.6719507365553461E-2</c:v>
                </c:pt>
                <c:pt idx="4274">
                  <c:v>8.6658536234135945E-3</c:v>
                </c:pt>
                <c:pt idx="4275">
                  <c:v>-1.4788006677279909E-2</c:v>
                </c:pt>
                <c:pt idx="4276">
                  <c:v>2.5224007805866055E-3</c:v>
                </c:pt>
                <c:pt idx="4277">
                  <c:v>5.4603209936467244E-2</c:v>
                </c:pt>
                <c:pt idx="4278">
                  <c:v>-3.9310565804494633E-3</c:v>
                </c:pt>
                <c:pt idx="4279">
                  <c:v>2.9054633860228747E-3</c:v>
                </c:pt>
                <c:pt idx="4280">
                  <c:v>6.9803217306809266E-3</c:v>
                </c:pt>
                <c:pt idx="4281">
                  <c:v>-2.7146353312765388E-2</c:v>
                </c:pt>
                <c:pt idx="4282">
                  <c:v>2.0067129551296584E-3</c:v>
                </c:pt>
                <c:pt idx="4283">
                  <c:v>6.8424678605521691E-3</c:v>
                </c:pt>
                <c:pt idx="4284">
                  <c:v>4.9772638086631928E-3</c:v>
                </c:pt>
                <c:pt idx="4285">
                  <c:v>-2.6366520177554674E-3</c:v>
                </c:pt>
                <c:pt idx="4286">
                  <c:v>-4.4926675381824731E-3</c:v>
                </c:pt>
                <c:pt idx="4287">
                  <c:v>-9.1579440469931103E-3</c:v>
                </c:pt>
                <c:pt idx="4288">
                  <c:v>1.9340644024144881E-2</c:v>
                </c:pt>
                <c:pt idx="4289">
                  <c:v>1.7787361796025695E-3</c:v>
                </c:pt>
                <c:pt idx="4290">
                  <c:v>-4.5951306286879337E-2</c:v>
                </c:pt>
                <c:pt idx="4291">
                  <c:v>2.2170193490357339E-2</c:v>
                </c:pt>
                <c:pt idx="4292">
                  <c:v>4.1998607985150819E-3</c:v>
                </c:pt>
                <c:pt idx="4293">
                  <c:v>-1.1721280695015043E-2</c:v>
                </c:pt>
                <c:pt idx="4294">
                  <c:v>-4.5225263010652716E-2</c:v>
                </c:pt>
                <c:pt idx="4295">
                  <c:v>1.2263641577224963E-2</c:v>
                </c:pt>
                <c:pt idx="4296">
                  <c:v>3.3226013948729912E-3</c:v>
                </c:pt>
                <c:pt idx="4297">
                  <c:v>8.2876927089622961E-3</c:v>
                </c:pt>
                <c:pt idx="4298">
                  <c:v>-1.1124428355940881E-2</c:v>
                </c:pt>
                <c:pt idx="4299">
                  <c:v>9.3749188147956349E-3</c:v>
                </c:pt>
                <c:pt idx="4300">
                  <c:v>1.3896854352129577E-2</c:v>
                </c:pt>
                <c:pt idx="4301">
                  <c:v>-3.7907065042549253E-2</c:v>
                </c:pt>
                <c:pt idx="4302">
                  <c:v>1.0381482113555116E-2</c:v>
                </c:pt>
                <c:pt idx="4303">
                  <c:v>4.3752448394080504E-2</c:v>
                </c:pt>
                <c:pt idx="4304">
                  <c:v>-1.9485057853442029E-2</c:v>
                </c:pt>
                <c:pt idx="4305">
                  <c:v>5.8037229530312796E-2</c:v>
                </c:pt>
                <c:pt idx="4306">
                  <c:v>2.1517677177263682E-2</c:v>
                </c:pt>
                <c:pt idx="4307">
                  <c:v>-1.0918538751402191E-2</c:v>
                </c:pt>
                <c:pt idx="4308">
                  <c:v>6.5438550494426213E-6</c:v>
                </c:pt>
                <c:pt idx="4309">
                  <c:v>-1.7636986461197185E-2</c:v>
                </c:pt>
                <c:pt idx="4310">
                  <c:v>-1.8477382052891018E-2</c:v>
                </c:pt>
                <c:pt idx="4311">
                  <c:v>-3.67059688695168E-3</c:v>
                </c:pt>
                <c:pt idx="4312">
                  <c:v>-5.7652615834528926E-3</c:v>
                </c:pt>
                <c:pt idx="4313">
                  <c:v>1.322083270598534E-2</c:v>
                </c:pt>
                <c:pt idx="4314">
                  <c:v>-8.4481689179595851E-2</c:v>
                </c:pt>
                <c:pt idx="4315">
                  <c:v>4.0127903859659567E-3</c:v>
                </c:pt>
                <c:pt idx="4316">
                  <c:v>-2.248237052812314E-2</c:v>
                </c:pt>
                <c:pt idx="4317">
                  <c:v>6.1650923928339249E-2</c:v>
                </c:pt>
                <c:pt idx="4318">
                  <c:v>1.8006878417141128E-2</c:v>
                </c:pt>
                <c:pt idx="4319">
                  <c:v>-3.1494283894973646E-3</c:v>
                </c:pt>
                <c:pt idx="4320">
                  <c:v>1.5657839083543301E-2</c:v>
                </c:pt>
                <c:pt idx="4321">
                  <c:v>-3.7527236111790846E-2</c:v>
                </c:pt>
                <c:pt idx="4322">
                  <c:v>-2.550127028988641E-2</c:v>
                </c:pt>
                <c:pt idx="4323">
                  <c:v>9.0445519520202856E-4</c:v>
                </c:pt>
                <c:pt idx="4324">
                  <c:v>-1.7541915129486176E-3</c:v>
                </c:pt>
                <c:pt idx="4325">
                  <c:v>-2.1790717089244065E-2</c:v>
                </c:pt>
                <c:pt idx="4326">
                  <c:v>3.2698693220683125E-2</c:v>
                </c:pt>
                <c:pt idx="4327">
                  <c:v>-8.3471855528624121E-3</c:v>
                </c:pt>
                <c:pt idx="4328">
                  <c:v>-1.406451365594113E-2</c:v>
                </c:pt>
                <c:pt idx="4329">
                  <c:v>-3.0132733517163328E-2</c:v>
                </c:pt>
                <c:pt idx="4330">
                  <c:v>-8.0349315307717654E-3</c:v>
                </c:pt>
                <c:pt idx="4331">
                  <c:v>-9.0920920537069742E-3</c:v>
                </c:pt>
                <c:pt idx="4332">
                  <c:v>9.0043962664333264E-3</c:v>
                </c:pt>
                <c:pt idx="4333">
                  <c:v>1.0653561097542865E-2</c:v>
                </c:pt>
                <c:pt idx="4334">
                  <c:v>5.4883236726743535E-3</c:v>
                </c:pt>
                <c:pt idx="4335">
                  <c:v>1.1841950617504784E-2</c:v>
                </c:pt>
                <c:pt idx="4336">
                  <c:v>2.6772175723994495E-2</c:v>
                </c:pt>
                <c:pt idx="4337">
                  <c:v>3.0506886154090883E-2</c:v>
                </c:pt>
                <c:pt idx="4338">
                  <c:v>-2.2630597265036689E-2</c:v>
                </c:pt>
                <c:pt idx="4339">
                  <c:v>-9.3232895331450353E-3</c:v>
                </c:pt>
                <c:pt idx="4340">
                  <c:v>2.7145948324994724E-3</c:v>
                </c:pt>
                <c:pt idx="4341">
                  <c:v>-2.9584373626237784E-2</c:v>
                </c:pt>
                <c:pt idx="4342">
                  <c:v>1.1593719746903531E-2</c:v>
                </c:pt>
                <c:pt idx="4343">
                  <c:v>-7.348718173837223E-3</c:v>
                </c:pt>
                <c:pt idx="4344">
                  <c:v>-2.3557159595717792E-3</c:v>
                </c:pt>
                <c:pt idx="4345">
                  <c:v>2.9431018954949574E-2</c:v>
                </c:pt>
                <c:pt idx="4346">
                  <c:v>3.4216125973171488E-2</c:v>
                </c:pt>
                <c:pt idx="4347">
                  <c:v>-1.2587686403086563E-2</c:v>
                </c:pt>
                <c:pt idx="4348">
                  <c:v>1.9005467842430616E-2</c:v>
                </c:pt>
                <c:pt idx="4349">
                  <c:v>1.2656963120002931E-2</c:v>
                </c:pt>
                <c:pt idx="4350">
                  <c:v>9.4193971124515302E-3</c:v>
                </c:pt>
                <c:pt idx="4351">
                  <c:v>2.0750482221813613E-2</c:v>
                </c:pt>
                <c:pt idx="4352">
                  <c:v>8.8514803162741736E-3</c:v>
                </c:pt>
                <c:pt idx="4353">
                  <c:v>1.8937705299011558E-2</c:v>
                </c:pt>
                <c:pt idx="4354">
                  <c:v>-9.1026382994846538E-3</c:v>
                </c:pt>
                <c:pt idx="4355">
                  <c:v>1.9237418206543757E-2</c:v>
                </c:pt>
                <c:pt idx="4356">
                  <c:v>-4.6485235180061847E-3</c:v>
                </c:pt>
                <c:pt idx="4357">
                  <c:v>-3.3684596213543164E-3</c:v>
                </c:pt>
                <c:pt idx="4358">
                  <c:v>-8.9899380739834247E-3</c:v>
                </c:pt>
                <c:pt idx="4359">
                  <c:v>-6.2393638272524511E-2</c:v>
                </c:pt>
                <c:pt idx="4360">
                  <c:v>4.2545949488956292E-2</c:v>
                </c:pt>
                <c:pt idx="4361">
                  <c:v>-6.9635746100478978E-3</c:v>
                </c:pt>
                <c:pt idx="4362">
                  <c:v>-1.791627380233923E-3</c:v>
                </c:pt>
                <c:pt idx="4363">
                  <c:v>-2.1573411630150682E-2</c:v>
                </c:pt>
                <c:pt idx="4364">
                  <c:v>-1.5864166383459739E-2</c:v>
                </c:pt>
                <c:pt idx="4365">
                  <c:v>-1.8524603146713923E-2</c:v>
                </c:pt>
                <c:pt idx="4366">
                  <c:v>-2.4781945856903066E-4</c:v>
                </c:pt>
                <c:pt idx="4367">
                  <c:v>3.175274335032043E-3</c:v>
                </c:pt>
                <c:pt idx="4368">
                  <c:v>7.1499851039847871E-3</c:v>
                </c:pt>
                <c:pt idx="4369">
                  <c:v>-2.7714165341489977E-3</c:v>
                </c:pt>
                <c:pt idx="4370">
                  <c:v>5.2876552365495604E-4</c:v>
                </c:pt>
                <c:pt idx="4371">
                  <c:v>2.3194398161050841E-2</c:v>
                </c:pt>
                <c:pt idx="4372">
                  <c:v>1.8790579856640767E-2</c:v>
                </c:pt>
                <c:pt idx="4373">
                  <c:v>-1.8843474752002241E-2</c:v>
                </c:pt>
                <c:pt idx="4374">
                  <c:v>3.463923659971477E-3</c:v>
                </c:pt>
                <c:pt idx="4375">
                  <c:v>-1.8623406761322718E-3</c:v>
                </c:pt>
                <c:pt idx="4376">
                  <c:v>-4.4180414214823854E-2</c:v>
                </c:pt>
                <c:pt idx="4377">
                  <c:v>-1.5655327435069668E-2</c:v>
                </c:pt>
                <c:pt idx="4378">
                  <c:v>1.5396438568335726E-2</c:v>
                </c:pt>
                <c:pt idx="4379">
                  <c:v>1.2281781897210809E-2</c:v>
                </c:pt>
                <c:pt idx="4380">
                  <c:v>-4.6020119005920797E-2</c:v>
                </c:pt>
                <c:pt idx="4381">
                  <c:v>-3.4779601145244576E-3</c:v>
                </c:pt>
                <c:pt idx="4382">
                  <c:v>4.1305362307985934E-2</c:v>
                </c:pt>
                <c:pt idx="4383">
                  <c:v>1.7817401941657603E-2</c:v>
                </c:pt>
                <c:pt idx="4384">
                  <c:v>1.0012297075670053E-2</c:v>
                </c:pt>
                <c:pt idx="4385">
                  <c:v>5.4598912679162323E-2</c:v>
                </c:pt>
                <c:pt idx="4386">
                  <c:v>5.9427504222095022E-2</c:v>
                </c:pt>
                <c:pt idx="4387">
                  <c:v>-9.7823803495801429E-3</c:v>
                </c:pt>
                <c:pt idx="4388">
                  <c:v>6.2387703720212954E-2</c:v>
                </c:pt>
                <c:pt idx="4389">
                  <c:v>-3.522566910488293E-2</c:v>
                </c:pt>
                <c:pt idx="4390">
                  <c:v>8.1677614027005161E-3</c:v>
                </c:pt>
                <c:pt idx="4391">
                  <c:v>4.7282658110267599E-2</c:v>
                </c:pt>
                <c:pt idx="4392">
                  <c:v>1.5067991722365445E-2</c:v>
                </c:pt>
                <c:pt idx="4393">
                  <c:v>-8.344876548669812E-3</c:v>
                </c:pt>
                <c:pt idx="4394">
                  <c:v>2.9120149349424397E-2</c:v>
                </c:pt>
                <c:pt idx="4395">
                  <c:v>3.6643639797623702E-2</c:v>
                </c:pt>
                <c:pt idx="4396">
                  <c:v>1.235418931703592E-2</c:v>
                </c:pt>
                <c:pt idx="4397">
                  <c:v>1.3055070249157027E-2</c:v>
                </c:pt>
                <c:pt idx="4398">
                  <c:v>2.6100511568346287E-2</c:v>
                </c:pt>
                <c:pt idx="4399">
                  <c:v>3.4693151851731205E-2</c:v>
                </c:pt>
                <c:pt idx="4400">
                  <c:v>-1.8435873456268102E-2</c:v>
                </c:pt>
                <c:pt idx="4401">
                  <c:v>-7.6812827799159385E-3</c:v>
                </c:pt>
                <c:pt idx="4402">
                  <c:v>1.6961882873311521E-2</c:v>
                </c:pt>
                <c:pt idx="4403">
                  <c:v>1.0659528242137385E-2</c:v>
                </c:pt>
                <c:pt idx="4404">
                  <c:v>6.4345241922044698E-3</c:v>
                </c:pt>
                <c:pt idx="4405">
                  <c:v>2.2730687055371984E-2</c:v>
                </c:pt>
                <c:pt idx="4406">
                  <c:v>-3.1641068482203875E-2</c:v>
                </c:pt>
                <c:pt idx="4407">
                  <c:v>2.5079532822026414E-2</c:v>
                </c:pt>
                <c:pt idx="4408">
                  <c:v>-1.0850539623482548E-2</c:v>
                </c:pt>
                <c:pt idx="4409">
                  <c:v>1.4661472576807676E-2</c:v>
                </c:pt>
                <c:pt idx="4410">
                  <c:v>-6.2911329705795677E-3</c:v>
                </c:pt>
                <c:pt idx="4411">
                  <c:v>1.7284709526103233E-2</c:v>
                </c:pt>
                <c:pt idx="4412">
                  <c:v>-3.6152482356071804E-2</c:v>
                </c:pt>
                <c:pt idx="4413">
                  <c:v>2.1300026018785018E-2</c:v>
                </c:pt>
                <c:pt idx="4414">
                  <c:v>-3.1862134325773214E-2</c:v>
                </c:pt>
                <c:pt idx="4415">
                  <c:v>-3.3356989652737638E-2</c:v>
                </c:pt>
                <c:pt idx="4416">
                  <c:v>-6.9366149651171882E-3</c:v>
                </c:pt>
                <c:pt idx="4417">
                  <c:v>-1.1514431852491713E-3</c:v>
                </c:pt>
                <c:pt idx="4418">
                  <c:v>6.5953489026013648E-4</c:v>
                </c:pt>
                <c:pt idx="4419">
                  <c:v>-1.0510480776524377E-2</c:v>
                </c:pt>
                <c:pt idx="4420">
                  <c:v>-7.2464696614532569E-3</c:v>
                </c:pt>
                <c:pt idx="4421">
                  <c:v>9.5823785866782155E-3</c:v>
                </c:pt>
                <c:pt idx="4422">
                  <c:v>-2.7313421253742101E-2</c:v>
                </c:pt>
                <c:pt idx="4423">
                  <c:v>-3.4832439309490815E-2</c:v>
                </c:pt>
                <c:pt idx="4424">
                  <c:v>7.3407542080657431E-3</c:v>
                </c:pt>
                <c:pt idx="4425">
                  <c:v>-2.4014396270609098E-2</c:v>
                </c:pt>
                <c:pt idx="4426">
                  <c:v>1.7779080916656104E-2</c:v>
                </c:pt>
                <c:pt idx="4427">
                  <c:v>1.0999415284224113E-2</c:v>
                </c:pt>
                <c:pt idx="4428">
                  <c:v>3.704243820007231E-2</c:v>
                </c:pt>
                <c:pt idx="4429">
                  <c:v>-2.0799977095757503E-2</c:v>
                </c:pt>
                <c:pt idx="4430">
                  <c:v>-2.5310716675798837E-2</c:v>
                </c:pt>
                <c:pt idx="4431">
                  <c:v>-1.8355195638842206E-2</c:v>
                </c:pt>
                <c:pt idx="4432">
                  <c:v>5.5235677663862861E-3</c:v>
                </c:pt>
                <c:pt idx="4433">
                  <c:v>5.229746257726782E-2</c:v>
                </c:pt>
                <c:pt idx="4434">
                  <c:v>-1.0341824171117881E-2</c:v>
                </c:pt>
                <c:pt idx="4435">
                  <c:v>1.1612942251851588E-2</c:v>
                </c:pt>
                <c:pt idx="4436">
                  <c:v>-5.2209524063409486E-2</c:v>
                </c:pt>
                <c:pt idx="4437">
                  <c:v>3.2585495346866195E-2</c:v>
                </c:pt>
                <c:pt idx="4438">
                  <c:v>-2.3932338700899461E-2</c:v>
                </c:pt>
                <c:pt idx="4439">
                  <c:v>-1.4944020536307015E-2</c:v>
                </c:pt>
                <c:pt idx="4440">
                  <c:v>1.5436287950617062E-2</c:v>
                </c:pt>
                <c:pt idx="4441">
                  <c:v>-6.7602560863426545E-3</c:v>
                </c:pt>
                <c:pt idx="4442">
                  <c:v>-1.6767465301657596E-4</c:v>
                </c:pt>
                <c:pt idx="4443">
                  <c:v>-1.0985092314571324E-3</c:v>
                </c:pt>
                <c:pt idx="4444">
                  <c:v>3.9391665873245531E-2</c:v>
                </c:pt>
                <c:pt idx="4445">
                  <c:v>-6.8886210430866273E-3</c:v>
                </c:pt>
                <c:pt idx="4446">
                  <c:v>-5.2354566503117338E-2</c:v>
                </c:pt>
                <c:pt idx="4447">
                  <c:v>1.0056176080666316E-2</c:v>
                </c:pt>
                <c:pt idx="4448">
                  <c:v>-1.0249777898708618E-2</c:v>
                </c:pt>
                <c:pt idx="4449">
                  <c:v>1.3910183681019981E-2</c:v>
                </c:pt>
                <c:pt idx="4450">
                  <c:v>-2.6814992681961764E-2</c:v>
                </c:pt>
                <c:pt idx="4451">
                  <c:v>-9.991713257767907E-3</c:v>
                </c:pt>
                <c:pt idx="4452">
                  <c:v>9.0887269884875107E-3</c:v>
                </c:pt>
                <c:pt idx="4453">
                  <c:v>-7.5273566424958853E-3</c:v>
                </c:pt>
                <c:pt idx="4454">
                  <c:v>2.0059545636066364E-2</c:v>
                </c:pt>
                <c:pt idx="4455">
                  <c:v>-5.446571546153342E-3</c:v>
                </c:pt>
                <c:pt idx="4456">
                  <c:v>-2.6856816027418223E-2</c:v>
                </c:pt>
                <c:pt idx="4457">
                  <c:v>1.9208853241908866E-2</c:v>
                </c:pt>
                <c:pt idx="4458">
                  <c:v>-4.7307795653459758E-3</c:v>
                </c:pt>
                <c:pt idx="4459">
                  <c:v>2.8598819222599485E-2</c:v>
                </c:pt>
                <c:pt idx="4460">
                  <c:v>1.0381345095096996E-2</c:v>
                </c:pt>
                <c:pt idx="4461">
                  <c:v>1.5712488893598137E-2</c:v>
                </c:pt>
                <c:pt idx="4462">
                  <c:v>-2.0034081447557763E-3</c:v>
                </c:pt>
                <c:pt idx="4463">
                  <c:v>3.3304691827350706E-2</c:v>
                </c:pt>
                <c:pt idx="4464">
                  <c:v>1.8867278637026308E-2</c:v>
                </c:pt>
                <c:pt idx="4465">
                  <c:v>-2.7205019568203655E-2</c:v>
                </c:pt>
                <c:pt idx="4466">
                  <c:v>9.1342549509270555E-3</c:v>
                </c:pt>
                <c:pt idx="4467">
                  <c:v>-1.678893691124992E-2</c:v>
                </c:pt>
                <c:pt idx="4468">
                  <c:v>-1.2098031142011613E-2</c:v>
                </c:pt>
                <c:pt idx="4469">
                  <c:v>-3.9413694563841452E-2</c:v>
                </c:pt>
                <c:pt idx="4470">
                  <c:v>2.9335302523577885E-3</c:v>
                </c:pt>
                <c:pt idx="4471">
                  <c:v>-1.6269592329337692E-2</c:v>
                </c:pt>
                <c:pt idx="4472">
                  <c:v>-2.8910651132596454E-2</c:v>
                </c:pt>
                <c:pt idx="4473">
                  <c:v>3.4324719790564839E-2</c:v>
                </c:pt>
                <c:pt idx="4474">
                  <c:v>2.1949387660106574E-2</c:v>
                </c:pt>
                <c:pt idx="4475">
                  <c:v>6.9620819760780536E-4</c:v>
                </c:pt>
                <c:pt idx="4476">
                  <c:v>-1.8716715292140602E-2</c:v>
                </c:pt>
                <c:pt idx="4477">
                  <c:v>3.6035206889174561E-2</c:v>
                </c:pt>
                <c:pt idx="4478">
                  <c:v>-1.3192112342252663E-2</c:v>
                </c:pt>
                <c:pt idx="4479">
                  <c:v>-1.2190772271228072E-2</c:v>
                </c:pt>
                <c:pt idx="4480">
                  <c:v>2.8150523543617235E-2</c:v>
                </c:pt>
                <c:pt idx="4481">
                  <c:v>-3.1549928433835879E-3</c:v>
                </c:pt>
                <c:pt idx="4482">
                  <c:v>2.8781716534757865E-2</c:v>
                </c:pt>
                <c:pt idx="4483">
                  <c:v>2.4167832564665297E-2</c:v>
                </c:pt>
                <c:pt idx="4484">
                  <c:v>2.0800581605662085E-2</c:v>
                </c:pt>
                <c:pt idx="4485">
                  <c:v>-9.8765045349569897E-3</c:v>
                </c:pt>
                <c:pt idx="4486">
                  <c:v>1.8899738026113104E-2</c:v>
                </c:pt>
                <c:pt idx="4487">
                  <c:v>-3.1432994822418243E-2</c:v>
                </c:pt>
                <c:pt idx="4488">
                  <c:v>1.4425625121849519E-2</c:v>
                </c:pt>
                <c:pt idx="4489">
                  <c:v>1.5010790067445523E-2</c:v>
                </c:pt>
                <c:pt idx="4490">
                  <c:v>1.3266538670114658E-2</c:v>
                </c:pt>
                <c:pt idx="4491">
                  <c:v>-4.2977915380974327E-2</c:v>
                </c:pt>
                <c:pt idx="4492">
                  <c:v>-2.8083105473210072E-2</c:v>
                </c:pt>
                <c:pt idx="4493">
                  <c:v>-6.7667090132278694E-3</c:v>
                </c:pt>
                <c:pt idx="4494">
                  <c:v>-3.3771829308721447E-2</c:v>
                </c:pt>
                <c:pt idx="4495">
                  <c:v>-6.6087010047375366E-3</c:v>
                </c:pt>
                <c:pt idx="4496">
                  <c:v>9.2016967756278888E-3</c:v>
                </c:pt>
                <c:pt idx="4497">
                  <c:v>-1.1045330723817789E-2</c:v>
                </c:pt>
                <c:pt idx="4498">
                  <c:v>8.3687695734548338E-3</c:v>
                </c:pt>
                <c:pt idx="4499">
                  <c:v>4.473273368846226E-3</c:v>
                </c:pt>
                <c:pt idx="4500">
                  <c:v>-1.1425240668113736E-2</c:v>
                </c:pt>
                <c:pt idx="4501">
                  <c:v>1.2398478400956326E-2</c:v>
                </c:pt>
                <c:pt idx="4502">
                  <c:v>-1.9582810652860778E-2</c:v>
                </c:pt>
                <c:pt idx="4503">
                  <c:v>-4.5903013251581554E-3</c:v>
                </c:pt>
                <c:pt idx="4504">
                  <c:v>2.7999278362345718E-2</c:v>
                </c:pt>
                <c:pt idx="4505">
                  <c:v>-4.0298240518875025E-2</c:v>
                </c:pt>
                <c:pt idx="4506">
                  <c:v>1.331468222166938E-2</c:v>
                </c:pt>
                <c:pt idx="4507">
                  <c:v>-2.7788465939220276E-2</c:v>
                </c:pt>
                <c:pt idx="4508">
                  <c:v>-3.503227831620648E-3</c:v>
                </c:pt>
                <c:pt idx="4509">
                  <c:v>-1.530782623207206E-2</c:v>
                </c:pt>
                <c:pt idx="4510">
                  <c:v>-9.4886092388392854E-3</c:v>
                </c:pt>
                <c:pt idx="4511">
                  <c:v>3.3760259997840998E-2</c:v>
                </c:pt>
                <c:pt idx="4512">
                  <c:v>-1.7689117581600015E-3</c:v>
                </c:pt>
                <c:pt idx="4513">
                  <c:v>-3.0929423959684604E-2</c:v>
                </c:pt>
                <c:pt idx="4514">
                  <c:v>2.4584166054237799E-2</c:v>
                </c:pt>
                <c:pt idx="4515">
                  <c:v>-2.376922896558319E-2</c:v>
                </c:pt>
                <c:pt idx="4516">
                  <c:v>1.2012657688659069E-2</c:v>
                </c:pt>
                <c:pt idx="4517">
                  <c:v>1.5531348864109996E-3</c:v>
                </c:pt>
                <c:pt idx="4518">
                  <c:v>5.7929871008195605E-3</c:v>
                </c:pt>
                <c:pt idx="4519">
                  <c:v>1.2381471282775695E-2</c:v>
                </c:pt>
                <c:pt idx="4520">
                  <c:v>2.2008617872726965E-2</c:v>
                </c:pt>
                <c:pt idx="4521">
                  <c:v>5.4410684175445548E-3</c:v>
                </c:pt>
                <c:pt idx="4522">
                  <c:v>-2.4351823700792721E-2</c:v>
                </c:pt>
                <c:pt idx="4523">
                  <c:v>3.4443058467538909E-2</c:v>
                </c:pt>
                <c:pt idx="4524">
                  <c:v>4.6224303618171113E-3</c:v>
                </c:pt>
                <c:pt idx="4525">
                  <c:v>1.8850012135786475E-2</c:v>
                </c:pt>
                <c:pt idx="4526">
                  <c:v>2.4814015746565374E-2</c:v>
                </c:pt>
                <c:pt idx="4527">
                  <c:v>-1.0329841044630524E-2</c:v>
                </c:pt>
                <c:pt idx="4528">
                  <c:v>3.6239209830573418E-3</c:v>
                </c:pt>
                <c:pt idx="4529">
                  <c:v>3.0623094470579289E-3</c:v>
                </c:pt>
                <c:pt idx="4530">
                  <c:v>-2.9658502789959053E-2</c:v>
                </c:pt>
                <c:pt idx="4531">
                  <c:v>-2.2286095843827517E-2</c:v>
                </c:pt>
                <c:pt idx="4532">
                  <c:v>2.8179395109944046E-2</c:v>
                </c:pt>
                <c:pt idx="4533">
                  <c:v>1.0305822254564331E-2</c:v>
                </c:pt>
                <c:pt idx="4534">
                  <c:v>-3.5931697520828226E-2</c:v>
                </c:pt>
                <c:pt idx="4535">
                  <c:v>-9.1638072018608695E-3</c:v>
                </c:pt>
                <c:pt idx="4536">
                  <c:v>-7.9115784406645195E-3</c:v>
                </c:pt>
                <c:pt idx="4537">
                  <c:v>-1.1087792937361233E-2</c:v>
                </c:pt>
                <c:pt idx="4538">
                  <c:v>1.6411764656982457E-2</c:v>
                </c:pt>
                <c:pt idx="4539">
                  <c:v>1.4109602313239938E-2</c:v>
                </c:pt>
                <c:pt idx="4540">
                  <c:v>-1.5339388150307404E-2</c:v>
                </c:pt>
                <c:pt idx="4541">
                  <c:v>1.2496427926213789E-2</c:v>
                </c:pt>
                <c:pt idx="4542">
                  <c:v>1.31793995866458E-3</c:v>
                </c:pt>
                <c:pt idx="4543">
                  <c:v>-3.1836864731243689E-3</c:v>
                </c:pt>
                <c:pt idx="4544">
                  <c:v>9.4997921451970245E-3</c:v>
                </c:pt>
                <c:pt idx="4545">
                  <c:v>-1.0089784493917937E-2</c:v>
                </c:pt>
                <c:pt idx="4546">
                  <c:v>-6.5494752311274523E-2</c:v>
                </c:pt>
                <c:pt idx="4547">
                  <c:v>1.595752204761456E-2</c:v>
                </c:pt>
                <c:pt idx="4548">
                  <c:v>-1.989178730990342E-2</c:v>
                </c:pt>
                <c:pt idx="4549">
                  <c:v>1.2612567023167947E-2</c:v>
                </c:pt>
                <c:pt idx="4550">
                  <c:v>-2.5222807562391841E-2</c:v>
                </c:pt>
                <c:pt idx="4551">
                  <c:v>2.2818743598428743E-2</c:v>
                </c:pt>
                <c:pt idx="4552">
                  <c:v>-2.4916398241806231E-2</c:v>
                </c:pt>
                <c:pt idx="4553">
                  <c:v>-2.1850551095897716E-2</c:v>
                </c:pt>
                <c:pt idx="4554">
                  <c:v>2.2587828707591132E-2</c:v>
                </c:pt>
                <c:pt idx="4555">
                  <c:v>-2.8093077889342989E-2</c:v>
                </c:pt>
                <c:pt idx="4556">
                  <c:v>-1.7100277485989747E-3</c:v>
                </c:pt>
                <c:pt idx="4557">
                  <c:v>9.9781916551642969E-3</c:v>
                </c:pt>
                <c:pt idx="4558">
                  <c:v>2.0202546196880233E-2</c:v>
                </c:pt>
                <c:pt idx="4559">
                  <c:v>4.4001642238583785E-2</c:v>
                </c:pt>
                <c:pt idx="4560">
                  <c:v>-1.5428089497025628E-2</c:v>
                </c:pt>
                <c:pt idx="4561">
                  <c:v>3.3263152881604897E-2</c:v>
                </c:pt>
                <c:pt idx="4562">
                  <c:v>3.7170545302024319E-3</c:v>
                </c:pt>
                <c:pt idx="4563">
                  <c:v>-4.415245979311716E-2</c:v>
                </c:pt>
                <c:pt idx="4564">
                  <c:v>-2.7532410156980536E-2</c:v>
                </c:pt>
                <c:pt idx="4565">
                  <c:v>2.1386873249208349E-2</c:v>
                </c:pt>
                <c:pt idx="4566">
                  <c:v>8.3445524561255972E-3</c:v>
                </c:pt>
                <c:pt idx="4567">
                  <c:v>-3.4105317453449566E-2</c:v>
                </c:pt>
                <c:pt idx="4568">
                  <c:v>3.6576236895363594E-2</c:v>
                </c:pt>
                <c:pt idx="4569">
                  <c:v>-7.7698519632042563E-4</c:v>
                </c:pt>
                <c:pt idx="4570">
                  <c:v>-2.6356203206534565E-2</c:v>
                </c:pt>
                <c:pt idx="4571">
                  <c:v>-1.2470077208990016E-2</c:v>
                </c:pt>
                <c:pt idx="4572">
                  <c:v>2.4007224819538892E-3</c:v>
                </c:pt>
                <c:pt idx="4573">
                  <c:v>4.1583294377100302E-2</c:v>
                </c:pt>
                <c:pt idx="4574">
                  <c:v>4.0307110239398126E-2</c:v>
                </c:pt>
                <c:pt idx="4575">
                  <c:v>1.1384031628978226E-2</c:v>
                </c:pt>
                <c:pt idx="4576">
                  <c:v>-2.3233570122080143E-2</c:v>
                </c:pt>
                <c:pt idx="4577">
                  <c:v>3.1019409944288904E-3</c:v>
                </c:pt>
                <c:pt idx="4578">
                  <c:v>2.0788545741721773E-2</c:v>
                </c:pt>
                <c:pt idx="4579">
                  <c:v>-2.5696409813232581E-3</c:v>
                </c:pt>
                <c:pt idx="4580">
                  <c:v>-2.2852349272178336E-2</c:v>
                </c:pt>
                <c:pt idx="4581">
                  <c:v>-9.4204265145549897E-3</c:v>
                </c:pt>
                <c:pt idx="4582">
                  <c:v>-4.2868109464737156E-3</c:v>
                </c:pt>
                <c:pt idx="4583">
                  <c:v>-5.2946924200090319E-2</c:v>
                </c:pt>
                <c:pt idx="4584">
                  <c:v>2.76655864525285E-2</c:v>
                </c:pt>
                <c:pt idx="4585">
                  <c:v>5.1846404698641407E-2</c:v>
                </c:pt>
                <c:pt idx="4586">
                  <c:v>3.6769066476180414E-4</c:v>
                </c:pt>
                <c:pt idx="4587">
                  <c:v>-3.2623736327030375E-2</c:v>
                </c:pt>
                <c:pt idx="4588">
                  <c:v>8.2270356175536737E-3</c:v>
                </c:pt>
                <c:pt idx="4589">
                  <c:v>-2.1567302802664865E-2</c:v>
                </c:pt>
                <c:pt idx="4590">
                  <c:v>-2.3182797043512577E-2</c:v>
                </c:pt>
                <c:pt idx="4591">
                  <c:v>-1.6797824229340449E-3</c:v>
                </c:pt>
                <c:pt idx="4592">
                  <c:v>2.4052118093901762E-2</c:v>
                </c:pt>
                <c:pt idx="4593">
                  <c:v>-1.0554786462938823E-2</c:v>
                </c:pt>
                <c:pt idx="4594">
                  <c:v>-2.0534330991091924E-2</c:v>
                </c:pt>
                <c:pt idx="4595">
                  <c:v>-7.8734102066416005E-3</c:v>
                </c:pt>
                <c:pt idx="4596">
                  <c:v>2.2777795451013303E-2</c:v>
                </c:pt>
                <c:pt idx="4597">
                  <c:v>-5.3698253226093819E-3</c:v>
                </c:pt>
                <c:pt idx="4598">
                  <c:v>-4.1468097079912357E-2</c:v>
                </c:pt>
                <c:pt idx="4599">
                  <c:v>-4.4260417163108912E-2</c:v>
                </c:pt>
                <c:pt idx="4600">
                  <c:v>-2.5449376297579793E-2</c:v>
                </c:pt>
                <c:pt idx="4601">
                  <c:v>-1.2011320947363501E-2</c:v>
                </c:pt>
                <c:pt idx="4602">
                  <c:v>-1.2525124273023013E-2</c:v>
                </c:pt>
                <c:pt idx="4603">
                  <c:v>-2.8091993891478654E-2</c:v>
                </c:pt>
                <c:pt idx="4604">
                  <c:v>8.3189407025914524E-3</c:v>
                </c:pt>
                <c:pt idx="4605">
                  <c:v>-6.9227796214845951E-3</c:v>
                </c:pt>
                <c:pt idx="4606">
                  <c:v>-2.5071854338045187E-2</c:v>
                </c:pt>
                <c:pt idx="4607">
                  <c:v>-4.9530109114516666E-3</c:v>
                </c:pt>
                <c:pt idx="4608">
                  <c:v>-4.0543003860180241E-2</c:v>
                </c:pt>
                <c:pt idx="4609">
                  <c:v>-4.2411295262664763E-3</c:v>
                </c:pt>
                <c:pt idx="4610">
                  <c:v>-1.3054998367579744E-2</c:v>
                </c:pt>
                <c:pt idx="4611">
                  <c:v>-1.7574896510102445E-3</c:v>
                </c:pt>
                <c:pt idx="4612">
                  <c:v>-2.5367971342483361E-2</c:v>
                </c:pt>
                <c:pt idx="4613">
                  <c:v>-8.299429745214866E-3</c:v>
                </c:pt>
                <c:pt idx="4614">
                  <c:v>-8.6768595480355998E-3</c:v>
                </c:pt>
                <c:pt idx="4615">
                  <c:v>-1.5830065412954359E-2</c:v>
                </c:pt>
                <c:pt idx="4616">
                  <c:v>5.9925261586443859E-2</c:v>
                </c:pt>
                <c:pt idx="4617">
                  <c:v>-2.8208515742001419E-2</c:v>
                </c:pt>
                <c:pt idx="4618">
                  <c:v>-2.8431634747528606E-2</c:v>
                </c:pt>
                <c:pt idx="4619">
                  <c:v>1.5995074276965629E-2</c:v>
                </c:pt>
                <c:pt idx="4620">
                  <c:v>8.4046707961403979E-3</c:v>
                </c:pt>
                <c:pt idx="4621">
                  <c:v>9.7584860693839264E-4</c:v>
                </c:pt>
                <c:pt idx="4622">
                  <c:v>4.0928779593511055E-3</c:v>
                </c:pt>
                <c:pt idx="4623">
                  <c:v>1.0169993641030549E-2</c:v>
                </c:pt>
                <c:pt idx="4624">
                  <c:v>2.4851034715101931E-3</c:v>
                </c:pt>
                <c:pt idx="4625">
                  <c:v>4.9026570079354452E-3</c:v>
                </c:pt>
                <c:pt idx="4626">
                  <c:v>-1.3321271999037175E-3</c:v>
                </c:pt>
                <c:pt idx="4627">
                  <c:v>-1.2299245740413729E-4</c:v>
                </c:pt>
                <c:pt idx="4628">
                  <c:v>-1.7610161352919419E-2</c:v>
                </c:pt>
                <c:pt idx="4629">
                  <c:v>-2.1784251288440335E-2</c:v>
                </c:pt>
                <c:pt idx="4630">
                  <c:v>-3.1365007983368505E-2</c:v>
                </c:pt>
                <c:pt idx="4631">
                  <c:v>-8.7195767432937093E-3</c:v>
                </c:pt>
                <c:pt idx="4632">
                  <c:v>7.4608257763188884E-3</c:v>
                </c:pt>
                <c:pt idx="4633">
                  <c:v>-5.0998937239784776E-2</c:v>
                </c:pt>
                <c:pt idx="4634">
                  <c:v>-1.0817877603196422E-2</c:v>
                </c:pt>
                <c:pt idx="4635">
                  <c:v>-7.4071379812167201E-3</c:v>
                </c:pt>
                <c:pt idx="4636">
                  <c:v>-8.8220969468117694E-3</c:v>
                </c:pt>
                <c:pt idx="4637">
                  <c:v>-9.2257604319592075E-3</c:v>
                </c:pt>
                <c:pt idx="4638">
                  <c:v>2.4109339166589775E-3</c:v>
                </c:pt>
                <c:pt idx="4639">
                  <c:v>3.3047956086299908E-2</c:v>
                </c:pt>
                <c:pt idx="4640">
                  <c:v>1.5803360756858436E-3</c:v>
                </c:pt>
                <c:pt idx="4641">
                  <c:v>-5.1284265899181565E-2</c:v>
                </c:pt>
                <c:pt idx="4642">
                  <c:v>1.8913251267712407E-2</c:v>
                </c:pt>
                <c:pt idx="4643">
                  <c:v>1.4682636105545179E-2</c:v>
                </c:pt>
                <c:pt idx="4644">
                  <c:v>-3.1433696065357987E-2</c:v>
                </c:pt>
                <c:pt idx="4645">
                  <c:v>2.2612705506574952E-2</c:v>
                </c:pt>
                <c:pt idx="4646">
                  <c:v>2.1759642421929046E-2</c:v>
                </c:pt>
                <c:pt idx="4647">
                  <c:v>9.1964928323791956E-3</c:v>
                </c:pt>
                <c:pt idx="4648">
                  <c:v>7.2759589074354262E-3</c:v>
                </c:pt>
                <c:pt idx="4649">
                  <c:v>-1.5683655752923284E-2</c:v>
                </c:pt>
                <c:pt idx="4650">
                  <c:v>2.3298368168941E-2</c:v>
                </c:pt>
                <c:pt idx="4651">
                  <c:v>-1.2141878377244413E-3</c:v>
                </c:pt>
                <c:pt idx="4652">
                  <c:v>2.5949260443074822E-2</c:v>
                </c:pt>
                <c:pt idx="4653">
                  <c:v>1.5772732946769476E-2</c:v>
                </c:pt>
                <c:pt idx="4654">
                  <c:v>6.8007791789951606E-3</c:v>
                </c:pt>
                <c:pt idx="4655">
                  <c:v>-7.2004154718707768E-3</c:v>
                </c:pt>
                <c:pt idx="4656">
                  <c:v>1.8235641333416232E-2</c:v>
                </c:pt>
                <c:pt idx="4657">
                  <c:v>6.9229288614771536E-3</c:v>
                </c:pt>
                <c:pt idx="4658">
                  <c:v>2.117772875936702E-2</c:v>
                </c:pt>
                <c:pt idx="4659">
                  <c:v>-3.1490444355827076E-3</c:v>
                </c:pt>
                <c:pt idx="4660">
                  <c:v>3.6205904437710282E-2</c:v>
                </c:pt>
                <c:pt idx="4661">
                  <c:v>7.333902984079016E-2</c:v>
                </c:pt>
                <c:pt idx="4662">
                  <c:v>1.9561609237843891E-2</c:v>
                </c:pt>
                <c:pt idx="4663">
                  <c:v>-8.7656211021315249E-3</c:v>
                </c:pt>
                <c:pt idx="4664">
                  <c:v>3.3174681438385728E-2</c:v>
                </c:pt>
                <c:pt idx="4665">
                  <c:v>2.3049932052147417E-2</c:v>
                </c:pt>
                <c:pt idx="4666">
                  <c:v>2.0492806672294341E-2</c:v>
                </c:pt>
                <c:pt idx="4667">
                  <c:v>3.1849678705269467E-2</c:v>
                </c:pt>
                <c:pt idx="4668">
                  <c:v>-2.9244439801123821E-2</c:v>
                </c:pt>
                <c:pt idx="4669">
                  <c:v>-2.7513710022851446E-4</c:v>
                </c:pt>
                <c:pt idx="4670">
                  <c:v>-7.934645774567128E-3</c:v>
                </c:pt>
                <c:pt idx="4671">
                  <c:v>1.3737248948157577E-2</c:v>
                </c:pt>
                <c:pt idx="4672">
                  <c:v>1.9075865864835026E-3</c:v>
                </c:pt>
                <c:pt idx="4673">
                  <c:v>-1.6645946461794701E-2</c:v>
                </c:pt>
                <c:pt idx="4674">
                  <c:v>2.7345059508525456E-2</c:v>
                </c:pt>
                <c:pt idx="4675">
                  <c:v>6.9635292830372546E-3</c:v>
                </c:pt>
                <c:pt idx="4676">
                  <c:v>5.4833771189543509E-3</c:v>
                </c:pt>
                <c:pt idx="4677">
                  <c:v>-8.1100704181945194E-3</c:v>
                </c:pt>
                <c:pt idx="4678">
                  <c:v>3.0747642535848174E-2</c:v>
                </c:pt>
                <c:pt idx="4679">
                  <c:v>-1.3110696641242014E-2</c:v>
                </c:pt>
                <c:pt idx="4680">
                  <c:v>-3.1292223346758095E-2</c:v>
                </c:pt>
                <c:pt idx="4681">
                  <c:v>1.0779949812125954E-2</c:v>
                </c:pt>
                <c:pt idx="4682">
                  <c:v>-4.2198556686396549E-2</c:v>
                </c:pt>
                <c:pt idx="4683">
                  <c:v>-2.6996372299625156E-2</c:v>
                </c:pt>
                <c:pt idx="4684">
                  <c:v>-4.3053610070577814E-2</c:v>
                </c:pt>
                <c:pt idx="4685">
                  <c:v>-1.3447574748729244E-2</c:v>
                </c:pt>
                <c:pt idx="4686">
                  <c:v>2.8892383332953069E-3</c:v>
                </c:pt>
                <c:pt idx="4687">
                  <c:v>-4.9086871592920189E-3</c:v>
                </c:pt>
                <c:pt idx="4688">
                  <c:v>8.8502802251311623E-3</c:v>
                </c:pt>
                <c:pt idx="4689">
                  <c:v>1.3386733027757025E-2</c:v>
                </c:pt>
                <c:pt idx="4690">
                  <c:v>1.851723876979993E-2</c:v>
                </c:pt>
                <c:pt idx="4691">
                  <c:v>-6.7082944065979828E-3</c:v>
                </c:pt>
                <c:pt idx="4692">
                  <c:v>1.2884300656122873E-2</c:v>
                </c:pt>
                <c:pt idx="4693">
                  <c:v>-1.1449456382357621E-2</c:v>
                </c:pt>
                <c:pt idx="4694">
                  <c:v>-1.9129207193018832E-2</c:v>
                </c:pt>
                <c:pt idx="4695">
                  <c:v>8.2575513468955315E-3</c:v>
                </c:pt>
                <c:pt idx="4696">
                  <c:v>-1.9392375010896181E-3</c:v>
                </c:pt>
                <c:pt idx="4697">
                  <c:v>-2.839150253627111E-2</c:v>
                </c:pt>
                <c:pt idx="4698">
                  <c:v>2.4674393549716091E-2</c:v>
                </c:pt>
                <c:pt idx="4699">
                  <c:v>4.3569506622851438E-2</c:v>
                </c:pt>
                <c:pt idx="4700">
                  <c:v>8.3683169795836822E-3</c:v>
                </c:pt>
                <c:pt idx="4701">
                  <c:v>-4.142277687384557E-3</c:v>
                </c:pt>
                <c:pt idx="4702">
                  <c:v>-2.2837331006571426E-2</c:v>
                </c:pt>
                <c:pt idx="4703">
                  <c:v>-2.8903679166696297E-2</c:v>
                </c:pt>
                <c:pt idx="4704">
                  <c:v>-2.9387670957528596E-2</c:v>
                </c:pt>
                <c:pt idx="4705">
                  <c:v>-2.1278790659180719E-2</c:v>
                </c:pt>
                <c:pt idx="4706">
                  <c:v>1.9231448011099054E-2</c:v>
                </c:pt>
                <c:pt idx="4707">
                  <c:v>-2.4314084830652151E-2</c:v>
                </c:pt>
                <c:pt idx="4708">
                  <c:v>-1.1773205729349962E-2</c:v>
                </c:pt>
                <c:pt idx="4709">
                  <c:v>-1.7678268642636167E-2</c:v>
                </c:pt>
                <c:pt idx="4710">
                  <c:v>3.9245081603234484E-2</c:v>
                </c:pt>
                <c:pt idx="4711">
                  <c:v>1.6307222556503107E-2</c:v>
                </c:pt>
                <c:pt idx="4712">
                  <c:v>-1.1451829421217519E-3</c:v>
                </c:pt>
                <c:pt idx="4713">
                  <c:v>1.3353094452079047E-2</c:v>
                </c:pt>
                <c:pt idx="4714">
                  <c:v>-2.4955287457495024E-2</c:v>
                </c:pt>
                <c:pt idx="4715">
                  <c:v>1.4876685618493266E-2</c:v>
                </c:pt>
                <c:pt idx="4716">
                  <c:v>-1.133619551459916E-2</c:v>
                </c:pt>
                <c:pt idx="4717">
                  <c:v>-1.3973464368074971E-2</c:v>
                </c:pt>
                <c:pt idx="4718">
                  <c:v>4.1657407928089231E-2</c:v>
                </c:pt>
                <c:pt idx="4719">
                  <c:v>-4.482337962152181E-2</c:v>
                </c:pt>
                <c:pt idx="4720">
                  <c:v>-2.1486597353668601E-2</c:v>
                </c:pt>
                <c:pt idx="4721">
                  <c:v>-1.0591883188618943E-2</c:v>
                </c:pt>
                <c:pt idx="4722">
                  <c:v>1.2162181323697487E-2</c:v>
                </c:pt>
                <c:pt idx="4723">
                  <c:v>1.350967312804283E-2</c:v>
                </c:pt>
                <c:pt idx="4724">
                  <c:v>-4.5409442927087151E-2</c:v>
                </c:pt>
                <c:pt idx="4725">
                  <c:v>4.4674044974783361E-2</c:v>
                </c:pt>
                <c:pt idx="4726">
                  <c:v>-7.2263367289419856E-4</c:v>
                </c:pt>
                <c:pt idx="4727">
                  <c:v>5.1622100052770934E-3</c:v>
                </c:pt>
                <c:pt idx="4728">
                  <c:v>-2.859278820589602E-2</c:v>
                </c:pt>
                <c:pt idx="4729">
                  <c:v>-2.1598425711183467E-2</c:v>
                </c:pt>
                <c:pt idx="4730">
                  <c:v>-1.8050742851637258E-3</c:v>
                </c:pt>
                <c:pt idx="4731">
                  <c:v>-3.6089013455712582E-2</c:v>
                </c:pt>
                <c:pt idx="4732">
                  <c:v>-8.0387343167905474E-3</c:v>
                </c:pt>
                <c:pt idx="4733">
                  <c:v>-1.5579735294922757E-2</c:v>
                </c:pt>
                <c:pt idx="4734">
                  <c:v>1.4723116073657748E-2</c:v>
                </c:pt>
                <c:pt idx="4735">
                  <c:v>-2.8274902734625022E-2</c:v>
                </c:pt>
                <c:pt idx="4736">
                  <c:v>3.7333165949651401E-2</c:v>
                </c:pt>
                <c:pt idx="4737">
                  <c:v>-7.8912710221218096E-3</c:v>
                </c:pt>
                <c:pt idx="4738">
                  <c:v>-3.9698977802362298E-2</c:v>
                </c:pt>
                <c:pt idx="4739">
                  <c:v>-4.8650007288186414E-2</c:v>
                </c:pt>
                <c:pt idx="4740">
                  <c:v>-5.3202069596495934E-3</c:v>
                </c:pt>
                <c:pt idx="4741">
                  <c:v>3.7789440695496834E-2</c:v>
                </c:pt>
                <c:pt idx="4742">
                  <c:v>8.2111209255579964E-2</c:v>
                </c:pt>
                <c:pt idx="4743">
                  <c:v>-5.3449586452132582E-3</c:v>
                </c:pt>
                <c:pt idx="4744">
                  <c:v>-5.1565190338181452E-2</c:v>
                </c:pt>
                <c:pt idx="4745">
                  <c:v>1.7913696207350348E-2</c:v>
                </c:pt>
                <c:pt idx="4746">
                  <c:v>3.8666936154418304E-2</c:v>
                </c:pt>
                <c:pt idx="4747">
                  <c:v>6.8827871163846019E-2</c:v>
                </c:pt>
                <c:pt idx="4748">
                  <c:v>2.1413844279841728E-2</c:v>
                </c:pt>
                <c:pt idx="4749">
                  <c:v>4.4034689681816371E-3</c:v>
                </c:pt>
                <c:pt idx="4750">
                  <c:v>1.952089215823246E-2</c:v>
                </c:pt>
                <c:pt idx="4751">
                  <c:v>4.5213829420379693E-2</c:v>
                </c:pt>
                <c:pt idx="4752">
                  <c:v>6.5103109063054221E-2</c:v>
                </c:pt>
                <c:pt idx="4753">
                  <c:v>-3.9517481561140613E-2</c:v>
                </c:pt>
                <c:pt idx="4754">
                  <c:v>6.7600707143413125E-2</c:v>
                </c:pt>
                <c:pt idx="4755">
                  <c:v>1.5910953679903677E-2</c:v>
                </c:pt>
                <c:pt idx="4756">
                  <c:v>2.985512915075917E-2</c:v>
                </c:pt>
                <c:pt idx="4757">
                  <c:v>3.62199126074269E-2</c:v>
                </c:pt>
                <c:pt idx="4758">
                  <c:v>-3.3577736049775153E-2</c:v>
                </c:pt>
                <c:pt idx="4759">
                  <c:v>9.958170447084351E-3</c:v>
                </c:pt>
                <c:pt idx="4760">
                  <c:v>1.3584051714387983E-4</c:v>
                </c:pt>
                <c:pt idx="4761">
                  <c:v>3.5551309973628084E-2</c:v>
                </c:pt>
                <c:pt idx="4762">
                  <c:v>-1.5980904156874727E-3</c:v>
                </c:pt>
                <c:pt idx="4763">
                  <c:v>-8.378538890444669E-3</c:v>
                </c:pt>
                <c:pt idx="4764">
                  <c:v>3.1178089253055222E-2</c:v>
                </c:pt>
                <c:pt idx="4765">
                  <c:v>-8.7369851651322768E-3</c:v>
                </c:pt>
                <c:pt idx="4766">
                  <c:v>3.2825817783199346E-2</c:v>
                </c:pt>
                <c:pt idx="4767">
                  <c:v>-1.3944135241467957E-2</c:v>
                </c:pt>
                <c:pt idx="4768">
                  <c:v>-7.5103819368399103E-4</c:v>
                </c:pt>
                <c:pt idx="4769">
                  <c:v>-1.4637768729206531E-2</c:v>
                </c:pt>
                <c:pt idx="4770">
                  <c:v>-2.1061591405022714E-2</c:v>
                </c:pt>
                <c:pt idx="4771">
                  <c:v>8.5391569518964445E-3</c:v>
                </c:pt>
                <c:pt idx="4772">
                  <c:v>-1.9020844562803289E-2</c:v>
                </c:pt>
                <c:pt idx="4773">
                  <c:v>-2.615784145038056E-2</c:v>
                </c:pt>
                <c:pt idx="4774">
                  <c:v>-2.4747220874460547E-4</c:v>
                </c:pt>
                <c:pt idx="4775">
                  <c:v>3.8281844330493579E-2</c:v>
                </c:pt>
                <c:pt idx="4776">
                  <c:v>-4.653469637631618E-3</c:v>
                </c:pt>
                <c:pt idx="4777">
                  <c:v>1.8734343885462384E-2</c:v>
                </c:pt>
                <c:pt idx="4778">
                  <c:v>-9.1918801150954795E-3</c:v>
                </c:pt>
                <c:pt idx="4779">
                  <c:v>-2.3380283396547515E-2</c:v>
                </c:pt>
                <c:pt idx="4780">
                  <c:v>-2.7776382343916114E-3</c:v>
                </c:pt>
                <c:pt idx="4781">
                  <c:v>8.2276105413503619E-3</c:v>
                </c:pt>
                <c:pt idx="4782">
                  <c:v>1.2069071759926884E-2</c:v>
                </c:pt>
                <c:pt idx="4783">
                  <c:v>-3.7469968683994243E-2</c:v>
                </c:pt>
                <c:pt idx="4784">
                  <c:v>-5.1618485548256075E-3</c:v>
                </c:pt>
                <c:pt idx="4785">
                  <c:v>-7.636606442224499E-3</c:v>
                </c:pt>
                <c:pt idx="4786">
                  <c:v>4.9567359322269397E-2</c:v>
                </c:pt>
                <c:pt idx="4787">
                  <c:v>-1.9301225644096909E-2</c:v>
                </c:pt>
                <c:pt idx="4788">
                  <c:v>1.1154111010532215E-2</c:v>
                </c:pt>
                <c:pt idx="4789">
                  <c:v>4.7540042260267599E-3</c:v>
                </c:pt>
                <c:pt idx="4790">
                  <c:v>-5.980098671515971E-3</c:v>
                </c:pt>
                <c:pt idx="4791">
                  <c:v>-4.2652594225425437E-2</c:v>
                </c:pt>
                <c:pt idx="4792">
                  <c:v>2.1726879995607639E-2</c:v>
                </c:pt>
                <c:pt idx="4793">
                  <c:v>1.1424297726091668E-2</c:v>
                </c:pt>
                <c:pt idx="4794">
                  <c:v>7.1514548170288211E-3</c:v>
                </c:pt>
                <c:pt idx="4795">
                  <c:v>-1.8470335500297929E-2</c:v>
                </c:pt>
                <c:pt idx="4796">
                  <c:v>-1.9656215501362567E-2</c:v>
                </c:pt>
                <c:pt idx="4797">
                  <c:v>-4.876178106181725E-3</c:v>
                </c:pt>
                <c:pt idx="4798">
                  <c:v>-5.0044982017504076E-2</c:v>
                </c:pt>
                <c:pt idx="4799">
                  <c:v>1.5490613723448069E-2</c:v>
                </c:pt>
                <c:pt idx="4800">
                  <c:v>8.7780215254725201E-3</c:v>
                </c:pt>
                <c:pt idx="4801">
                  <c:v>-2.8269141314976886E-2</c:v>
                </c:pt>
                <c:pt idx="4802">
                  <c:v>3.324509853157962E-3</c:v>
                </c:pt>
                <c:pt idx="4803">
                  <c:v>4.0028979454224442E-2</c:v>
                </c:pt>
                <c:pt idx="4804">
                  <c:v>-4.7206374878469449E-3</c:v>
                </c:pt>
                <c:pt idx="4805">
                  <c:v>-2.5571461480864238E-2</c:v>
                </c:pt>
                <c:pt idx="4806">
                  <c:v>5.2130718406275516E-3</c:v>
                </c:pt>
                <c:pt idx="4807">
                  <c:v>-3.8138201833363465E-2</c:v>
                </c:pt>
                <c:pt idx="4808">
                  <c:v>3.1719429067718449E-2</c:v>
                </c:pt>
                <c:pt idx="4809">
                  <c:v>-1.4873296352943096E-2</c:v>
                </c:pt>
                <c:pt idx="4810">
                  <c:v>-1.5527690249838483E-2</c:v>
                </c:pt>
                <c:pt idx="4811">
                  <c:v>-2.9286883836711498E-2</c:v>
                </c:pt>
                <c:pt idx="4812">
                  <c:v>-2.1889811207670435E-2</c:v>
                </c:pt>
                <c:pt idx="4813">
                  <c:v>1.5843783031842355E-3</c:v>
                </c:pt>
                <c:pt idx="4814">
                  <c:v>-1.8674384193115862E-3</c:v>
                </c:pt>
                <c:pt idx="4815">
                  <c:v>1.889632937146905E-2</c:v>
                </c:pt>
                <c:pt idx="4816">
                  <c:v>4.963660998345287E-4</c:v>
                </c:pt>
                <c:pt idx="4817">
                  <c:v>6.1896645500866734E-3</c:v>
                </c:pt>
                <c:pt idx="4818">
                  <c:v>3.5035085466172275E-2</c:v>
                </c:pt>
                <c:pt idx="4819">
                  <c:v>1.1626070944316572E-2</c:v>
                </c:pt>
                <c:pt idx="4820">
                  <c:v>1.06936122523615E-2</c:v>
                </c:pt>
                <c:pt idx="4821">
                  <c:v>2.3281997865802127E-2</c:v>
                </c:pt>
                <c:pt idx="4822">
                  <c:v>1.4877995056045803E-2</c:v>
                </c:pt>
                <c:pt idx="4823">
                  <c:v>4.8625714570478464E-2</c:v>
                </c:pt>
                <c:pt idx="4824">
                  <c:v>-2.2041479304137999E-3</c:v>
                </c:pt>
                <c:pt idx="4825">
                  <c:v>-2.7228750324359126E-2</c:v>
                </c:pt>
                <c:pt idx="4826">
                  <c:v>5.6473056175380953E-4</c:v>
                </c:pt>
                <c:pt idx="4827">
                  <c:v>-3.980360884799708E-3</c:v>
                </c:pt>
                <c:pt idx="4828">
                  <c:v>-6.3316488401220349E-3</c:v>
                </c:pt>
                <c:pt idx="4829">
                  <c:v>5.2545702982003901E-2</c:v>
                </c:pt>
                <c:pt idx="4830">
                  <c:v>2.5493138190065137E-3</c:v>
                </c:pt>
                <c:pt idx="4831">
                  <c:v>-1.2687966493275147E-2</c:v>
                </c:pt>
                <c:pt idx="4832">
                  <c:v>2.3547390938402066E-2</c:v>
                </c:pt>
                <c:pt idx="4833">
                  <c:v>-1.1285331821851471E-2</c:v>
                </c:pt>
                <c:pt idx="4834">
                  <c:v>-3.2300946018287029E-2</c:v>
                </c:pt>
                <c:pt idx="4835">
                  <c:v>8.8085176583665818E-3</c:v>
                </c:pt>
                <c:pt idx="4836">
                  <c:v>3.4853240028168309E-2</c:v>
                </c:pt>
                <c:pt idx="4837">
                  <c:v>-1.7468527995886805E-2</c:v>
                </c:pt>
                <c:pt idx="4838">
                  <c:v>-4.2484364618260023E-2</c:v>
                </c:pt>
                <c:pt idx="4839">
                  <c:v>-2.6381107830542646E-2</c:v>
                </c:pt>
                <c:pt idx="4840">
                  <c:v>-7.1712076169337391E-3</c:v>
                </c:pt>
                <c:pt idx="4841">
                  <c:v>-7.6966854250727149E-3</c:v>
                </c:pt>
                <c:pt idx="4842">
                  <c:v>-1.2227505691817474E-2</c:v>
                </c:pt>
                <c:pt idx="4843">
                  <c:v>-1.5814040870246456E-2</c:v>
                </c:pt>
                <c:pt idx="4844">
                  <c:v>5.5444352911129865E-3</c:v>
                </c:pt>
                <c:pt idx="4845">
                  <c:v>-2.290183301279264E-3</c:v>
                </c:pt>
                <c:pt idx="4846">
                  <c:v>-4.3070187053677531E-2</c:v>
                </c:pt>
                <c:pt idx="4847">
                  <c:v>3.2162639938651196E-3</c:v>
                </c:pt>
                <c:pt idx="4848">
                  <c:v>-1.5602299427627593E-2</c:v>
                </c:pt>
                <c:pt idx="4849">
                  <c:v>2.1021934165637433E-2</c:v>
                </c:pt>
                <c:pt idx="4850">
                  <c:v>1.6337017019081492E-2</c:v>
                </c:pt>
                <c:pt idx="4851">
                  <c:v>-4.7580223003912975E-3</c:v>
                </c:pt>
                <c:pt idx="4852">
                  <c:v>-1.0959671183944149E-3</c:v>
                </c:pt>
                <c:pt idx="4853">
                  <c:v>-1.3670220797351832E-2</c:v>
                </c:pt>
                <c:pt idx="4854">
                  <c:v>5.2958177914391481E-3</c:v>
                </c:pt>
                <c:pt idx="4855">
                  <c:v>-2.0654493005825797E-4</c:v>
                </c:pt>
                <c:pt idx="4856">
                  <c:v>-1.9506176629712841E-2</c:v>
                </c:pt>
                <c:pt idx="4857">
                  <c:v>1.6056843581995633E-2</c:v>
                </c:pt>
                <c:pt idx="4858">
                  <c:v>4.2986063177107153E-3</c:v>
                </c:pt>
                <c:pt idx="4859">
                  <c:v>2.5850767891921131E-2</c:v>
                </c:pt>
                <c:pt idx="4860">
                  <c:v>1.0145446702603356E-2</c:v>
                </c:pt>
                <c:pt idx="4861">
                  <c:v>1.5020504510668478E-2</c:v>
                </c:pt>
                <c:pt idx="4862">
                  <c:v>-4.6136782992937823E-2</c:v>
                </c:pt>
                <c:pt idx="4863">
                  <c:v>2.4479815457508353E-2</c:v>
                </c:pt>
                <c:pt idx="4864">
                  <c:v>2.4796075756600026E-2</c:v>
                </c:pt>
                <c:pt idx="4865">
                  <c:v>-1.5411397982748411E-2</c:v>
                </c:pt>
                <c:pt idx="4866">
                  <c:v>-2.4518830515251257E-2</c:v>
                </c:pt>
                <c:pt idx="4867">
                  <c:v>1.892299539610541E-2</c:v>
                </c:pt>
                <c:pt idx="4868">
                  <c:v>-1.2356593090551258E-2</c:v>
                </c:pt>
                <c:pt idx="4869">
                  <c:v>-9.6806314130746477E-3</c:v>
                </c:pt>
                <c:pt idx="4870">
                  <c:v>-1.8355299581117132E-2</c:v>
                </c:pt>
                <c:pt idx="4871">
                  <c:v>-1.7441931390554791E-2</c:v>
                </c:pt>
                <c:pt idx="4872">
                  <c:v>9.4121265019647266E-3</c:v>
                </c:pt>
                <c:pt idx="4873">
                  <c:v>-9.9391407251142312E-4</c:v>
                </c:pt>
                <c:pt idx="4874">
                  <c:v>9.4104823924124627E-4</c:v>
                </c:pt>
                <c:pt idx="4875">
                  <c:v>5.2121932319165835E-3</c:v>
                </c:pt>
                <c:pt idx="4876">
                  <c:v>3.7571535039034411E-2</c:v>
                </c:pt>
                <c:pt idx="4877">
                  <c:v>-2.2364689526586018E-2</c:v>
                </c:pt>
                <c:pt idx="4878">
                  <c:v>-2.8187003775605925E-3</c:v>
                </c:pt>
                <c:pt idx="4879">
                  <c:v>1.650386785343428E-2</c:v>
                </c:pt>
                <c:pt idx="4880">
                  <c:v>1.1927848924090066E-2</c:v>
                </c:pt>
                <c:pt idx="4881">
                  <c:v>5.0464669850725334E-2</c:v>
                </c:pt>
                <c:pt idx="4882">
                  <c:v>1.0082539870009424E-2</c:v>
                </c:pt>
                <c:pt idx="4883">
                  <c:v>2.4349156883024099E-2</c:v>
                </c:pt>
                <c:pt idx="4884">
                  <c:v>-6.2016431584265223E-2</c:v>
                </c:pt>
                <c:pt idx="4885">
                  <c:v>-1.5446895093875836E-2</c:v>
                </c:pt>
                <c:pt idx="4886">
                  <c:v>-8.4499357785785302E-3</c:v>
                </c:pt>
                <c:pt idx="4887">
                  <c:v>-3.5848338104257277E-2</c:v>
                </c:pt>
                <c:pt idx="4888">
                  <c:v>-2.3602793171296266E-2</c:v>
                </c:pt>
                <c:pt idx="4889">
                  <c:v>-4.5938471060541428E-2</c:v>
                </c:pt>
                <c:pt idx="4890">
                  <c:v>-3.3080266475765618E-3</c:v>
                </c:pt>
                <c:pt idx="4891">
                  <c:v>-1.1835176157856585E-2</c:v>
                </c:pt>
                <c:pt idx="4892">
                  <c:v>-3.1144300942554746E-2</c:v>
                </c:pt>
                <c:pt idx="4893">
                  <c:v>8.5958309495330308E-3</c:v>
                </c:pt>
                <c:pt idx="4894">
                  <c:v>8.9532002330932458E-3</c:v>
                </c:pt>
                <c:pt idx="4895">
                  <c:v>6.1667660207754031E-4</c:v>
                </c:pt>
                <c:pt idx="4896">
                  <c:v>3.333024598583692E-2</c:v>
                </c:pt>
                <c:pt idx="4897">
                  <c:v>2.020114993107322E-2</c:v>
                </c:pt>
                <c:pt idx="4898">
                  <c:v>3.6213923099860608E-2</c:v>
                </c:pt>
                <c:pt idx="4899">
                  <c:v>1.126924954595759E-2</c:v>
                </c:pt>
                <c:pt idx="4900">
                  <c:v>1.8652455142947284E-2</c:v>
                </c:pt>
                <c:pt idx="4901">
                  <c:v>-2.0383148554785763E-3</c:v>
                </c:pt>
                <c:pt idx="4902">
                  <c:v>-3.8718155984716777E-2</c:v>
                </c:pt>
                <c:pt idx="4903">
                  <c:v>-5.4841206118935025E-2</c:v>
                </c:pt>
                <c:pt idx="4904">
                  <c:v>3.2399135130385948E-2</c:v>
                </c:pt>
                <c:pt idx="4905">
                  <c:v>-1.998493979715145E-3</c:v>
                </c:pt>
                <c:pt idx="4906">
                  <c:v>-4.3922382805486292E-2</c:v>
                </c:pt>
                <c:pt idx="4907">
                  <c:v>2.9497936871629441E-2</c:v>
                </c:pt>
                <c:pt idx="4908">
                  <c:v>8.4310593118219687E-3</c:v>
                </c:pt>
                <c:pt idx="4909">
                  <c:v>-3.2651029551262652E-2</c:v>
                </c:pt>
                <c:pt idx="4910">
                  <c:v>-2.3056334730293834E-2</c:v>
                </c:pt>
                <c:pt idx="4911">
                  <c:v>2.6998502514674005E-2</c:v>
                </c:pt>
                <c:pt idx="4912">
                  <c:v>5.1294035575913041E-3</c:v>
                </c:pt>
                <c:pt idx="4913">
                  <c:v>-1.3941437971223299E-2</c:v>
                </c:pt>
                <c:pt idx="4914">
                  <c:v>2.8689547593796941E-2</c:v>
                </c:pt>
                <c:pt idx="4915">
                  <c:v>1.2756271677222921E-2</c:v>
                </c:pt>
                <c:pt idx="4916">
                  <c:v>-3.3881653682751515E-3</c:v>
                </c:pt>
                <c:pt idx="4917">
                  <c:v>-1.2793361453429382E-2</c:v>
                </c:pt>
                <c:pt idx="4918">
                  <c:v>-1.9792805949277792E-2</c:v>
                </c:pt>
                <c:pt idx="4919">
                  <c:v>1.4273503292061609E-2</c:v>
                </c:pt>
                <c:pt idx="4920">
                  <c:v>1.6250523318931493E-3</c:v>
                </c:pt>
                <c:pt idx="4921">
                  <c:v>9.9401898189300664E-3</c:v>
                </c:pt>
                <c:pt idx="4922">
                  <c:v>-2.4427595525218369E-2</c:v>
                </c:pt>
                <c:pt idx="4923">
                  <c:v>-1.2357692047171864E-2</c:v>
                </c:pt>
                <c:pt idx="4924">
                  <c:v>-2.0994376152583136E-2</c:v>
                </c:pt>
                <c:pt idx="4925">
                  <c:v>-4.0097007387022543E-2</c:v>
                </c:pt>
                <c:pt idx="4926">
                  <c:v>2.1072775466528314E-4</c:v>
                </c:pt>
                <c:pt idx="4927">
                  <c:v>-1.0631308128755956E-2</c:v>
                </c:pt>
                <c:pt idx="4928">
                  <c:v>-1.757590212748885E-2</c:v>
                </c:pt>
                <c:pt idx="4929">
                  <c:v>1.3487821886014854E-2</c:v>
                </c:pt>
                <c:pt idx="4930">
                  <c:v>5.2593097975078603E-3</c:v>
                </c:pt>
                <c:pt idx="4931">
                  <c:v>-5.0580672374174549E-3</c:v>
                </c:pt>
                <c:pt idx="4932">
                  <c:v>-9.5347181896643092E-4</c:v>
                </c:pt>
                <c:pt idx="4933">
                  <c:v>7.3721786169152065E-3</c:v>
                </c:pt>
                <c:pt idx="4934">
                  <c:v>1.3002674362599647E-2</c:v>
                </c:pt>
                <c:pt idx="4935">
                  <c:v>2.3205927496939838E-2</c:v>
                </c:pt>
                <c:pt idx="4936">
                  <c:v>2.6322611087934152E-2</c:v>
                </c:pt>
                <c:pt idx="4937">
                  <c:v>2.8040718562669022E-2</c:v>
                </c:pt>
                <c:pt idx="4938">
                  <c:v>-4.9975298581499114E-2</c:v>
                </c:pt>
                <c:pt idx="4939">
                  <c:v>-2.6464101679516287E-2</c:v>
                </c:pt>
                <c:pt idx="4940">
                  <c:v>1.7906126961532296E-2</c:v>
                </c:pt>
                <c:pt idx="4941">
                  <c:v>5.1325631109711695E-2</c:v>
                </c:pt>
                <c:pt idx="4942">
                  <c:v>1.2392275051294296E-2</c:v>
                </c:pt>
                <c:pt idx="4943">
                  <c:v>-2.6505224746770695E-2</c:v>
                </c:pt>
                <c:pt idx="4944">
                  <c:v>4.3194274209591065E-2</c:v>
                </c:pt>
                <c:pt idx="4945">
                  <c:v>6.4198187783712866E-3</c:v>
                </c:pt>
                <c:pt idx="4946">
                  <c:v>-2.1886825344787888E-2</c:v>
                </c:pt>
                <c:pt idx="4947">
                  <c:v>2.3028079180106052E-2</c:v>
                </c:pt>
                <c:pt idx="4948">
                  <c:v>-3.478626436104993E-2</c:v>
                </c:pt>
                <c:pt idx="4949">
                  <c:v>2.7185476300814582E-2</c:v>
                </c:pt>
                <c:pt idx="4950">
                  <c:v>-1.0514226701924125E-2</c:v>
                </c:pt>
                <c:pt idx="4951">
                  <c:v>-3.1928804491231359E-2</c:v>
                </c:pt>
                <c:pt idx="4952">
                  <c:v>-4.8894089843443164E-2</c:v>
                </c:pt>
                <c:pt idx="4953">
                  <c:v>5.8610690143714381E-3</c:v>
                </c:pt>
                <c:pt idx="4954">
                  <c:v>1.6399657587371087E-2</c:v>
                </c:pt>
                <c:pt idx="4955">
                  <c:v>3.6690353616827494E-2</c:v>
                </c:pt>
                <c:pt idx="4956">
                  <c:v>-5.5442646561535882E-3</c:v>
                </c:pt>
                <c:pt idx="4957">
                  <c:v>2.026914516984147E-2</c:v>
                </c:pt>
                <c:pt idx="4958">
                  <c:v>5.8631674057904121E-2</c:v>
                </c:pt>
                <c:pt idx="4959">
                  <c:v>1.5913652971666662E-3</c:v>
                </c:pt>
                <c:pt idx="4960">
                  <c:v>1.2574530760177239E-2</c:v>
                </c:pt>
                <c:pt idx="4961">
                  <c:v>-2.7446303593203492E-3</c:v>
                </c:pt>
                <c:pt idx="4962">
                  <c:v>2.5060151328106732E-2</c:v>
                </c:pt>
                <c:pt idx="4963">
                  <c:v>2.981373393959157E-2</c:v>
                </c:pt>
                <c:pt idx="4964">
                  <c:v>2.0825158827925884E-2</c:v>
                </c:pt>
                <c:pt idx="4965">
                  <c:v>4.4015273187608242E-2</c:v>
                </c:pt>
                <c:pt idx="4966">
                  <c:v>2.5924799861030277E-2</c:v>
                </c:pt>
                <c:pt idx="4967">
                  <c:v>-3.30104552701634E-2</c:v>
                </c:pt>
                <c:pt idx="4968">
                  <c:v>6.1014824041736894E-3</c:v>
                </c:pt>
                <c:pt idx="4969">
                  <c:v>-6.1271489215598846E-3</c:v>
                </c:pt>
                <c:pt idx="4970">
                  <c:v>2.0428835383034676E-2</c:v>
                </c:pt>
                <c:pt idx="4971">
                  <c:v>1.0836345909305652E-2</c:v>
                </c:pt>
                <c:pt idx="4972">
                  <c:v>1.3828055440700854E-3</c:v>
                </c:pt>
                <c:pt idx="4973">
                  <c:v>-4.375337674486187E-2</c:v>
                </c:pt>
                <c:pt idx="4974">
                  <c:v>1.6805458335741312E-2</c:v>
                </c:pt>
                <c:pt idx="4975">
                  <c:v>-9.9933233647302062E-3</c:v>
                </c:pt>
                <c:pt idx="4976">
                  <c:v>7.5303694083966328E-3</c:v>
                </c:pt>
                <c:pt idx="4977">
                  <c:v>-5.296954234185065E-3</c:v>
                </c:pt>
                <c:pt idx="4978">
                  <c:v>-3.5322939398643662E-3</c:v>
                </c:pt>
                <c:pt idx="4979">
                  <c:v>-1.8585584683344283E-2</c:v>
                </c:pt>
                <c:pt idx="4980">
                  <c:v>7.5147385286076937E-2</c:v>
                </c:pt>
                <c:pt idx="4981">
                  <c:v>-3.0091815439264889E-2</c:v>
                </c:pt>
                <c:pt idx="4982">
                  <c:v>4.2206764030953154E-3</c:v>
                </c:pt>
                <c:pt idx="4983">
                  <c:v>2.3168705200307539E-2</c:v>
                </c:pt>
                <c:pt idx="4984">
                  <c:v>-4.1968416874935709E-2</c:v>
                </c:pt>
                <c:pt idx="4985">
                  <c:v>-1.1213832195323773E-2</c:v>
                </c:pt>
                <c:pt idx="4986">
                  <c:v>-1.8625394517266997E-2</c:v>
                </c:pt>
                <c:pt idx="4987">
                  <c:v>2.2494862018071368E-2</c:v>
                </c:pt>
                <c:pt idx="4988">
                  <c:v>1.813849007281338E-2</c:v>
                </c:pt>
                <c:pt idx="4989">
                  <c:v>4.8286071567214581E-2</c:v>
                </c:pt>
                <c:pt idx="4990">
                  <c:v>4.324527781969089E-2</c:v>
                </c:pt>
                <c:pt idx="4991">
                  <c:v>-2.2072119804935112E-3</c:v>
                </c:pt>
                <c:pt idx="4992">
                  <c:v>1.2724855583623506E-2</c:v>
                </c:pt>
                <c:pt idx="4993">
                  <c:v>1.5712585503312945E-2</c:v>
                </c:pt>
                <c:pt idx="4994">
                  <c:v>-3.0034483638129522E-2</c:v>
                </c:pt>
                <c:pt idx="4995">
                  <c:v>4.4951783977465196E-3</c:v>
                </c:pt>
                <c:pt idx="4996">
                  <c:v>-3.1294031389166921E-2</c:v>
                </c:pt>
                <c:pt idx="4997">
                  <c:v>-1.6867526911572166E-2</c:v>
                </c:pt>
                <c:pt idx="4998">
                  <c:v>1.1900831761462394E-2</c:v>
                </c:pt>
                <c:pt idx="4999">
                  <c:v>4.2903871691544089E-3</c:v>
                </c:pt>
                <c:pt idx="5000">
                  <c:v>1.8299791142959588E-2</c:v>
                </c:pt>
                <c:pt idx="5001">
                  <c:v>-5.2691850029038534E-3</c:v>
                </c:pt>
                <c:pt idx="5002">
                  <c:v>3.1325459428634697E-2</c:v>
                </c:pt>
                <c:pt idx="5003">
                  <c:v>7.179502559938742E-3</c:v>
                </c:pt>
                <c:pt idx="5004">
                  <c:v>6.8913406776917614E-3</c:v>
                </c:pt>
                <c:pt idx="5005">
                  <c:v>1.2860684392647223E-2</c:v>
                </c:pt>
                <c:pt idx="5006">
                  <c:v>-3.166244652512093E-2</c:v>
                </c:pt>
                <c:pt idx="5007">
                  <c:v>-2.5752065792066119E-2</c:v>
                </c:pt>
                <c:pt idx="5008">
                  <c:v>-5.0991320666649194E-3</c:v>
                </c:pt>
                <c:pt idx="5009">
                  <c:v>-1.8380820592979904E-2</c:v>
                </c:pt>
                <c:pt idx="5010">
                  <c:v>-3.8646317431919854E-2</c:v>
                </c:pt>
                <c:pt idx="5011">
                  <c:v>-7.2966348013781142E-5</c:v>
                </c:pt>
                <c:pt idx="5012">
                  <c:v>6.2033055767674893E-2</c:v>
                </c:pt>
                <c:pt idx="5013">
                  <c:v>3.8893016937057691E-2</c:v>
                </c:pt>
                <c:pt idx="5014">
                  <c:v>5.3622245980293262E-3</c:v>
                </c:pt>
                <c:pt idx="5015">
                  <c:v>1.711131060658479E-3</c:v>
                </c:pt>
                <c:pt idx="5016">
                  <c:v>-1.8740544129718734E-2</c:v>
                </c:pt>
                <c:pt idx="5017">
                  <c:v>-4.9213005827003407E-2</c:v>
                </c:pt>
                <c:pt idx="5018">
                  <c:v>3.3259807200567433E-2</c:v>
                </c:pt>
                <c:pt idx="5019">
                  <c:v>-2.760140616609689E-3</c:v>
                </c:pt>
                <c:pt idx="5020">
                  <c:v>7.5096979306012047E-3</c:v>
                </c:pt>
                <c:pt idx="5021">
                  <c:v>6.3166719417086133E-3</c:v>
                </c:pt>
                <c:pt idx="5022">
                  <c:v>1.7346902624977584E-2</c:v>
                </c:pt>
                <c:pt idx="5023">
                  <c:v>7.5274981203105155E-3</c:v>
                </c:pt>
                <c:pt idx="5024">
                  <c:v>-1.4678141362783899E-2</c:v>
                </c:pt>
                <c:pt idx="5025">
                  <c:v>3.3838289612830523E-2</c:v>
                </c:pt>
                <c:pt idx="5026">
                  <c:v>-1.875259619496349E-2</c:v>
                </c:pt>
                <c:pt idx="5027">
                  <c:v>1.4332132842959127E-2</c:v>
                </c:pt>
                <c:pt idx="5028">
                  <c:v>-1.8641770749704675E-2</c:v>
                </c:pt>
                <c:pt idx="5029">
                  <c:v>-1.3357458015243392E-2</c:v>
                </c:pt>
                <c:pt idx="5030">
                  <c:v>-1.5716395272114454E-2</c:v>
                </c:pt>
                <c:pt idx="5031">
                  <c:v>4.3529850047100554E-3</c:v>
                </c:pt>
                <c:pt idx="5032">
                  <c:v>-1.2788217696238283E-2</c:v>
                </c:pt>
                <c:pt idx="5033">
                  <c:v>-2.9411714085823014E-2</c:v>
                </c:pt>
                <c:pt idx="5034">
                  <c:v>6.4012297292596956E-3</c:v>
                </c:pt>
                <c:pt idx="5035">
                  <c:v>-5.1952356923946334E-2</c:v>
                </c:pt>
                <c:pt idx="5036">
                  <c:v>2.7722340451450968E-2</c:v>
                </c:pt>
                <c:pt idx="5037">
                  <c:v>9.6390177147683415E-3</c:v>
                </c:pt>
                <c:pt idx="5038">
                  <c:v>-2.9888254544327801E-3</c:v>
                </c:pt>
                <c:pt idx="5039">
                  <c:v>1.7216239242809173E-2</c:v>
                </c:pt>
                <c:pt idx="5040">
                  <c:v>5.3342800849486838E-2</c:v>
                </c:pt>
                <c:pt idx="5041">
                  <c:v>-3.7456671371327306E-2</c:v>
                </c:pt>
                <c:pt idx="5042">
                  <c:v>-2.3182988407525262E-2</c:v>
                </c:pt>
                <c:pt idx="5043">
                  <c:v>-1.3647812777270752E-2</c:v>
                </c:pt>
                <c:pt idx="5044">
                  <c:v>-2.0248617944152444E-2</c:v>
                </c:pt>
                <c:pt idx="5045">
                  <c:v>7.5123195249733425E-3</c:v>
                </c:pt>
                <c:pt idx="5046">
                  <c:v>6.1349760053908079E-3</c:v>
                </c:pt>
                <c:pt idx="5047">
                  <c:v>-1.402590899144881E-2</c:v>
                </c:pt>
                <c:pt idx="5048">
                  <c:v>2.223785006102999E-2</c:v>
                </c:pt>
                <c:pt idx="5049">
                  <c:v>1.3756860735296934E-2</c:v>
                </c:pt>
                <c:pt idx="5050">
                  <c:v>3.7578950717169164E-2</c:v>
                </c:pt>
                <c:pt idx="5051">
                  <c:v>3.8017430797043221E-2</c:v>
                </c:pt>
                <c:pt idx="5052">
                  <c:v>6.7359000360142102E-3</c:v>
                </c:pt>
                <c:pt idx="5053">
                  <c:v>3.4919693227239465E-2</c:v>
                </c:pt>
                <c:pt idx="5054">
                  <c:v>1.760973690795832E-2</c:v>
                </c:pt>
                <c:pt idx="5055">
                  <c:v>1.3913733194902658E-2</c:v>
                </c:pt>
                <c:pt idx="5056">
                  <c:v>-1.9701120336628363E-2</c:v>
                </c:pt>
                <c:pt idx="5057">
                  <c:v>5.4419331003957759E-2</c:v>
                </c:pt>
                <c:pt idx="5058">
                  <c:v>-1.188369915665391E-2</c:v>
                </c:pt>
                <c:pt idx="5059">
                  <c:v>-6.5014308448402752E-2</c:v>
                </c:pt>
                <c:pt idx="5060">
                  <c:v>-2.9325454284989564E-2</c:v>
                </c:pt>
                <c:pt idx="5061">
                  <c:v>-3.0939123527346231E-3</c:v>
                </c:pt>
                <c:pt idx="5062">
                  <c:v>2.770182594676137E-2</c:v>
                </c:pt>
                <c:pt idx="5063">
                  <c:v>2.3284593459338233E-2</c:v>
                </c:pt>
                <c:pt idx="5064">
                  <c:v>-3.0410131746450308E-2</c:v>
                </c:pt>
                <c:pt idx="5065">
                  <c:v>2.4716349775671794E-3</c:v>
                </c:pt>
                <c:pt idx="5066">
                  <c:v>-4.0085329845446754E-3</c:v>
                </c:pt>
                <c:pt idx="5067">
                  <c:v>-4.6212065117722571E-2</c:v>
                </c:pt>
                <c:pt idx="5068">
                  <c:v>-5.6756338818219308E-3</c:v>
                </c:pt>
                <c:pt idx="5069">
                  <c:v>-1.8639949206254929E-2</c:v>
                </c:pt>
                <c:pt idx="5070">
                  <c:v>6.449009767863648E-3</c:v>
                </c:pt>
                <c:pt idx="5071">
                  <c:v>-2.1032441918108793E-2</c:v>
                </c:pt>
                <c:pt idx="5072">
                  <c:v>-1.9862395396375496E-2</c:v>
                </c:pt>
                <c:pt idx="5073">
                  <c:v>-1.7176098004096727E-2</c:v>
                </c:pt>
                <c:pt idx="5074">
                  <c:v>-1.7881499712921661E-2</c:v>
                </c:pt>
                <c:pt idx="5075">
                  <c:v>-1.5612507029264845E-3</c:v>
                </c:pt>
                <c:pt idx="5076">
                  <c:v>-2.8364244555829581E-2</c:v>
                </c:pt>
                <c:pt idx="5077">
                  <c:v>-3.4855922280221459E-3</c:v>
                </c:pt>
                <c:pt idx="5078">
                  <c:v>-1.9320978363554498E-2</c:v>
                </c:pt>
                <c:pt idx="5079">
                  <c:v>-1.6095494633465652E-3</c:v>
                </c:pt>
                <c:pt idx="5080">
                  <c:v>-9.5278606644110773E-3</c:v>
                </c:pt>
                <c:pt idx="5081">
                  <c:v>-3.2445428203157598E-3</c:v>
                </c:pt>
                <c:pt idx="5082">
                  <c:v>-1.7802531307971305E-2</c:v>
                </c:pt>
                <c:pt idx="5083">
                  <c:v>2.7387874165089962E-2</c:v>
                </c:pt>
                <c:pt idx="5084">
                  <c:v>5.0476635133402063E-3</c:v>
                </c:pt>
                <c:pt idx="5085">
                  <c:v>1.2412591930819544E-2</c:v>
                </c:pt>
                <c:pt idx="5086">
                  <c:v>1.0073216904845708E-2</c:v>
                </c:pt>
                <c:pt idx="5087">
                  <c:v>-2.0460983346528107E-2</c:v>
                </c:pt>
                <c:pt idx="5088">
                  <c:v>1.4420547184007619E-2</c:v>
                </c:pt>
                <c:pt idx="5089">
                  <c:v>3.7936498327406143E-2</c:v>
                </c:pt>
                <c:pt idx="5090">
                  <c:v>1.2490857919317578E-2</c:v>
                </c:pt>
                <c:pt idx="5091">
                  <c:v>-3.9851900949526856E-2</c:v>
                </c:pt>
                <c:pt idx="5092">
                  <c:v>-2.4482025824306718E-2</c:v>
                </c:pt>
                <c:pt idx="5093">
                  <c:v>-6.0676112902096849E-3</c:v>
                </c:pt>
                <c:pt idx="5094">
                  <c:v>8.409310737745937E-3</c:v>
                </c:pt>
                <c:pt idx="5095">
                  <c:v>1.4305958666025895E-2</c:v>
                </c:pt>
                <c:pt idx="5096">
                  <c:v>-1.6301543781899554E-2</c:v>
                </c:pt>
                <c:pt idx="5097">
                  <c:v>-3.1707267395749265E-3</c:v>
                </c:pt>
                <c:pt idx="5098">
                  <c:v>-1.5474513980690493E-2</c:v>
                </c:pt>
                <c:pt idx="5099">
                  <c:v>2.2818500649210314E-3</c:v>
                </c:pt>
                <c:pt idx="5100">
                  <c:v>-1.1649022677714668E-2</c:v>
                </c:pt>
                <c:pt idx="5101">
                  <c:v>-1.6440657077947885E-2</c:v>
                </c:pt>
                <c:pt idx="5102">
                  <c:v>3.78954904866708E-3</c:v>
                </c:pt>
                <c:pt idx="5103">
                  <c:v>-1.2433188514549311E-2</c:v>
                </c:pt>
                <c:pt idx="5104">
                  <c:v>-1.0510600273801036E-2</c:v>
                </c:pt>
                <c:pt idx="5105">
                  <c:v>-1.3770849130267444E-2</c:v>
                </c:pt>
                <c:pt idx="5106">
                  <c:v>-5.6858723108708445E-3</c:v>
                </c:pt>
                <c:pt idx="5107">
                  <c:v>9.6883989162239049E-3</c:v>
                </c:pt>
                <c:pt idx="5108">
                  <c:v>-1.9951284832199243E-2</c:v>
                </c:pt>
                <c:pt idx="5109">
                  <c:v>-1.0170094715328709E-2</c:v>
                </c:pt>
                <c:pt idx="5110">
                  <c:v>-1.4884190045201955E-2</c:v>
                </c:pt>
                <c:pt idx="5111">
                  <c:v>2.6136307592346381E-2</c:v>
                </c:pt>
                <c:pt idx="5112">
                  <c:v>2.3017900817860707E-2</c:v>
                </c:pt>
                <c:pt idx="5113">
                  <c:v>-3.7544368448431245E-2</c:v>
                </c:pt>
                <c:pt idx="5114">
                  <c:v>-7.8038981446077998E-3</c:v>
                </c:pt>
                <c:pt idx="5115">
                  <c:v>1.5153004431435482E-2</c:v>
                </c:pt>
                <c:pt idx="5116">
                  <c:v>6.852112729902082E-3</c:v>
                </c:pt>
                <c:pt idx="5117">
                  <c:v>6.0976696301649896E-3</c:v>
                </c:pt>
                <c:pt idx="5118">
                  <c:v>-4.6966222460325328E-2</c:v>
                </c:pt>
                <c:pt idx="5119">
                  <c:v>-6.5221912970942035E-3</c:v>
                </c:pt>
                <c:pt idx="5120">
                  <c:v>1.7471480787636589E-2</c:v>
                </c:pt>
                <c:pt idx="5121">
                  <c:v>6.6151073669982685E-2</c:v>
                </c:pt>
                <c:pt idx="5122">
                  <c:v>-4.8116236868924623E-3</c:v>
                </c:pt>
                <c:pt idx="5123">
                  <c:v>3.2775844736381857E-2</c:v>
                </c:pt>
                <c:pt idx="5124">
                  <c:v>1.1406674143475003E-2</c:v>
                </c:pt>
                <c:pt idx="5125">
                  <c:v>-1.9768110862188396E-2</c:v>
                </c:pt>
                <c:pt idx="5126">
                  <c:v>4.4436712064591335E-2</c:v>
                </c:pt>
                <c:pt idx="5127">
                  <c:v>1.9414117971026438E-2</c:v>
                </c:pt>
                <c:pt idx="5128">
                  <c:v>-1.9457563202385331E-2</c:v>
                </c:pt>
                <c:pt idx="5129">
                  <c:v>1.3589795376309605E-3</c:v>
                </c:pt>
                <c:pt idx="5130">
                  <c:v>1.6229080083036456E-2</c:v>
                </c:pt>
                <c:pt idx="5131">
                  <c:v>-1.4526563400828111E-2</c:v>
                </c:pt>
                <c:pt idx="5132">
                  <c:v>-1.3807599050702416E-2</c:v>
                </c:pt>
                <c:pt idx="5133">
                  <c:v>-2.3798814562273257E-2</c:v>
                </c:pt>
                <c:pt idx="5134">
                  <c:v>1.7554603926173504E-2</c:v>
                </c:pt>
                <c:pt idx="5135">
                  <c:v>1.7506377638727453E-2</c:v>
                </c:pt>
                <c:pt idx="5136">
                  <c:v>-1.0782210306581578E-2</c:v>
                </c:pt>
                <c:pt idx="5137">
                  <c:v>1.8758673618812782E-2</c:v>
                </c:pt>
                <c:pt idx="5138">
                  <c:v>6.397912572103084E-3</c:v>
                </c:pt>
                <c:pt idx="5139">
                  <c:v>-3.2392955986254982E-2</c:v>
                </c:pt>
                <c:pt idx="5140">
                  <c:v>-2.3758461729702647E-2</c:v>
                </c:pt>
                <c:pt idx="5141">
                  <c:v>9.9796117841689305E-3</c:v>
                </c:pt>
                <c:pt idx="5142">
                  <c:v>1.8563552913557703E-3</c:v>
                </c:pt>
                <c:pt idx="5143">
                  <c:v>-1.2441819436771185E-2</c:v>
                </c:pt>
                <c:pt idx="5144">
                  <c:v>-1.0881708422777041E-2</c:v>
                </c:pt>
                <c:pt idx="5145">
                  <c:v>-3.172670794366364E-2</c:v>
                </c:pt>
                <c:pt idx="5146">
                  <c:v>1.0922432530793318E-2</c:v>
                </c:pt>
                <c:pt idx="5147">
                  <c:v>1.3924607268438378E-4</c:v>
                </c:pt>
                <c:pt idx="5148">
                  <c:v>-2.0154751029543932E-2</c:v>
                </c:pt>
                <c:pt idx="5149">
                  <c:v>1.268530242058283E-2</c:v>
                </c:pt>
                <c:pt idx="5150">
                  <c:v>1.3184612421220675E-2</c:v>
                </c:pt>
                <c:pt idx="5151">
                  <c:v>-3.9742755266884831E-2</c:v>
                </c:pt>
                <c:pt idx="5152">
                  <c:v>2.0958199094815787E-3</c:v>
                </c:pt>
                <c:pt idx="5153">
                  <c:v>1.4171988564674492E-3</c:v>
                </c:pt>
                <c:pt idx="5154">
                  <c:v>7.0374945058137399E-3</c:v>
                </c:pt>
                <c:pt idx="5155">
                  <c:v>4.9209963505029056E-2</c:v>
                </c:pt>
                <c:pt idx="5156">
                  <c:v>1.2796678432030592E-2</c:v>
                </c:pt>
                <c:pt idx="5157">
                  <c:v>-1.2141249709449856E-2</c:v>
                </c:pt>
                <c:pt idx="5158">
                  <c:v>3.6649097198646674E-2</c:v>
                </c:pt>
                <c:pt idx="5159">
                  <c:v>-3.8424005702123613E-2</c:v>
                </c:pt>
                <c:pt idx="5160">
                  <c:v>7.582474602965121E-3</c:v>
                </c:pt>
                <c:pt idx="5161">
                  <c:v>2.817566683770404E-2</c:v>
                </c:pt>
                <c:pt idx="5162">
                  <c:v>-2.5011133539218989E-3</c:v>
                </c:pt>
                <c:pt idx="5163">
                  <c:v>-5.7700409739053059E-3</c:v>
                </c:pt>
                <c:pt idx="5164">
                  <c:v>3.2614282298249419E-3</c:v>
                </c:pt>
                <c:pt idx="5165">
                  <c:v>9.0784713518691756E-3</c:v>
                </c:pt>
                <c:pt idx="5166">
                  <c:v>1.9796644767501349E-3</c:v>
                </c:pt>
                <c:pt idx="5167">
                  <c:v>2.4755151072018259E-2</c:v>
                </c:pt>
                <c:pt idx="5168">
                  <c:v>1.4113722736404145E-2</c:v>
                </c:pt>
                <c:pt idx="5169">
                  <c:v>9.4416914998005207E-3</c:v>
                </c:pt>
                <c:pt idx="5170">
                  <c:v>9.7542849361551681E-4</c:v>
                </c:pt>
                <c:pt idx="5171">
                  <c:v>4.2004938243841272E-2</c:v>
                </c:pt>
                <c:pt idx="5172">
                  <c:v>3.5522801497455572E-3</c:v>
                </c:pt>
                <c:pt idx="5173">
                  <c:v>1.5915592432785151E-2</c:v>
                </c:pt>
                <c:pt idx="5174">
                  <c:v>-2.0335279156517429E-2</c:v>
                </c:pt>
                <c:pt idx="5175">
                  <c:v>-4.9194529143607689E-3</c:v>
                </c:pt>
                <c:pt idx="5176">
                  <c:v>-9.4179223881456185E-3</c:v>
                </c:pt>
                <c:pt idx="5177">
                  <c:v>4.8772871135094452E-2</c:v>
                </c:pt>
                <c:pt idx="5178">
                  <c:v>-1.704475975058764E-2</c:v>
                </c:pt>
                <c:pt idx="5179">
                  <c:v>-5.3794668535493868E-3</c:v>
                </c:pt>
                <c:pt idx="5180">
                  <c:v>2.9917946999587219E-5</c:v>
                </c:pt>
                <c:pt idx="5181">
                  <c:v>-2.1401079486351436E-3</c:v>
                </c:pt>
                <c:pt idx="5182">
                  <c:v>8.7855697510398467E-3</c:v>
                </c:pt>
                <c:pt idx="5183">
                  <c:v>1.5382387343184568E-2</c:v>
                </c:pt>
                <c:pt idx="5184">
                  <c:v>-2.4408692575703324E-2</c:v>
                </c:pt>
                <c:pt idx="5185">
                  <c:v>-1.2911518812410209E-2</c:v>
                </c:pt>
                <c:pt idx="5186">
                  <c:v>-5.2762840962523073E-3</c:v>
                </c:pt>
                <c:pt idx="5187">
                  <c:v>1.185557705049106E-2</c:v>
                </c:pt>
                <c:pt idx="5188">
                  <c:v>1.6926475822803461E-2</c:v>
                </c:pt>
                <c:pt idx="5189">
                  <c:v>5.5227352626449119E-3</c:v>
                </c:pt>
                <c:pt idx="5190">
                  <c:v>-1.6795407845563205E-2</c:v>
                </c:pt>
                <c:pt idx="5191">
                  <c:v>-3.0947938331214463E-2</c:v>
                </c:pt>
                <c:pt idx="5192">
                  <c:v>1.3286967390652547E-2</c:v>
                </c:pt>
                <c:pt idx="5193">
                  <c:v>3.6710082946868297E-2</c:v>
                </c:pt>
                <c:pt idx="5194">
                  <c:v>2.9370284387760279E-2</c:v>
                </c:pt>
                <c:pt idx="5195">
                  <c:v>1.9484208557370743E-2</c:v>
                </c:pt>
                <c:pt idx="5196">
                  <c:v>1.5064852776996129E-2</c:v>
                </c:pt>
                <c:pt idx="5197">
                  <c:v>-7.0095831273447699E-3</c:v>
                </c:pt>
                <c:pt idx="5198">
                  <c:v>3.528097763239596E-2</c:v>
                </c:pt>
                <c:pt idx="5199">
                  <c:v>2.6345280789198303E-2</c:v>
                </c:pt>
                <c:pt idx="5200">
                  <c:v>-4.5055519195605059E-3</c:v>
                </c:pt>
                <c:pt idx="5201">
                  <c:v>-2.2919511984063477E-2</c:v>
                </c:pt>
                <c:pt idx="5202">
                  <c:v>-3.0978069722835368E-2</c:v>
                </c:pt>
                <c:pt idx="5203">
                  <c:v>-3.040149584952578E-2</c:v>
                </c:pt>
                <c:pt idx="5204">
                  <c:v>1.503097157293583E-2</c:v>
                </c:pt>
                <c:pt idx="5205">
                  <c:v>1.8683338445424146E-2</c:v>
                </c:pt>
                <c:pt idx="5206">
                  <c:v>3.5959393075811002E-3</c:v>
                </c:pt>
                <c:pt idx="5207">
                  <c:v>6.5728570024263227E-3</c:v>
                </c:pt>
                <c:pt idx="5208">
                  <c:v>-3.8760294607041515E-2</c:v>
                </c:pt>
                <c:pt idx="5209">
                  <c:v>-2.4311355907064319E-2</c:v>
                </c:pt>
                <c:pt idx="5210">
                  <c:v>1.1394407353029894E-2</c:v>
                </c:pt>
                <c:pt idx="5211">
                  <c:v>2.2257614599375385E-2</c:v>
                </c:pt>
                <c:pt idx="5212">
                  <c:v>-8.4104886011312496E-3</c:v>
                </c:pt>
                <c:pt idx="5213">
                  <c:v>-1.7071642490104656E-2</c:v>
                </c:pt>
                <c:pt idx="5214">
                  <c:v>-1.7368313525253618E-2</c:v>
                </c:pt>
                <c:pt idx="5215">
                  <c:v>2.2922014775303975E-2</c:v>
                </c:pt>
                <c:pt idx="5216">
                  <c:v>-1.439906568461595E-2</c:v>
                </c:pt>
                <c:pt idx="5217">
                  <c:v>-1.483934449109315E-2</c:v>
                </c:pt>
                <c:pt idx="5218">
                  <c:v>3.3397268251663653E-3</c:v>
                </c:pt>
                <c:pt idx="5219">
                  <c:v>-2.7904063531120703E-2</c:v>
                </c:pt>
                <c:pt idx="5220">
                  <c:v>2.7466070494640876E-2</c:v>
                </c:pt>
                <c:pt idx="5221">
                  <c:v>6.3276963834691408E-3</c:v>
                </c:pt>
                <c:pt idx="5222">
                  <c:v>3.4014258860062298E-2</c:v>
                </c:pt>
                <c:pt idx="5223">
                  <c:v>2.4119375531136016E-2</c:v>
                </c:pt>
                <c:pt idx="5224">
                  <c:v>3.4038003524829087E-2</c:v>
                </c:pt>
                <c:pt idx="5225">
                  <c:v>-8.3954658374361269E-3</c:v>
                </c:pt>
                <c:pt idx="5226">
                  <c:v>2.351901971866562E-3</c:v>
                </c:pt>
                <c:pt idx="5227">
                  <c:v>-1.5116182328072627E-2</c:v>
                </c:pt>
                <c:pt idx="5228">
                  <c:v>2.0725023846557944E-2</c:v>
                </c:pt>
                <c:pt idx="5229">
                  <c:v>7.1027259225229043E-3</c:v>
                </c:pt>
                <c:pt idx="5230">
                  <c:v>-1.2397978606913593E-3</c:v>
                </c:pt>
                <c:pt idx="5231">
                  <c:v>8.2999228069311447E-3</c:v>
                </c:pt>
                <c:pt idx="5232">
                  <c:v>-1.6032703305588303E-3</c:v>
                </c:pt>
                <c:pt idx="5233">
                  <c:v>1.1501203802375307E-2</c:v>
                </c:pt>
                <c:pt idx="5234">
                  <c:v>-5.6528850911858497E-2</c:v>
                </c:pt>
                <c:pt idx="5235">
                  <c:v>-7.1284187139854134E-3</c:v>
                </c:pt>
                <c:pt idx="5236">
                  <c:v>-7.005426705264781E-3</c:v>
                </c:pt>
                <c:pt idx="5237">
                  <c:v>2.2755956340815047E-2</c:v>
                </c:pt>
                <c:pt idx="5238">
                  <c:v>-1.2479190805700816E-2</c:v>
                </c:pt>
                <c:pt idx="5239">
                  <c:v>-4.1892235722521425E-2</c:v>
                </c:pt>
                <c:pt idx="5240">
                  <c:v>4.3721483161816094E-2</c:v>
                </c:pt>
                <c:pt idx="5241">
                  <c:v>-2.7691092734630201E-2</c:v>
                </c:pt>
                <c:pt idx="5242">
                  <c:v>4.7611308385281555E-3</c:v>
                </c:pt>
                <c:pt idx="5243">
                  <c:v>-6.1117511017287646E-3</c:v>
                </c:pt>
                <c:pt idx="5244">
                  <c:v>5.715073477403949E-3</c:v>
                </c:pt>
                <c:pt idx="5245">
                  <c:v>-5.7254331399188708E-2</c:v>
                </c:pt>
                <c:pt idx="5246">
                  <c:v>9.1334112957408772E-3</c:v>
                </c:pt>
                <c:pt idx="5247">
                  <c:v>1.8887619761276358E-3</c:v>
                </c:pt>
                <c:pt idx="5248">
                  <c:v>6.0751236731654917E-2</c:v>
                </c:pt>
                <c:pt idx="5249">
                  <c:v>-4.0322491645955742E-2</c:v>
                </c:pt>
                <c:pt idx="5250">
                  <c:v>1.3051966610251311E-2</c:v>
                </c:pt>
                <c:pt idx="5251">
                  <c:v>2.5488759243329703E-2</c:v>
                </c:pt>
                <c:pt idx="5252">
                  <c:v>-1.6707338199461602E-2</c:v>
                </c:pt>
                <c:pt idx="5253">
                  <c:v>-2.0690746704123415E-2</c:v>
                </c:pt>
                <c:pt idx="5254">
                  <c:v>2.7865254408682497E-4</c:v>
                </c:pt>
                <c:pt idx="5255">
                  <c:v>9.3387659567988075E-3</c:v>
                </c:pt>
                <c:pt idx="5256">
                  <c:v>-1.793353039855412E-2</c:v>
                </c:pt>
                <c:pt idx="5257">
                  <c:v>-3.4059794197088128E-4</c:v>
                </c:pt>
                <c:pt idx="5258">
                  <c:v>-1.9768237501077354E-2</c:v>
                </c:pt>
                <c:pt idx="5259">
                  <c:v>1.419637070733318E-2</c:v>
                </c:pt>
                <c:pt idx="5260">
                  <c:v>5.5085799256617569E-3</c:v>
                </c:pt>
                <c:pt idx="5261">
                  <c:v>-9.9384421358456373E-3</c:v>
                </c:pt>
                <c:pt idx="5262">
                  <c:v>-4.9675783957645547E-2</c:v>
                </c:pt>
                <c:pt idx="5263">
                  <c:v>1.0530889185292172E-2</c:v>
                </c:pt>
                <c:pt idx="5264">
                  <c:v>1.8052631827706597E-2</c:v>
                </c:pt>
                <c:pt idx="5265">
                  <c:v>-3.0289427797849662E-2</c:v>
                </c:pt>
                <c:pt idx="5266">
                  <c:v>-1.1649457401920761E-2</c:v>
                </c:pt>
                <c:pt idx="5267">
                  <c:v>-2.7911311762088296E-2</c:v>
                </c:pt>
                <c:pt idx="5268">
                  <c:v>-3.1332282796826601E-2</c:v>
                </c:pt>
                <c:pt idx="5269">
                  <c:v>-7.1203253294340602E-3</c:v>
                </c:pt>
                <c:pt idx="5270">
                  <c:v>3.132550637982302E-3</c:v>
                </c:pt>
                <c:pt idx="5271">
                  <c:v>1.4336851429742956E-2</c:v>
                </c:pt>
                <c:pt idx="5272">
                  <c:v>4.9449088994824607E-2</c:v>
                </c:pt>
                <c:pt idx="5273">
                  <c:v>-6.0172580324166607E-3</c:v>
                </c:pt>
                <c:pt idx="5274">
                  <c:v>-2.4382521332182112E-2</c:v>
                </c:pt>
                <c:pt idx="5275">
                  <c:v>1.6474723224880746E-2</c:v>
                </c:pt>
                <c:pt idx="5276">
                  <c:v>-1.0773303168894633E-3</c:v>
                </c:pt>
                <c:pt idx="5277">
                  <c:v>-5.153627184299478E-2</c:v>
                </c:pt>
                <c:pt idx="5278">
                  <c:v>-4.8932957809047418E-2</c:v>
                </c:pt>
                <c:pt idx="5279">
                  <c:v>5.2928518862208E-2</c:v>
                </c:pt>
                <c:pt idx="5280">
                  <c:v>9.0297408190429737E-3</c:v>
                </c:pt>
                <c:pt idx="5281">
                  <c:v>-2.9876507824549911E-2</c:v>
                </c:pt>
                <c:pt idx="5282">
                  <c:v>4.5806496425423511E-2</c:v>
                </c:pt>
                <c:pt idx="5283">
                  <c:v>-2.4444113045965804E-2</c:v>
                </c:pt>
                <c:pt idx="5284">
                  <c:v>1.2438837635834938E-2</c:v>
                </c:pt>
                <c:pt idx="5285">
                  <c:v>3.0285415669586918E-3</c:v>
                </c:pt>
                <c:pt idx="5286">
                  <c:v>-1.3609337747168566E-2</c:v>
                </c:pt>
                <c:pt idx="5287">
                  <c:v>-1.2843328309817902E-2</c:v>
                </c:pt>
                <c:pt idx="5288">
                  <c:v>-2.5628060151419028E-2</c:v>
                </c:pt>
                <c:pt idx="5289">
                  <c:v>-2.0472455881638553E-3</c:v>
                </c:pt>
                <c:pt idx="5290">
                  <c:v>5.6847057050522769E-3</c:v>
                </c:pt>
                <c:pt idx="5291">
                  <c:v>1.4824179523878151E-2</c:v>
                </c:pt>
                <c:pt idx="5292">
                  <c:v>1.1156764623961772E-2</c:v>
                </c:pt>
                <c:pt idx="5293">
                  <c:v>-2.2909836756859179E-2</c:v>
                </c:pt>
                <c:pt idx="5294">
                  <c:v>-6.1569591433502831E-3</c:v>
                </c:pt>
                <c:pt idx="5295">
                  <c:v>2.7579624769861612E-2</c:v>
                </c:pt>
                <c:pt idx="5296">
                  <c:v>4.4563098022946071E-2</c:v>
                </c:pt>
                <c:pt idx="5297">
                  <c:v>-3.5230139845670895E-2</c:v>
                </c:pt>
                <c:pt idx="5298">
                  <c:v>-5.9537561795714716E-3</c:v>
                </c:pt>
                <c:pt idx="5299">
                  <c:v>-2.7303728512074674E-2</c:v>
                </c:pt>
                <c:pt idx="5300">
                  <c:v>5.6006378984367628E-3</c:v>
                </c:pt>
                <c:pt idx="5301">
                  <c:v>-1.8696293958843865E-2</c:v>
                </c:pt>
                <c:pt idx="5302">
                  <c:v>-8.8349359090069707E-3</c:v>
                </c:pt>
                <c:pt idx="5303">
                  <c:v>1.0224867036951434E-2</c:v>
                </c:pt>
                <c:pt idx="5304">
                  <c:v>-7.8585174393215728E-3</c:v>
                </c:pt>
                <c:pt idx="5305">
                  <c:v>2.092366950139625E-2</c:v>
                </c:pt>
                <c:pt idx="5306">
                  <c:v>-1.6956895010328033E-2</c:v>
                </c:pt>
                <c:pt idx="5307">
                  <c:v>1.6958176483127741E-2</c:v>
                </c:pt>
                <c:pt idx="5308">
                  <c:v>-8.2220988533763303E-3</c:v>
                </c:pt>
                <c:pt idx="5309">
                  <c:v>3.3114651102640472E-4</c:v>
                </c:pt>
                <c:pt idx="5310">
                  <c:v>-7.768338812483561E-3</c:v>
                </c:pt>
                <c:pt idx="5311">
                  <c:v>2.0484770038215611E-2</c:v>
                </c:pt>
                <c:pt idx="5312">
                  <c:v>-1.5589815645080739E-2</c:v>
                </c:pt>
                <c:pt idx="5313">
                  <c:v>-4.2123157943622362E-2</c:v>
                </c:pt>
                <c:pt idx="5314">
                  <c:v>2.2435401591451437E-2</c:v>
                </c:pt>
                <c:pt idx="5315">
                  <c:v>-1.0467495384350396E-2</c:v>
                </c:pt>
                <c:pt idx="5316">
                  <c:v>-6.4330004155964422E-3</c:v>
                </c:pt>
                <c:pt idx="5317">
                  <c:v>-3.485165948197242E-2</c:v>
                </c:pt>
                <c:pt idx="5318">
                  <c:v>3.2127824007718762E-2</c:v>
                </c:pt>
                <c:pt idx="5319">
                  <c:v>4.6263560695425615E-2</c:v>
                </c:pt>
                <c:pt idx="5320">
                  <c:v>2.769783926767613E-2</c:v>
                </c:pt>
                <c:pt idx="5321">
                  <c:v>-7.5389861254159651E-3</c:v>
                </c:pt>
                <c:pt idx="5322">
                  <c:v>-9.2480293297608103E-3</c:v>
                </c:pt>
                <c:pt idx="5323">
                  <c:v>2.2417715372195966E-2</c:v>
                </c:pt>
                <c:pt idx="5324">
                  <c:v>-1.2098171362242368E-2</c:v>
                </c:pt>
                <c:pt idx="5325">
                  <c:v>8.9901681101092409E-3</c:v>
                </c:pt>
                <c:pt idx="5326">
                  <c:v>2.2917470736353741E-3</c:v>
                </c:pt>
                <c:pt idx="5327">
                  <c:v>-2.3029175527137249E-2</c:v>
                </c:pt>
                <c:pt idx="5328">
                  <c:v>2.3640260916821445E-3</c:v>
                </c:pt>
                <c:pt idx="5329">
                  <c:v>6.2103238830236961E-3</c:v>
                </c:pt>
                <c:pt idx="5330">
                  <c:v>-1.541945716748435E-2</c:v>
                </c:pt>
                <c:pt idx="5331">
                  <c:v>1.0280438046086414E-2</c:v>
                </c:pt>
                <c:pt idx="5332">
                  <c:v>1.1397029230062476E-2</c:v>
                </c:pt>
                <c:pt idx="5333">
                  <c:v>-1.6129927242033246E-2</c:v>
                </c:pt>
                <c:pt idx="5334">
                  <c:v>-3.6870502510427304E-2</c:v>
                </c:pt>
                <c:pt idx="5335">
                  <c:v>-1.1764197434852363E-2</c:v>
                </c:pt>
                <c:pt idx="5336">
                  <c:v>1.0764811153158237E-2</c:v>
                </c:pt>
                <c:pt idx="5337">
                  <c:v>1.649025951477778E-2</c:v>
                </c:pt>
                <c:pt idx="5338">
                  <c:v>1.3296004329847294E-2</c:v>
                </c:pt>
                <c:pt idx="5339">
                  <c:v>-6.5003497022576916E-4</c:v>
                </c:pt>
                <c:pt idx="5340">
                  <c:v>-1.2165039512030311E-2</c:v>
                </c:pt>
                <c:pt idx="5341">
                  <c:v>1.5673003479024213E-3</c:v>
                </c:pt>
                <c:pt idx="5342">
                  <c:v>2.5326753667370118E-2</c:v>
                </c:pt>
                <c:pt idx="5343">
                  <c:v>1.5698921695650403E-2</c:v>
                </c:pt>
                <c:pt idx="5344">
                  <c:v>-4.2124636214639646E-2</c:v>
                </c:pt>
                <c:pt idx="5345">
                  <c:v>-1.1574014937397214E-2</c:v>
                </c:pt>
                <c:pt idx="5346">
                  <c:v>-7.9596417730464679E-4</c:v>
                </c:pt>
                <c:pt idx="5347">
                  <c:v>-1.5336276948450921E-2</c:v>
                </c:pt>
                <c:pt idx="5348">
                  <c:v>3.9760229601262298E-2</c:v>
                </c:pt>
                <c:pt idx="5349">
                  <c:v>1.1292977966639781E-2</c:v>
                </c:pt>
                <c:pt idx="5350">
                  <c:v>3.7809636468897991E-2</c:v>
                </c:pt>
                <c:pt idx="5351">
                  <c:v>6.2104782143450471E-3</c:v>
                </c:pt>
                <c:pt idx="5352">
                  <c:v>1.3212352287563959E-2</c:v>
                </c:pt>
                <c:pt idx="5353">
                  <c:v>-4.510924348268211E-2</c:v>
                </c:pt>
                <c:pt idx="5354">
                  <c:v>4.2965989077077694E-2</c:v>
                </c:pt>
                <c:pt idx="5355">
                  <c:v>-1.8774181290712208E-3</c:v>
                </c:pt>
                <c:pt idx="5356">
                  <c:v>-8.7687031391299377E-3</c:v>
                </c:pt>
                <c:pt idx="5357">
                  <c:v>-3.0843727509407035E-2</c:v>
                </c:pt>
                <c:pt idx="5358">
                  <c:v>3.2133849318060031E-3</c:v>
                </c:pt>
                <c:pt idx="5359">
                  <c:v>1.8806124111234994E-2</c:v>
                </c:pt>
                <c:pt idx="5360">
                  <c:v>3.2856097560291259E-2</c:v>
                </c:pt>
                <c:pt idx="5361">
                  <c:v>2.2139320213299583E-2</c:v>
                </c:pt>
                <c:pt idx="5362">
                  <c:v>1.1835884818068871E-3</c:v>
                </c:pt>
                <c:pt idx="5363">
                  <c:v>4.0662512141465476E-2</c:v>
                </c:pt>
                <c:pt idx="5364">
                  <c:v>1.7061790042028152E-2</c:v>
                </c:pt>
                <c:pt idx="5365">
                  <c:v>-2.0402165040450389E-3</c:v>
                </c:pt>
                <c:pt idx="5366">
                  <c:v>2.9347347922879373E-2</c:v>
                </c:pt>
                <c:pt idx="5367">
                  <c:v>6.0673544579385195E-2</c:v>
                </c:pt>
                <c:pt idx="5368">
                  <c:v>2.3400823479229706E-2</c:v>
                </c:pt>
                <c:pt idx="5369">
                  <c:v>2.5390782092183362E-2</c:v>
                </c:pt>
                <c:pt idx="5370">
                  <c:v>9.0015478795698357E-3</c:v>
                </c:pt>
                <c:pt idx="5371">
                  <c:v>-1.0055057204353006E-2</c:v>
                </c:pt>
                <c:pt idx="5372">
                  <c:v>1.7465025050557071E-2</c:v>
                </c:pt>
                <c:pt idx="5373">
                  <c:v>-1.9422864209255954E-2</c:v>
                </c:pt>
                <c:pt idx="5374">
                  <c:v>-1.7676527025890322E-2</c:v>
                </c:pt>
                <c:pt idx="5375">
                  <c:v>-9.6646177262641082E-3</c:v>
                </c:pt>
                <c:pt idx="5376">
                  <c:v>4.2477218150795595E-2</c:v>
                </c:pt>
                <c:pt idx="5377">
                  <c:v>2.8653938896118607E-2</c:v>
                </c:pt>
                <c:pt idx="5378">
                  <c:v>1.0156444173991662E-2</c:v>
                </c:pt>
                <c:pt idx="5379">
                  <c:v>4.1219909495917757E-2</c:v>
                </c:pt>
                <c:pt idx="5380">
                  <c:v>1.8614271947567946E-2</c:v>
                </c:pt>
                <c:pt idx="5381">
                  <c:v>1.4588054003491094E-3</c:v>
                </c:pt>
                <c:pt idx="5382">
                  <c:v>5.0415914698658405E-3</c:v>
                </c:pt>
                <c:pt idx="5383">
                  <c:v>1.1506530720996526E-2</c:v>
                </c:pt>
                <c:pt idx="5384">
                  <c:v>4.8511422207081038E-2</c:v>
                </c:pt>
                <c:pt idx="5385">
                  <c:v>1.5509428203136931E-2</c:v>
                </c:pt>
                <c:pt idx="5386">
                  <c:v>-8.8988473517151636E-3</c:v>
                </c:pt>
                <c:pt idx="5387">
                  <c:v>3.710989252079354E-3</c:v>
                </c:pt>
                <c:pt idx="5388">
                  <c:v>-1.5114516237369024E-3</c:v>
                </c:pt>
                <c:pt idx="5389">
                  <c:v>1.0477618746689718E-2</c:v>
                </c:pt>
                <c:pt idx="5390">
                  <c:v>2.2751277615231148E-2</c:v>
                </c:pt>
                <c:pt idx="5391">
                  <c:v>1.4127513127568487E-2</c:v>
                </c:pt>
                <c:pt idx="5392">
                  <c:v>-8.8746554216004286E-3</c:v>
                </c:pt>
                <c:pt idx="5393">
                  <c:v>-7.5685453893118114E-3</c:v>
                </c:pt>
                <c:pt idx="5394">
                  <c:v>-8.2801151623751214E-3</c:v>
                </c:pt>
                <c:pt idx="5395">
                  <c:v>1.1173771095385232E-2</c:v>
                </c:pt>
                <c:pt idx="5396">
                  <c:v>9.7586315487176514E-3</c:v>
                </c:pt>
                <c:pt idx="5397">
                  <c:v>-1.9676002299489829E-3</c:v>
                </c:pt>
                <c:pt idx="5398">
                  <c:v>-4.2735870451890826E-2</c:v>
                </c:pt>
                <c:pt idx="5399">
                  <c:v>-1.6539266509123175E-3</c:v>
                </c:pt>
                <c:pt idx="5400">
                  <c:v>4.4980622314292742E-2</c:v>
                </c:pt>
                <c:pt idx="5401">
                  <c:v>1.1304970799542581E-2</c:v>
                </c:pt>
                <c:pt idx="5402">
                  <c:v>8.7066060720024079E-3</c:v>
                </c:pt>
                <c:pt idx="5403">
                  <c:v>2.1119477443237823E-2</c:v>
                </c:pt>
                <c:pt idx="5404">
                  <c:v>-4.9658872195582814E-2</c:v>
                </c:pt>
                <c:pt idx="5405">
                  <c:v>1.228615319138272E-2</c:v>
                </c:pt>
                <c:pt idx="5406">
                  <c:v>-3.4688123927347561E-2</c:v>
                </c:pt>
                <c:pt idx="5407">
                  <c:v>-2.0528348582132326E-3</c:v>
                </c:pt>
                <c:pt idx="5408">
                  <c:v>2.6504432260912258E-2</c:v>
                </c:pt>
                <c:pt idx="5409">
                  <c:v>1.4711893697398944E-2</c:v>
                </c:pt>
                <c:pt idx="5410">
                  <c:v>1.7569996359612832E-3</c:v>
                </c:pt>
                <c:pt idx="5411">
                  <c:v>-4.5630289812536418E-2</c:v>
                </c:pt>
                <c:pt idx="5412">
                  <c:v>-1.847046050730513E-2</c:v>
                </c:pt>
                <c:pt idx="5413">
                  <c:v>-2.3711294586290982E-2</c:v>
                </c:pt>
                <c:pt idx="5414">
                  <c:v>-3.6086460749670111E-2</c:v>
                </c:pt>
                <c:pt idx="5415">
                  <c:v>1.3432370150877296E-2</c:v>
                </c:pt>
                <c:pt idx="5416">
                  <c:v>-1.3909550099560871E-2</c:v>
                </c:pt>
                <c:pt idx="5417">
                  <c:v>6.0245598752262652E-2</c:v>
                </c:pt>
                <c:pt idx="5418">
                  <c:v>-1.6052648519241188E-3</c:v>
                </c:pt>
                <c:pt idx="5419">
                  <c:v>-4.3340423997436914E-2</c:v>
                </c:pt>
                <c:pt idx="5420">
                  <c:v>4.5234282262859018E-3</c:v>
                </c:pt>
                <c:pt idx="5421">
                  <c:v>1.3643349360166588E-2</c:v>
                </c:pt>
                <c:pt idx="5422">
                  <c:v>2.4008844692773285E-2</c:v>
                </c:pt>
                <c:pt idx="5423">
                  <c:v>-6.448361290574434E-3</c:v>
                </c:pt>
                <c:pt idx="5424">
                  <c:v>4.2467269368239302E-2</c:v>
                </c:pt>
                <c:pt idx="5425">
                  <c:v>3.695215170720885E-2</c:v>
                </c:pt>
                <c:pt idx="5426">
                  <c:v>-1.2887797601515543E-2</c:v>
                </c:pt>
                <c:pt idx="5427">
                  <c:v>1.5921533060981142E-2</c:v>
                </c:pt>
                <c:pt idx="5428">
                  <c:v>3.2843815194060263E-3</c:v>
                </c:pt>
                <c:pt idx="5429">
                  <c:v>-2.3677267455135147E-2</c:v>
                </c:pt>
                <c:pt idx="5430">
                  <c:v>-1.2657392242254378E-3</c:v>
                </c:pt>
                <c:pt idx="5431">
                  <c:v>4.1575072392202759E-3</c:v>
                </c:pt>
                <c:pt idx="5432">
                  <c:v>-1.4038370660677124E-2</c:v>
                </c:pt>
                <c:pt idx="5433">
                  <c:v>4.5489935483064244E-2</c:v>
                </c:pt>
                <c:pt idx="5434">
                  <c:v>-3.4774357553253245E-3</c:v>
                </c:pt>
                <c:pt idx="5435">
                  <c:v>-1.0872145284009014E-2</c:v>
                </c:pt>
                <c:pt idx="5436">
                  <c:v>-7.709091489303533E-3</c:v>
                </c:pt>
                <c:pt idx="5437">
                  <c:v>3.1446864343242877E-2</c:v>
                </c:pt>
                <c:pt idx="5438">
                  <c:v>-2.1762085419546356E-2</c:v>
                </c:pt>
                <c:pt idx="5439">
                  <c:v>-3.8852231993481332E-4</c:v>
                </c:pt>
                <c:pt idx="5440">
                  <c:v>-1.4691143695804336E-3</c:v>
                </c:pt>
                <c:pt idx="5441">
                  <c:v>1.6239144869655074E-2</c:v>
                </c:pt>
                <c:pt idx="5442">
                  <c:v>4.6872789122506617E-3</c:v>
                </c:pt>
                <c:pt idx="5443">
                  <c:v>-1.0413136667206823E-2</c:v>
                </c:pt>
                <c:pt idx="5444">
                  <c:v>-2.7703534739535518E-2</c:v>
                </c:pt>
                <c:pt idx="5445">
                  <c:v>-5.4985141578359528E-2</c:v>
                </c:pt>
                <c:pt idx="5446">
                  <c:v>2.0650357514024366E-2</c:v>
                </c:pt>
                <c:pt idx="5447">
                  <c:v>8.8087444528946266E-3</c:v>
                </c:pt>
                <c:pt idx="5448">
                  <c:v>1.6790142962406336E-2</c:v>
                </c:pt>
                <c:pt idx="5449">
                  <c:v>-3.0299095901341428E-3</c:v>
                </c:pt>
                <c:pt idx="5450">
                  <c:v>2.9113957353123936E-2</c:v>
                </c:pt>
                <c:pt idx="5451">
                  <c:v>-3.3051686305142304E-2</c:v>
                </c:pt>
                <c:pt idx="5452">
                  <c:v>1.3600698969405847E-2</c:v>
                </c:pt>
                <c:pt idx="5453">
                  <c:v>1.3146084291642454E-2</c:v>
                </c:pt>
                <c:pt idx="5454">
                  <c:v>-1.8550949809262963E-2</c:v>
                </c:pt>
                <c:pt idx="5455">
                  <c:v>-2.1647632481890326E-2</c:v>
                </c:pt>
                <c:pt idx="5456">
                  <c:v>8.5921779057346447E-3</c:v>
                </c:pt>
                <c:pt idx="5457">
                  <c:v>-8.2228570638573049E-3</c:v>
                </c:pt>
                <c:pt idx="5458">
                  <c:v>1.2047025051806305E-2</c:v>
                </c:pt>
                <c:pt idx="5459">
                  <c:v>-3.9930048497251236E-2</c:v>
                </c:pt>
                <c:pt idx="5460">
                  <c:v>3.2426107805987335E-2</c:v>
                </c:pt>
                <c:pt idx="5461">
                  <c:v>-4.2616532022284777E-2</c:v>
                </c:pt>
                <c:pt idx="5462">
                  <c:v>-1.4742094285809497E-2</c:v>
                </c:pt>
                <c:pt idx="5463">
                  <c:v>1.6012603927487979E-2</c:v>
                </c:pt>
                <c:pt idx="5464">
                  <c:v>1.8694848134573915E-2</c:v>
                </c:pt>
                <c:pt idx="5465">
                  <c:v>-1.5229997953580166E-3</c:v>
                </c:pt>
                <c:pt idx="5466">
                  <c:v>-1.8796073891558976E-2</c:v>
                </c:pt>
                <c:pt idx="5467">
                  <c:v>3.3465231230486003E-2</c:v>
                </c:pt>
                <c:pt idx="5468">
                  <c:v>1.7742640652114821E-2</c:v>
                </c:pt>
                <c:pt idx="5469">
                  <c:v>-1.7454026551366087E-3</c:v>
                </c:pt>
                <c:pt idx="5470">
                  <c:v>5.224417167824482E-2</c:v>
                </c:pt>
                <c:pt idx="5471">
                  <c:v>-1.1923132311925749E-2</c:v>
                </c:pt>
                <c:pt idx="5472">
                  <c:v>-3.683890598590082E-3</c:v>
                </c:pt>
                <c:pt idx="5473">
                  <c:v>-2.3501690207098219E-2</c:v>
                </c:pt>
                <c:pt idx="5474">
                  <c:v>-6.3927970971905279E-2</c:v>
                </c:pt>
                <c:pt idx="5475">
                  <c:v>-2.1311375044310251E-3</c:v>
                </c:pt>
                <c:pt idx="5476">
                  <c:v>3.1020219704332826E-2</c:v>
                </c:pt>
                <c:pt idx="5477">
                  <c:v>1.1259524573708601E-2</c:v>
                </c:pt>
                <c:pt idx="5478">
                  <c:v>-4.8172253172240071E-3</c:v>
                </c:pt>
                <c:pt idx="5479">
                  <c:v>-2.3581444959582414E-2</c:v>
                </c:pt>
                <c:pt idx="5480">
                  <c:v>-8.8325237957548701E-3</c:v>
                </c:pt>
                <c:pt idx="5481">
                  <c:v>3.0150526885295379E-2</c:v>
                </c:pt>
                <c:pt idx="5482">
                  <c:v>3.250270909623923E-3</c:v>
                </c:pt>
                <c:pt idx="5483">
                  <c:v>6.3469943086156642E-3</c:v>
                </c:pt>
                <c:pt idx="5484">
                  <c:v>1.172286181285797E-2</c:v>
                </c:pt>
                <c:pt idx="5485">
                  <c:v>1.8463117081416913E-2</c:v>
                </c:pt>
                <c:pt idx="5486">
                  <c:v>1.9885906152968248E-2</c:v>
                </c:pt>
                <c:pt idx="5487">
                  <c:v>-2.2121528849149714E-2</c:v>
                </c:pt>
                <c:pt idx="5488">
                  <c:v>3.0904244382442248E-3</c:v>
                </c:pt>
                <c:pt idx="5489">
                  <c:v>-8.1050746182531382E-3</c:v>
                </c:pt>
                <c:pt idx="5490">
                  <c:v>-1.9248220626046884E-2</c:v>
                </c:pt>
                <c:pt idx="5491">
                  <c:v>-4.6163103113029801E-3</c:v>
                </c:pt>
                <c:pt idx="5492">
                  <c:v>2.4864435249084952E-3</c:v>
                </c:pt>
                <c:pt idx="5493">
                  <c:v>-1.869173960935307E-2</c:v>
                </c:pt>
                <c:pt idx="5494">
                  <c:v>-1.2297698533291017E-2</c:v>
                </c:pt>
                <c:pt idx="5495">
                  <c:v>-2.9412393662926459E-2</c:v>
                </c:pt>
                <c:pt idx="5496">
                  <c:v>1.3478777804741306E-2</c:v>
                </c:pt>
                <c:pt idx="5497">
                  <c:v>-6.1435271462795312E-3</c:v>
                </c:pt>
                <c:pt idx="5498">
                  <c:v>1.1282464401605616E-2</c:v>
                </c:pt>
                <c:pt idx="5499">
                  <c:v>-3.0918033618672177E-2</c:v>
                </c:pt>
                <c:pt idx="5500">
                  <c:v>9.6317198398404684E-3</c:v>
                </c:pt>
                <c:pt idx="5501">
                  <c:v>-1.7217172006539019E-2</c:v>
                </c:pt>
                <c:pt idx="5502">
                  <c:v>9.643259552759624E-3</c:v>
                </c:pt>
                <c:pt idx="5503">
                  <c:v>-3.5015619591031222E-2</c:v>
                </c:pt>
                <c:pt idx="5504">
                  <c:v>9.0239663776837172E-3</c:v>
                </c:pt>
                <c:pt idx="5505">
                  <c:v>-3.4161924183799687E-2</c:v>
                </c:pt>
                <c:pt idx="5506">
                  <c:v>7.1110937466601189E-5</c:v>
                </c:pt>
                <c:pt idx="5507">
                  <c:v>2.0626382003599022E-3</c:v>
                </c:pt>
                <c:pt idx="5508">
                  <c:v>7.4223215090119064E-4</c:v>
                </c:pt>
                <c:pt idx="5509">
                  <c:v>-3.3528379166155094E-2</c:v>
                </c:pt>
                <c:pt idx="5510">
                  <c:v>-5.9891144642690536E-4</c:v>
                </c:pt>
                <c:pt idx="5511">
                  <c:v>-2.1795170864909667E-2</c:v>
                </c:pt>
                <c:pt idx="5512">
                  <c:v>-5.3549720001760514E-3</c:v>
                </c:pt>
                <c:pt idx="5513">
                  <c:v>-2.6000280170406117E-2</c:v>
                </c:pt>
                <c:pt idx="5514">
                  <c:v>3.5482314395916426E-2</c:v>
                </c:pt>
                <c:pt idx="5515">
                  <c:v>-2.4606129595182002E-3</c:v>
                </c:pt>
                <c:pt idx="5516">
                  <c:v>-1.081188005957851E-2</c:v>
                </c:pt>
                <c:pt idx="5517">
                  <c:v>-1.3107980687762314E-3</c:v>
                </c:pt>
                <c:pt idx="5518">
                  <c:v>1.5497438584373406E-2</c:v>
                </c:pt>
                <c:pt idx="5519">
                  <c:v>-3.6860260855795995E-2</c:v>
                </c:pt>
                <c:pt idx="5520">
                  <c:v>-4.7750306187408359E-3</c:v>
                </c:pt>
                <c:pt idx="5521">
                  <c:v>2.5053879720221255E-2</c:v>
                </c:pt>
                <c:pt idx="5522">
                  <c:v>-2.5517336014661062E-2</c:v>
                </c:pt>
                <c:pt idx="5523">
                  <c:v>5.5095279454585831E-2</c:v>
                </c:pt>
                <c:pt idx="5524">
                  <c:v>-1.6350617568948973E-2</c:v>
                </c:pt>
                <c:pt idx="5525">
                  <c:v>-1.8558609326210857E-2</c:v>
                </c:pt>
                <c:pt idx="5526">
                  <c:v>-7.7772509824636099E-3</c:v>
                </c:pt>
                <c:pt idx="5527">
                  <c:v>1.2598572906217825E-2</c:v>
                </c:pt>
                <c:pt idx="5528">
                  <c:v>-6.6445275709867985E-3</c:v>
                </c:pt>
                <c:pt idx="5529">
                  <c:v>-1.3286811500814802E-3</c:v>
                </c:pt>
                <c:pt idx="5530">
                  <c:v>3.8109038123532543E-2</c:v>
                </c:pt>
                <c:pt idx="5531">
                  <c:v>1.2266440345403777E-2</c:v>
                </c:pt>
                <c:pt idx="5532">
                  <c:v>-2.4620461580333115E-2</c:v>
                </c:pt>
                <c:pt idx="5533">
                  <c:v>-2.5841189508191167E-2</c:v>
                </c:pt>
                <c:pt idx="5534">
                  <c:v>-3.8581785827696446E-2</c:v>
                </c:pt>
                <c:pt idx="5535">
                  <c:v>2.257998562425134E-3</c:v>
                </c:pt>
                <c:pt idx="5536">
                  <c:v>-3.413135382413994E-2</c:v>
                </c:pt>
                <c:pt idx="5537">
                  <c:v>2.066560962516097E-2</c:v>
                </c:pt>
                <c:pt idx="5538">
                  <c:v>-1.9253707517922467E-2</c:v>
                </c:pt>
                <c:pt idx="5539">
                  <c:v>-3.0122836724375299E-2</c:v>
                </c:pt>
                <c:pt idx="5540">
                  <c:v>-1.7998072820383466E-2</c:v>
                </c:pt>
                <c:pt idx="5541">
                  <c:v>2.7106903006106801E-2</c:v>
                </c:pt>
                <c:pt idx="5542">
                  <c:v>3.3621802745659901E-2</c:v>
                </c:pt>
                <c:pt idx="5543">
                  <c:v>2.8537613034994504E-2</c:v>
                </c:pt>
                <c:pt idx="5544">
                  <c:v>-6.384370629648457E-3</c:v>
                </c:pt>
                <c:pt idx="5545">
                  <c:v>2.4346763111335479E-2</c:v>
                </c:pt>
                <c:pt idx="5546">
                  <c:v>-8.7679893912909136E-4</c:v>
                </c:pt>
                <c:pt idx="5547">
                  <c:v>1.9897596799725831E-2</c:v>
                </c:pt>
                <c:pt idx="5548">
                  <c:v>-1.8221970144683131E-2</c:v>
                </c:pt>
                <c:pt idx="5549">
                  <c:v>4.2538159155642973E-3</c:v>
                </c:pt>
                <c:pt idx="5550">
                  <c:v>-3.0130303209950721E-2</c:v>
                </c:pt>
                <c:pt idx="5551">
                  <c:v>3.1213512909639893E-2</c:v>
                </c:pt>
                <c:pt idx="5552">
                  <c:v>-9.3130278208342267E-3</c:v>
                </c:pt>
                <c:pt idx="5553">
                  <c:v>4.2635112446723716E-2</c:v>
                </c:pt>
                <c:pt idx="5554">
                  <c:v>2.2035871253532371E-2</c:v>
                </c:pt>
                <c:pt idx="5555">
                  <c:v>3.4652267937259694E-2</c:v>
                </c:pt>
                <c:pt idx="5556">
                  <c:v>2.4361862431849519E-2</c:v>
                </c:pt>
                <c:pt idx="5557">
                  <c:v>-2.1432372843472471E-2</c:v>
                </c:pt>
                <c:pt idx="5558">
                  <c:v>3.0557562125992106E-2</c:v>
                </c:pt>
                <c:pt idx="5559">
                  <c:v>1.3421002907723247E-2</c:v>
                </c:pt>
                <c:pt idx="5560">
                  <c:v>5.2808255988332546E-2</c:v>
                </c:pt>
                <c:pt idx="5561">
                  <c:v>2.459696607920705E-3</c:v>
                </c:pt>
                <c:pt idx="5562">
                  <c:v>-3.9041029581392286E-2</c:v>
                </c:pt>
                <c:pt idx="5563">
                  <c:v>-1.5948041516232182E-2</c:v>
                </c:pt>
                <c:pt idx="5564">
                  <c:v>6.2582086467260802E-3</c:v>
                </c:pt>
                <c:pt idx="5565">
                  <c:v>-1.0737766124057076E-2</c:v>
                </c:pt>
                <c:pt idx="5566">
                  <c:v>3.1268833528696333E-3</c:v>
                </c:pt>
                <c:pt idx="5567">
                  <c:v>3.9356450730469179E-2</c:v>
                </c:pt>
                <c:pt idx="5568">
                  <c:v>1.44799222203348E-2</c:v>
                </c:pt>
                <c:pt idx="5569">
                  <c:v>-1.2309742135524623E-2</c:v>
                </c:pt>
                <c:pt idx="5570">
                  <c:v>-4.2200333129627607E-2</c:v>
                </c:pt>
                <c:pt idx="5571">
                  <c:v>4.411697541543259E-3</c:v>
                </c:pt>
                <c:pt idx="5572">
                  <c:v>3.0192062636279458E-2</c:v>
                </c:pt>
                <c:pt idx="5573">
                  <c:v>-1.1081917428900242E-2</c:v>
                </c:pt>
                <c:pt idx="5574">
                  <c:v>-3.7800362584242881E-3</c:v>
                </c:pt>
                <c:pt idx="5575">
                  <c:v>2.0331242151996845E-2</c:v>
                </c:pt>
                <c:pt idx="5576">
                  <c:v>1.0618673783237012E-2</c:v>
                </c:pt>
                <c:pt idx="5577">
                  <c:v>-6.593529888379154E-3</c:v>
                </c:pt>
                <c:pt idx="5578">
                  <c:v>1.7455715585230069E-2</c:v>
                </c:pt>
                <c:pt idx="5579">
                  <c:v>-2.4365692693081979E-2</c:v>
                </c:pt>
                <c:pt idx="5580">
                  <c:v>-7.8923483852003096E-3</c:v>
                </c:pt>
                <c:pt idx="5581">
                  <c:v>-1.7445106237876842E-2</c:v>
                </c:pt>
                <c:pt idx="5582">
                  <c:v>-1.3771143823313087E-2</c:v>
                </c:pt>
                <c:pt idx="5583">
                  <c:v>-2.9804413487352216E-2</c:v>
                </c:pt>
                <c:pt idx="5584">
                  <c:v>2.5375548026707077E-3</c:v>
                </c:pt>
                <c:pt idx="5585">
                  <c:v>-2.7386925449768632E-2</c:v>
                </c:pt>
                <c:pt idx="5586">
                  <c:v>7.3201023079036732E-3</c:v>
                </c:pt>
                <c:pt idx="5587">
                  <c:v>7.1409652708297416E-4</c:v>
                </c:pt>
                <c:pt idx="5588">
                  <c:v>-5.8832134860679914E-3</c:v>
                </c:pt>
                <c:pt idx="5589">
                  <c:v>1.697675896035352E-2</c:v>
                </c:pt>
                <c:pt idx="5590">
                  <c:v>-5.5057014226940024E-2</c:v>
                </c:pt>
                <c:pt idx="5591">
                  <c:v>1.8842523910741118E-2</c:v>
                </c:pt>
                <c:pt idx="5592">
                  <c:v>9.7582074593076506E-3</c:v>
                </c:pt>
                <c:pt idx="5593">
                  <c:v>2.9828311437842571E-2</c:v>
                </c:pt>
                <c:pt idx="5594">
                  <c:v>-2.7083649424998395E-2</c:v>
                </c:pt>
                <c:pt idx="5595">
                  <c:v>-1.5152767067514956E-2</c:v>
                </c:pt>
                <c:pt idx="5596">
                  <c:v>-1.4719290194405219E-2</c:v>
                </c:pt>
                <c:pt idx="5597">
                  <c:v>1.5320860421692379E-2</c:v>
                </c:pt>
                <c:pt idx="5598">
                  <c:v>1.3046418786175164E-2</c:v>
                </c:pt>
                <c:pt idx="5599">
                  <c:v>-1.7847996131613843E-2</c:v>
                </c:pt>
                <c:pt idx="5600">
                  <c:v>2.2288412175191213E-2</c:v>
                </c:pt>
                <c:pt idx="5601">
                  <c:v>-1.9173313929867975E-2</c:v>
                </c:pt>
                <c:pt idx="5602">
                  <c:v>-2.3278518818352772E-3</c:v>
                </c:pt>
                <c:pt idx="5603">
                  <c:v>5.5112489857647322E-2</c:v>
                </c:pt>
                <c:pt idx="5604">
                  <c:v>8.3471700386219799E-3</c:v>
                </c:pt>
                <c:pt idx="5605">
                  <c:v>3.2630117436675257E-3</c:v>
                </c:pt>
                <c:pt idx="5606">
                  <c:v>-4.7848213105091013E-2</c:v>
                </c:pt>
                <c:pt idx="5607">
                  <c:v>2.4824624025514556E-2</c:v>
                </c:pt>
                <c:pt idx="5608">
                  <c:v>3.7731737503657374E-2</c:v>
                </c:pt>
                <c:pt idx="5609">
                  <c:v>-3.4570629218051367E-2</c:v>
                </c:pt>
                <c:pt idx="5610">
                  <c:v>2.6240107387275998E-2</c:v>
                </c:pt>
                <c:pt idx="5611">
                  <c:v>-3.7577485857502792E-2</c:v>
                </c:pt>
                <c:pt idx="5612">
                  <c:v>-1.1914206761870782E-2</c:v>
                </c:pt>
                <c:pt idx="5613">
                  <c:v>2.0963445626586197E-2</c:v>
                </c:pt>
                <c:pt idx="5614">
                  <c:v>-1.1942700828222104E-2</c:v>
                </c:pt>
                <c:pt idx="5615">
                  <c:v>5.0001890405020823E-2</c:v>
                </c:pt>
                <c:pt idx="5616">
                  <c:v>-1.3985695033914454E-2</c:v>
                </c:pt>
                <c:pt idx="5617">
                  <c:v>1.3204114721892968E-2</c:v>
                </c:pt>
                <c:pt idx="5618">
                  <c:v>-5.6839146365970122E-2</c:v>
                </c:pt>
                <c:pt idx="5619">
                  <c:v>1.7400754672662538E-2</c:v>
                </c:pt>
                <c:pt idx="5620">
                  <c:v>-2.8142617151959044E-2</c:v>
                </c:pt>
                <c:pt idx="5621">
                  <c:v>-1.9694881220454149E-2</c:v>
                </c:pt>
                <c:pt idx="5622">
                  <c:v>-2.8201851409655046E-2</c:v>
                </c:pt>
                <c:pt idx="5623">
                  <c:v>1.9447591337827141E-2</c:v>
                </c:pt>
                <c:pt idx="5624">
                  <c:v>-9.6194357244498169E-3</c:v>
                </c:pt>
                <c:pt idx="5625">
                  <c:v>2.6154550027048692E-2</c:v>
                </c:pt>
                <c:pt idx="5626">
                  <c:v>1.0329640401305304E-2</c:v>
                </c:pt>
                <c:pt idx="5627">
                  <c:v>3.0874520350135055E-2</c:v>
                </c:pt>
                <c:pt idx="5628">
                  <c:v>-2.036670675649865E-2</c:v>
                </c:pt>
                <c:pt idx="5629">
                  <c:v>9.2133540655564474E-3</c:v>
                </c:pt>
                <c:pt idx="5630">
                  <c:v>1.6987216794754876E-2</c:v>
                </c:pt>
                <c:pt idx="5631">
                  <c:v>-1.9894097927250134E-2</c:v>
                </c:pt>
                <c:pt idx="5632">
                  <c:v>-4.3168427478729302E-2</c:v>
                </c:pt>
                <c:pt idx="5633">
                  <c:v>1.5926214952176922E-3</c:v>
                </c:pt>
                <c:pt idx="5634">
                  <c:v>1.6727360194191594E-2</c:v>
                </c:pt>
                <c:pt idx="5635">
                  <c:v>4.8214349977719825E-3</c:v>
                </c:pt>
                <c:pt idx="5636">
                  <c:v>-2.412076336122938E-2</c:v>
                </c:pt>
                <c:pt idx="5637">
                  <c:v>-1.5247980507736507E-2</c:v>
                </c:pt>
                <c:pt idx="5638">
                  <c:v>-5.7506950405031895E-3</c:v>
                </c:pt>
                <c:pt idx="5639">
                  <c:v>-9.9854253589547522E-3</c:v>
                </c:pt>
                <c:pt idx="5640">
                  <c:v>1.8297389281334259E-2</c:v>
                </c:pt>
                <c:pt idx="5641">
                  <c:v>-2.343430187103657E-2</c:v>
                </c:pt>
                <c:pt idx="5642">
                  <c:v>1.2803720118273862E-2</c:v>
                </c:pt>
                <c:pt idx="5643">
                  <c:v>-1.3482762769643558E-2</c:v>
                </c:pt>
                <c:pt idx="5644">
                  <c:v>-2.8028398875179925E-2</c:v>
                </c:pt>
                <c:pt idx="5645">
                  <c:v>2.4489089553519903E-3</c:v>
                </c:pt>
                <c:pt idx="5646">
                  <c:v>-1.2156073336287135E-4</c:v>
                </c:pt>
                <c:pt idx="5647">
                  <c:v>3.0048106497835715E-2</c:v>
                </c:pt>
                <c:pt idx="5648">
                  <c:v>6.8148855744876776E-3</c:v>
                </c:pt>
                <c:pt idx="5649">
                  <c:v>3.2054145775294828E-3</c:v>
                </c:pt>
                <c:pt idx="5650">
                  <c:v>-4.3046249911446281E-2</c:v>
                </c:pt>
                <c:pt idx="5651">
                  <c:v>-8.3167199106182095E-3</c:v>
                </c:pt>
                <c:pt idx="5652">
                  <c:v>1.0882774740410031E-2</c:v>
                </c:pt>
                <c:pt idx="5653">
                  <c:v>2.0656820747449935E-2</c:v>
                </c:pt>
                <c:pt idx="5654">
                  <c:v>6.2143787963194162E-3</c:v>
                </c:pt>
                <c:pt idx="5655">
                  <c:v>2.3862624345517679E-2</c:v>
                </c:pt>
                <c:pt idx="5656">
                  <c:v>-1.4515514138676838E-2</c:v>
                </c:pt>
                <c:pt idx="5657">
                  <c:v>-2.5402522138063925E-2</c:v>
                </c:pt>
                <c:pt idx="5658">
                  <c:v>-2.4611302495996929E-2</c:v>
                </c:pt>
                <c:pt idx="5659">
                  <c:v>-2.3881269347280913E-3</c:v>
                </c:pt>
                <c:pt idx="5660">
                  <c:v>9.9866572663914587E-3</c:v>
                </c:pt>
                <c:pt idx="5661">
                  <c:v>5.1075392070923809E-4</c:v>
                </c:pt>
                <c:pt idx="5662">
                  <c:v>-8.8865795457452115E-3</c:v>
                </c:pt>
                <c:pt idx="5663">
                  <c:v>1.9884102473464109E-2</c:v>
                </c:pt>
                <c:pt idx="5664">
                  <c:v>2.5446510831694625E-2</c:v>
                </c:pt>
                <c:pt idx="5665">
                  <c:v>-1.5617431181048285E-2</c:v>
                </c:pt>
                <c:pt idx="5666">
                  <c:v>-2.1190906196864857E-2</c:v>
                </c:pt>
                <c:pt idx="5667">
                  <c:v>1.6745686648680074E-2</c:v>
                </c:pt>
                <c:pt idx="5668">
                  <c:v>-3.9136486748123513E-2</c:v>
                </c:pt>
                <c:pt idx="5669">
                  <c:v>1.1312927099836848E-2</c:v>
                </c:pt>
                <c:pt idx="5670">
                  <c:v>-1.309557752465697E-2</c:v>
                </c:pt>
                <c:pt idx="5671">
                  <c:v>-2.4329601644695772E-2</c:v>
                </c:pt>
                <c:pt idx="5672">
                  <c:v>1.8995333590109145E-2</c:v>
                </c:pt>
                <c:pt idx="5673">
                  <c:v>-2.3183752984384888E-2</c:v>
                </c:pt>
                <c:pt idx="5674">
                  <c:v>9.6484006250120626E-3</c:v>
                </c:pt>
                <c:pt idx="5675">
                  <c:v>9.0143451390176585E-3</c:v>
                </c:pt>
                <c:pt idx="5676">
                  <c:v>2.6847111734700146E-3</c:v>
                </c:pt>
                <c:pt idx="5677">
                  <c:v>5.0869482278276465E-2</c:v>
                </c:pt>
                <c:pt idx="5678">
                  <c:v>-1.404410444878944E-3</c:v>
                </c:pt>
                <c:pt idx="5679">
                  <c:v>-2.2292318307772538E-5</c:v>
                </c:pt>
                <c:pt idx="5680">
                  <c:v>2.4424501442489727E-2</c:v>
                </c:pt>
                <c:pt idx="5681">
                  <c:v>5.9519383194548362E-3</c:v>
                </c:pt>
                <c:pt idx="5682">
                  <c:v>1.5524405870089531E-2</c:v>
                </c:pt>
                <c:pt idx="5683">
                  <c:v>-1.3988155958333521E-3</c:v>
                </c:pt>
                <c:pt idx="5684">
                  <c:v>2.4684378161429564E-2</c:v>
                </c:pt>
                <c:pt idx="5685">
                  <c:v>-1.1246735772060182E-2</c:v>
                </c:pt>
                <c:pt idx="5686">
                  <c:v>-1.619171443867258E-2</c:v>
                </c:pt>
                <c:pt idx="5687">
                  <c:v>1.8878403695528845E-2</c:v>
                </c:pt>
                <c:pt idx="5688">
                  <c:v>6.4478597503842314E-2</c:v>
                </c:pt>
                <c:pt idx="5689">
                  <c:v>1.1847598342033442E-2</c:v>
                </c:pt>
                <c:pt idx="5690">
                  <c:v>-1.1644626424604046E-2</c:v>
                </c:pt>
                <c:pt idx="5691">
                  <c:v>9.203423231732304E-3</c:v>
                </c:pt>
                <c:pt idx="5692">
                  <c:v>-1.2399893239496775E-2</c:v>
                </c:pt>
                <c:pt idx="5693">
                  <c:v>2.6311935863644227E-2</c:v>
                </c:pt>
                <c:pt idx="5694">
                  <c:v>4.5409255411967518E-3</c:v>
                </c:pt>
                <c:pt idx="5695">
                  <c:v>2.5651815975022727E-2</c:v>
                </c:pt>
                <c:pt idx="5696">
                  <c:v>-5.4942568593591555E-2</c:v>
                </c:pt>
                <c:pt idx="5697">
                  <c:v>1.8036296572122159E-2</c:v>
                </c:pt>
                <c:pt idx="5698">
                  <c:v>3.7557318541406121E-2</c:v>
                </c:pt>
                <c:pt idx="5699">
                  <c:v>-5.021901545042607E-3</c:v>
                </c:pt>
                <c:pt idx="5700">
                  <c:v>4.4026854362626119E-3</c:v>
                </c:pt>
                <c:pt idx="5701">
                  <c:v>-3.3977078570188876E-2</c:v>
                </c:pt>
                <c:pt idx="5702">
                  <c:v>3.1032496312292442E-2</c:v>
                </c:pt>
                <c:pt idx="5703">
                  <c:v>1.9427380210816712E-2</c:v>
                </c:pt>
                <c:pt idx="5704">
                  <c:v>1.7428877156974453E-2</c:v>
                </c:pt>
                <c:pt idx="5705">
                  <c:v>2.1186607705843711E-3</c:v>
                </c:pt>
                <c:pt idx="5706">
                  <c:v>3.1126649633166258E-2</c:v>
                </c:pt>
                <c:pt idx="5707">
                  <c:v>-1.2534133664466522E-4</c:v>
                </c:pt>
                <c:pt idx="5708">
                  <c:v>-2.5206563546786766E-2</c:v>
                </c:pt>
                <c:pt idx="5709">
                  <c:v>2.2468772054584075E-2</c:v>
                </c:pt>
                <c:pt idx="5710">
                  <c:v>1.1753223512311619E-2</c:v>
                </c:pt>
                <c:pt idx="5711">
                  <c:v>4.3261685170305399E-3</c:v>
                </c:pt>
                <c:pt idx="5712">
                  <c:v>-3.0212358098006729E-3</c:v>
                </c:pt>
                <c:pt idx="5713">
                  <c:v>-2.2413073115181488E-2</c:v>
                </c:pt>
                <c:pt idx="5714">
                  <c:v>-1.0860252149120636E-3</c:v>
                </c:pt>
                <c:pt idx="5715">
                  <c:v>1.7686266616513528E-3</c:v>
                </c:pt>
                <c:pt idx="5716">
                  <c:v>-1.5743917963100259E-2</c:v>
                </c:pt>
                <c:pt idx="5717">
                  <c:v>3.0224056971630297E-3</c:v>
                </c:pt>
                <c:pt idx="5718">
                  <c:v>1.1433159567454672E-2</c:v>
                </c:pt>
                <c:pt idx="5719">
                  <c:v>-1.105329592030963E-2</c:v>
                </c:pt>
                <c:pt idx="5720">
                  <c:v>-5.3163868997267161E-3</c:v>
                </c:pt>
                <c:pt idx="5721">
                  <c:v>-4.6504679679862434E-3</c:v>
                </c:pt>
                <c:pt idx="5722">
                  <c:v>-3.2320522171442184E-2</c:v>
                </c:pt>
                <c:pt idx="5723">
                  <c:v>-4.5929510664903736E-2</c:v>
                </c:pt>
                <c:pt idx="5724">
                  <c:v>-1.5757705447325947E-2</c:v>
                </c:pt>
                <c:pt idx="5725">
                  <c:v>1.6401339564891978E-2</c:v>
                </c:pt>
                <c:pt idx="5726">
                  <c:v>2.1067435505603784E-4</c:v>
                </c:pt>
                <c:pt idx="5727">
                  <c:v>1.0840973130699387E-4</c:v>
                </c:pt>
                <c:pt idx="5728">
                  <c:v>-3.4693447160856532E-2</c:v>
                </c:pt>
                <c:pt idx="5729">
                  <c:v>7.6958421857205618E-3</c:v>
                </c:pt>
                <c:pt idx="5730">
                  <c:v>-1.0704816496036381E-2</c:v>
                </c:pt>
                <c:pt idx="5731">
                  <c:v>-4.8885923521486199E-2</c:v>
                </c:pt>
                <c:pt idx="5732">
                  <c:v>1.9840150759949077E-2</c:v>
                </c:pt>
                <c:pt idx="5733">
                  <c:v>-2.9932517343579809E-2</c:v>
                </c:pt>
                <c:pt idx="5734">
                  <c:v>-3.1974502742012855E-3</c:v>
                </c:pt>
                <c:pt idx="5735">
                  <c:v>9.3883794002903708E-3</c:v>
                </c:pt>
                <c:pt idx="5736">
                  <c:v>4.985203997583857E-2</c:v>
                </c:pt>
                <c:pt idx="5737">
                  <c:v>-8.1964674753447881E-4</c:v>
                </c:pt>
                <c:pt idx="5738">
                  <c:v>1.5414390022643805E-2</c:v>
                </c:pt>
                <c:pt idx="5739">
                  <c:v>-3.3373601084018829E-2</c:v>
                </c:pt>
                <c:pt idx="5740">
                  <c:v>-5.126894459639042E-3</c:v>
                </c:pt>
                <c:pt idx="5741">
                  <c:v>1.1484827169871892E-2</c:v>
                </c:pt>
                <c:pt idx="5742">
                  <c:v>3.142306271094801E-2</c:v>
                </c:pt>
                <c:pt idx="5743">
                  <c:v>-2.4987692988031541E-2</c:v>
                </c:pt>
                <c:pt idx="5744">
                  <c:v>-1.3251428831200028E-2</c:v>
                </c:pt>
                <c:pt idx="5745">
                  <c:v>-5.6963433335999944E-3</c:v>
                </c:pt>
                <c:pt idx="5746">
                  <c:v>-4.130489213495165E-2</c:v>
                </c:pt>
                <c:pt idx="5747">
                  <c:v>-4.818298507086545E-3</c:v>
                </c:pt>
                <c:pt idx="5748">
                  <c:v>-5.5547334975886847E-3</c:v>
                </c:pt>
                <c:pt idx="5749">
                  <c:v>-4.4756774338003558E-3</c:v>
                </c:pt>
                <c:pt idx="5750">
                  <c:v>7.7938451611979515E-3</c:v>
                </c:pt>
                <c:pt idx="5751">
                  <c:v>2.8837095140887586E-2</c:v>
                </c:pt>
                <c:pt idx="5752">
                  <c:v>-5.5223769503033059E-2</c:v>
                </c:pt>
                <c:pt idx="5753">
                  <c:v>-4.4015425474969259E-3</c:v>
                </c:pt>
                <c:pt idx="5754">
                  <c:v>1.7135834151564961E-2</c:v>
                </c:pt>
                <c:pt idx="5755">
                  <c:v>-2.3776052224936943E-2</c:v>
                </c:pt>
                <c:pt idx="5756">
                  <c:v>-4.8252938136721449E-3</c:v>
                </c:pt>
                <c:pt idx="5757">
                  <c:v>-1.766233386135632E-3</c:v>
                </c:pt>
                <c:pt idx="5758">
                  <c:v>-1.1400999127173048E-2</c:v>
                </c:pt>
                <c:pt idx="5759">
                  <c:v>-1.7810855237198522E-2</c:v>
                </c:pt>
                <c:pt idx="5760">
                  <c:v>3.1199581285040814E-2</c:v>
                </c:pt>
                <c:pt idx="5761">
                  <c:v>-8.4931587124761412E-3</c:v>
                </c:pt>
                <c:pt idx="5762">
                  <c:v>9.4170498015331838E-3</c:v>
                </c:pt>
                <c:pt idx="5763">
                  <c:v>-5.4165043764125252E-3</c:v>
                </c:pt>
                <c:pt idx="5764">
                  <c:v>1.2485955022881086E-2</c:v>
                </c:pt>
                <c:pt idx="5765">
                  <c:v>-6.8654610098464637E-3</c:v>
                </c:pt>
                <c:pt idx="5766">
                  <c:v>-8.0166626222320046E-3</c:v>
                </c:pt>
                <c:pt idx="5767">
                  <c:v>8.7775554208823405E-3</c:v>
                </c:pt>
                <c:pt idx="5768">
                  <c:v>-1.6626676557374404E-2</c:v>
                </c:pt>
                <c:pt idx="5769">
                  <c:v>2.3653306202960148E-2</c:v>
                </c:pt>
                <c:pt idx="5770">
                  <c:v>-1.1979593670189109E-2</c:v>
                </c:pt>
                <c:pt idx="5771">
                  <c:v>6.28865369666399E-2</c:v>
                </c:pt>
                <c:pt idx="5772">
                  <c:v>-1.7547215645788389E-2</c:v>
                </c:pt>
                <c:pt idx="5773">
                  <c:v>-1.1082051600537286E-2</c:v>
                </c:pt>
                <c:pt idx="5774">
                  <c:v>-2.5736271166918744E-2</c:v>
                </c:pt>
                <c:pt idx="5775">
                  <c:v>1.7474012446582802E-3</c:v>
                </c:pt>
                <c:pt idx="5776">
                  <c:v>2.3059482925833225E-2</c:v>
                </c:pt>
                <c:pt idx="5777">
                  <c:v>4.3924073572224658E-2</c:v>
                </c:pt>
                <c:pt idx="5778">
                  <c:v>7.8894481808562279E-3</c:v>
                </c:pt>
                <c:pt idx="5779">
                  <c:v>1.0196658911319321E-2</c:v>
                </c:pt>
                <c:pt idx="5780">
                  <c:v>5.6616602953351424E-3</c:v>
                </c:pt>
                <c:pt idx="5781">
                  <c:v>5.2462952662887023E-2</c:v>
                </c:pt>
                <c:pt idx="5782">
                  <c:v>-2.660481298357743E-2</c:v>
                </c:pt>
                <c:pt idx="5783">
                  <c:v>1.2923189185652625E-2</c:v>
                </c:pt>
                <c:pt idx="5784">
                  <c:v>2.5534686594095211E-3</c:v>
                </c:pt>
                <c:pt idx="5785">
                  <c:v>9.8457226243812805E-3</c:v>
                </c:pt>
                <c:pt idx="5786">
                  <c:v>1.2408371908392031E-2</c:v>
                </c:pt>
                <c:pt idx="5787">
                  <c:v>-2.1672352261795829E-3</c:v>
                </c:pt>
                <c:pt idx="5788">
                  <c:v>1.8954473442350656E-2</c:v>
                </c:pt>
                <c:pt idx="5789">
                  <c:v>8.4763379632485925E-3</c:v>
                </c:pt>
                <c:pt idx="5790">
                  <c:v>4.7682406675335041E-3</c:v>
                </c:pt>
                <c:pt idx="5791">
                  <c:v>-2.924100069783343E-2</c:v>
                </c:pt>
                <c:pt idx="5792">
                  <c:v>-3.6352446190387939E-3</c:v>
                </c:pt>
                <c:pt idx="5793">
                  <c:v>1.8953184846284894E-2</c:v>
                </c:pt>
                <c:pt idx="5794">
                  <c:v>2.1247691141807152E-2</c:v>
                </c:pt>
                <c:pt idx="5795">
                  <c:v>1.7555127159612598E-2</c:v>
                </c:pt>
                <c:pt idx="5796">
                  <c:v>-2.1901014734210376E-2</c:v>
                </c:pt>
                <c:pt idx="5797">
                  <c:v>-4.8723102418886735E-3</c:v>
                </c:pt>
                <c:pt idx="5798">
                  <c:v>-1.2336229313797771E-2</c:v>
                </c:pt>
                <c:pt idx="5799">
                  <c:v>1.6413790075507334E-2</c:v>
                </c:pt>
                <c:pt idx="5800">
                  <c:v>-3.7980890158393382E-3</c:v>
                </c:pt>
                <c:pt idx="5801">
                  <c:v>1.1629500610914187E-2</c:v>
                </c:pt>
                <c:pt idx="5802">
                  <c:v>-2.4397809960702326E-2</c:v>
                </c:pt>
                <c:pt idx="5803">
                  <c:v>-3.4953034149412511E-2</c:v>
                </c:pt>
                <c:pt idx="5804">
                  <c:v>2.1888567311350728E-2</c:v>
                </c:pt>
                <c:pt idx="5805">
                  <c:v>-3.0751021268854675E-2</c:v>
                </c:pt>
                <c:pt idx="5806">
                  <c:v>3.1457088547059572E-2</c:v>
                </c:pt>
                <c:pt idx="5807">
                  <c:v>1.3265015355334933E-2</c:v>
                </c:pt>
                <c:pt idx="5808">
                  <c:v>-8.701814176148643E-3</c:v>
                </c:pt>
                <c:pt idx="5809">
                  <c:v>2.1703920136905568E-2</c:v>
                </c:pt>
                <c:pt idx="5810">
                  <c:v>9.6760423676617718E-3</c:v>
                </c:pt>
                <c:pt idx="5811">
                  <c:v>-5.9942954778526791E-2</c:v>
                </c:pt>
                <c:pt idx="5812">
                  <c:v>-1.2645611731502991E-2</c:v>
                </c:pt>
                <c:pt idx="5813">
                  <c:v>-2.6436662519625006E-2</c:v>
                </c:pt>
                <c:pt idx="5814">
                  <c:v>5.9664617148543805E-2</c:v>
                </c:pt>
                <c:pt idx="5815">
                  <c:v>7.2290030424213628E-3</c:v>
                </c:pt>
                <c:pt idx="5816">
                  <c:v>8.1264777421920372E-4</c:v>
                </c:pt>
                <c:pt idx="5817">
                  <c:v>5.3660476920320214E-2</c:v>
                </c:pt>
                <c:pt idx="5818">
                  <c:v>2.7487419592379459E-3</c:v>
                </c:pt>
                <c:pt idx="5819">
                  <c:v>2.0344615254128985E-2</c:v>
                </c:pt>
                <c:pt idx="5820">
                  <c:v>-5.0701078680465955E-3</c:v>
                </c:pt>
                <c:pt idx="5821">
                  <c:v>-7.0131708868961199E-3</c:v>
                </c:pt>
                <c:pt idx="5822">
                  <c:v>-1.8014919790273264E-2</c:v>
                </c:pt>
                <c:pt idx="5823">
                  <c:v>-1.6211602077352442E-2</c:v>
                </c:pt>
                <c:pt idx="5824">
                  <c:v>-5.6846178553235701E-3</c:v>
                </c:pt>
                <c:pt idx="5825">
                  <c:v>-3.7818292889978959E-3</c:v>
                </c:pt>
                <c:pt idx="5826">
                  <c:v>-2.2181732446042872E-2</c:v>
                </c:pt>
                <c:pt idx="5827">
                  <c:v>-4.2668269263018387E-3</c:v>
                </c:pt>
                <c:pt idx="5828">
                  <c:v>7.219008113946164E-3</c:v>
                </c:pt>
                <c:pt idx="5829">
                  <c:v>5.1228893328670429E-2</c:v>
                </c:pt>
                <c:pt idx="5830">
                  <c:v>1.1161261819844989E-2</c:v>
                </c:pt>
                <c:pt idx="5831">
                  <c:v>1.8960884073694201E-2</c:v>
                </c:pt>
                <c:pt idx="5832">
                  <c:v>-3.3935281764437791E-3</c:v>
                </c:pt>
                <c:pt idx="5833">
                  <c:v>1.2360754526033041E-3</c:v>
                </c:pt>
                <c:pt idx="5834">
                  <c:v>-4.4107805408245861E-3</c:v>
                </c:pt>
                <c:pt idx="5835">
                  <c:v>-1.2285381312686363E-2</c:v>
                </c:pt>
                <c:pt idx="5836">
                  <c:v>6.8369561383721765E-3</c:v>
                </c:pt>
                <c:pt idx="5837">
                  <c:v>3.9774706266980236E-3</c:v>
                </c:pt>
                <c:pt idx="5838">
                  <c:v>-4.4400618129553732E-2</c:v>
                </c:pt>
                <c:pt idx="5839">
                  <c:v>-2.152548054608518E-3</c:v>
                </c:pt>
                <c:pt idx="5840">
                  <c:v>1.8535218734548321E-2</c:v>
                </c:pt>
                <c:pt idx="5841">
                  <c:v>-4.5623522279498445E-2</c:v>
                </c:pt>
                <c:pt idx="5842">
                  <c:v>-3.1968031185487023E-3</c:v>
                </c:pt>
                <c:pt idx="5843">
                  <c:v>-3.0610679973261782E-2</c:v>
                </c:pt>
                <c:pt idx="5844">
                  <c:v>6.4824230654541119E-3</c:v>
                </c:pt>
                <c:pt idx="5845">
                  <c:v>-6.5314388734817562E-3</c:v>
                </c:pt>
                <c:pt idx="5846">
                  <c:v>3.8562006812136659E-2</c:v>
                </c:pt>
                <c:pt idx="5847">
                  <c:v>2.2547922342212312E-3</c:v>
                </c:pt>
                <c:pt idx="5848">
                  <c:v>6.3408441123634033E-3</c:v>
                </c:pt>
                <c:pt idx="5849">
                  <c:v>3.9092978020739313E-2</c:v>
                </c:pt>
                <c:pt idx="5850">
                  <c:v>1.609855123894368E-2</c:v>
                </c:pt>
                <c:pt idx="5851">
                  <c:v>-1.9822769906559172E-2</c:v>
                </c:pt>
                <c:pt idx="5852">
                  <c:v>2.362271033866209E-2</c:v>
                </c:pt>
                <c:pt idx="5853">
                  <c:v>1.0410932106140676E-2</c:v>
                </c:pt>
                <c:pt idx="5854">
                  <c:v>3.3675932549254529E-2</c:v>
                </c:pt>
                <c:pt idx="5855">
                  <c:v>-4.4609550053487171E-3</c:v>
                </c:pt>
                <c:pt idx="5856">
                  <c:v>-6.5350322411490171E-3</c:v>
                </c:pt>
                <c:pt idx="5857">
                  <c:v>3.7891455198129725E-2</c:v>
                </c:pt>
                <c:pt idx="5858">
                  <c:v>1.8401115928605553E-2</c:v>
                </c:pt>
                <c:pt idx="5859">
                  <c:v>5.2898073632741682E-3</c:v>
                </c:pt>
                <c:pt idx="5860">
                  <c:v>-1.4745438447760892E-2</c:v>
                </c:pt>
                <c:pt idx="5861">
                  <c:v>-3.7962189179257221E-2</c:v>
                </c:pt>
                <c:pt idx="5862">
                  <c:v>-7.5374926158357797E-3</c:v>
                </c:pt>
                <c:pt idx="5863">
                  <c:v>-3.574550812110449E-2</c:v>
                </c:pt>
                <c:pt idx="5864">
                  <c:v>3.3291494794459508E-3</c:v>
                </c:pt>
                <c:pt idx="5865">
                  <c:v>1.2202436986035697E-3</c:v>
                </c:pt>
                <c:pt idx="5866">
                  <c:v>1.3285806125799939E-2</c:v>
                </c:pt>
                <c:pt idx="5867">
                  <c:v>4.0968586188268189E-3</c:v>
                </c:pt>
                <c:pt idx="5868">
                  <c:v>-4.9908670146239049E-6</c:v>
                </c:pt>
                <c:pt idx="5869">
                  <c:v>2.3987031635523482E-3</c:v>
                </c:pt>
                <c:pt idx="5870">
                  <c:v>2.7772546273333604E-2</c:v>
                </c:pt>
                <c:pt idx="5871">
                  <c:v>-1.1191410780607761E-2</c:v>
                </c:pt>
                <c:pt idx="5872">
                  <c:v>2.6395994107757566E-2</c:v>
                </c:pt>
                <c:pt idx="5873">
                  <c:v>9.1868090070705462E-3</c:v>
                </c:pt>
                <c:pt idx="5874">
                  <c:v>1.7351490785835907E-2</c:v>
                </c:pt>
                <c:pt idx="5875">
                  <c:v>-2.5401475166877987E-2</c:v>
                </c:pt>
                <c:pt idx="5876">
                  <c:v>-3.3515692963048342E-2</c:v>
                </c:pt>
                <c:pt idx="5877">
                  <c:v>5.192833325300078E-2</c:v>
                </c:pt>
                <c:pt idx="5878">
                  <c:v>-2.5955268641211591E-2</c:v>
                </c:pt>
                <c:pt idx="5879">
                  <c:v>1.8168400253359928E-2</c:v>
                </c:pt>
                <c:pt idx="5880">
                  <c:v>-1.1520618906159276E-2</c:v>
                </c:pt>
                <c:pt idx="5881">
                  <c:v>4.2857563924928056E-3</c:v>
                </c:pt>
                <c:pt idx="5882">
                  <c:v>2.6264003904952468E-2</c:v>
                </c:pt>
                <c:pt idx="5883">
                  <c:v>2.2985629351707861E-2</c:v>
                </c:pt>
                <c:pt idx="5884">
                  <c:v>3.7558450959770534E-2</c:v>
                </c:pt>
                <c:pt idx="5885">
                  <c:v>-3.6491200428592258E-3</c:v>
                </c:pt>
                <c:pt idx="5886">
                  <c:v>-2.5194345581553167E-2</c:v>
                </c:pt>
                <c:pt idx="5887">
                  <c:v>-2.4910798174055726E-2</c:v>
                </c:pt>
                <c:pt idx="5888">
                  <c:v>-1.5260701290345891E-2</c:v>
                </c:pt>
                <c:pt idx="5889">
                  <c:v>-4.7982078007779254E-3</c:v>
                </c:pt>
                <c:pt idx="5890">
                  <c:v>1.0997224441899564E-2</c:v>
                </c:pt>
                <c:pt idx="5891">
                  <c:v>-2.0604532563036047E-2</c:v>
                </c:pt>
                <c:pt idx="5892">
                  <c:v>3.10819541581548E-2</c:v>
                </c:pt>
                <c:pt idx="5893">
                  <c:v>9.3808653665923697E-3</c:v>
                </c:pt>
                <c:pt idx="5894">
                  <c:v>5.8648641891399053E-2</c:v>
                </c:pt>
                <c:pt idx="5895">
                  <c:v>1.9562691078332379E-2</c:v>
                </c:pt>
                <c:pt idx="5896">
                  <c:v>-3.7572943526092422E-3</c:v>
                </c:pt>
                <c:pt idx="5897">
                  <c:v>-1.2530967578079522E-2</c:v>
                </c:pt>
                <c:pt idx="5898">
                  <c:v>1.9743112950049824E-2</c:v>
                </c:pt>
                <c:pt idx="5899">
                  <c:v>3.114753215741628E-2</c:v>
                </c:pt>
                <c:pt idx="5900">
                  <c:v>-2.9905944078018869E-2</c:v>
                </c:pt>
                <c:pt idx="5901">
                  <c:v>3.5449372839946834E-2</c:v>
                </c:pt>
                <c:pt idx="5902">
                  <c:v>1.9339593768398292E-2</c:v>
                </c:pt>
                <c:pt idx="5903">
                  <c:v>-6.190053457217572E-3</c:v>
                </c:pt>
                <c:pt idx="5904">
                  <c:v>2.8550629779196027E-3</c:v>
                </c:pt>
                <c:pt idx="5905">
                  <c:v>2.5894667859009259E-2</c:v>
                </c:pt>
                <c:pt idx="5906">
                  <c:v>-4.9008893106718982E-3</c:v>
                </c:pt>
                <c:pt idx="5907">
                  <c:v>8.3956171811836351E-3</c:v>
                </c:pt>
                <c:pt idx="5908">
                  <c:v>-1.4409549004416008E-2</c:v>
                </c:pt>
                <c:pt idx="5909">
                  <c:v>4.2592587221986326E-3</c:v>
                </c:pt>
                <c:pt idx="5910">
                  <c:v>-1.1523517463827813E-2</c:v>
                </c:pt>
                <c:pt idx="5911">
                  <c:v>-8.8801934843729686E-3</c:v>
                </c:pt>
                <c:pt idx="5912">
                  <c:v>2.8432434747096107E-2</c:v>
                </c:pt>
                <c:pt idx="5913">
                  <c:v>-2.453297511298164E-2</c:v>
                </c:pt>
                <c:pt idx="5914">
                  <c:v>-7.7893099232885284E-3</c:v>
                </c:pt>
                <c:pt idx="5915">
                  <c:v>-6.115183895795801E-4</c:v>
                </c:pt>
                <c:pt idx="5916">
                  <c:v>1.4099016298386467E-2</c:v>
                </c:pt>
                <c:pt idx="5917">
                  <c:v>-1.5010908720852777E-2</c:v>
                </c:pt>
                <c:pt idx="5918">
                  <c:v>-3.3157119681036687E-3</c:v>
                </c:pt>
                <c:pt idx="5919">
                  <c:v>4.8259891595105308E-3</c:v>
                </c:pt>
                <c:pt idx="5920">
                  <c:v>1.7721051757516721E-2</c:v>
                </c:pt>
                <c:pt idx="5921">
                  <c:v>-1.0497754813430776E-2</c:v>
                </c:pt>
                <c:pt idx="5922">
                  <c:v>5.917413346604436E-3</c:v>
                </c:pt>
                <c:pt idx="5923">
                  <c:v>1.3668624671898997E-2</c:v>
                </c:pt>
                <c:pt idx="5924">
                  <c:v>1.8219404196865827E-2</c:v>
                </c:pt>
                <c:pt idx="5925">
                  <c:v>3.1915597359340367E-2</c:v>
                </c:pt>
                <c:pt idx="5926">
                  <c:v>3.3606106905018925E-2</c:v>
                </c:pt>
                <c:pt idx="5927">
                  <c:v>9.5558379943209322E-3</c:v>
                </c:pt>
                <c:pt idx="5928">
                  <c:v>4.3789616704003914E-2</c:v>
                </c:pt>
                <c:pt idx="5929">
                  <c:v>-3.6555488729398962E-2</c:v>
                </c:pt>
                <c:pt idx="5930">
                  <c:v>-3.5759196717916664E-2</c:v>
                </c:pt>
                <c:pt idx="5931">
                  <c:v>1.3080753200072579E-2</c:v>
                </c:pt>
                <c:pt idx="5932">
                  <c:v>3.0969562530383059E-2</c:v>
                </c:pt>
                <c:pt idx="5933">
                  <c:v>2.0857205556386225E-2</c:v>
                </c:pt>
                <c:pt idx="5934">
                  <c:v>3.8495049738071732E-2</c:v>
                </c:pt>
                <c:pt idx="5935">
                  <c:v>1.3127843574771918E-2</c:v>
                </c:pt>
                <c:pt idx="5936">
                  <c:v>-2.7374945363805674E-2</c:v>
                </c:pt>
                <c:pt idx="5937">
                  <c:v>-8.0629993014928111E-3</c:v>
                </c:pt>
                <c:pt idx="5938">
                  <c:v>1.0987815937915509E-2</c:v>
                </c:pt>
                <c:pt idx="5939">
                  <c:v>6.8908555975299393E-2</c:v>
                </c:pt>
                <c:pt idx="5940">
                  <c:v>7.3274981865006153E-3</c:v>
                </c:pt>
                <c:pt idx="5941">
                  <c:v>2.4531119299429714E-2</c:v>
                </c:pt>
                <c:pt idx="5942">
                  <c:v>3.6715223641932679E-2</c:v>
                </c:pt>
                <c:pt idx="5943">
                  <c:v>1.4008590465753243E-2</c:v>
                </c:pt>
                <c:pt idx="5944">
                  <c:v>1.5770065748905722E-2</c:v>
                </c:pt>
                <c:pt idx="5945">
                  <c:v>9.4781152274194566E-4</c:v>
                </c:pt>
                <c:pt idx="5946">
                  <c:v>-2.6030632287447553E-2</c:v>
                </c:pt>
                <c:pt idx="5947">
                  <c:v>-2.9315243218188149E-2</c:v>
                </c:pt>
                <c:pt idx="5948">
                  <c:v>-3.1023794393152612E-2</c:v>
                </c:pt>
                <c:pt idx="5949">
                  <c:v>-5.2739196973135991E-2</c:v>
                </c:pt>
                <c:pt idx="5950">
                  <c:v>3.217091262789664E-2</c:v>
                </c:pt>
                <c:pt idx="5951">
                  <c:v>-5.1016164381587278E-3</c:v>
                </c:pt>
                <c:pt idx="5952">
                  <c:v>-2.2123222814478979E-2</c:v>
                </c:pt>
                <c:pt idx="5953">
                  <c:v>-2.0478712738951441E-2</c:v>
                </c:pt>
                <c:pt idx="5954">
                  <c:v>-3.9757570697212304E-3</c:v>
                </c:pt>
                <c:pt idx="5955">
                  <c:v>5.9966461168479441E-3</c:v>
                </c:pt>
                <c:pt idx="5956">
                  <c:v>7.8135452159417054E-3</c:v>
                </c:pt>
                <c:pt idx="5957">
                  <c:v>2.3120509671016198E-2</c:v>
                </c:pt>
                <c:pt idx="5958">
                  <c:v>8.156933683705056E-3</c:v>
                </c:pt>
                <c:pt idx="5959">
                  <c:v>-2.6362633008305283E-3</c:v>
                </c:pt>
                <c:pt idx="5960">
                  <c:v>3.9369482886636286E-3</c:v>
                </c:pt>
                <c:pt idx="5961">
                  <c:v>-1.6142248753281713E-2</c:v>
                </c:pt>
                <c:pt idx="5962">
                  <c:v>1.8505722876731158E-3</c:v>
                </c:pt>
                <c:pt idx="5963">
                  <c:v>4.1250398426454893E-2</c:v>
                </c:pt>
                <c:pt idx="5964">
                  <c:v>-9.7273299862284546E-3</c:v>
                </c:pt>
                <c:pt idx="5965">
                  <c:v>3.4088667694983739E-3</c:v>
                </c:pt>
                <c:pt idx="5966">
                  <c:v>-1.9295835238952924E-2</c:v>
                </c:pt>
                <c:pt idx="5967">
                  <c:v>-4.8780231802706478E-2</c:v>
                </c:pt>
                <c:pt idx="5968">
                  <c:v>6.1347953884135758E-3</c:v>
                </c:pt>
                <c:pt idx="5969">
                  <c:v>-5.4858049761263954E-3</c:v>
                </c:pt>
                <c:pt idx="5970">
                  <c:v>1.9468042330372828E-2</c:v>
                </c:pt>
                <c:pt idx="5971">
                  <c:v>7.0914514313915097E-3</c:v>
                </c:pt>
                <c:pt idx="5972">
                  <c:v>1.3433421473722921E-2</c:v>
                </c:pt>
                <c:pt idx="5973">
                  <c:v>3.5055846101909753E-2</c:v>
                </c:pt>
                <c:pt idx="5974">
                  <c:v>1.3705249893099028E-2</c:v>
                </c:pt>
                <c:pt idx="5975">
                  <c:v>2.2721325839272333E-2</c:v>
                </c:pt>
                <c:pt idx="5976">
                  <c:v>-3.9237142740469966E-2</c:v>
                </c:pt>
                <c:pt idx="5977">
                  <c:v>-9.0118088754652013E-4</c:v>
                </c:pt>
                <c:pt idx="5978">
                  <c:v>6.2420769727711718E-3</c:v>
                </c:pt>
                <c:pt idx="5979">
                  <c:v>-4.5591787503062531E-2</c:v>
                </c:pt>
                <c:pt idx="5980">
                  <c:v>3.3046750006151086E-2</c:v>
                </c:pt>
                <c:pt idx="5981">
                  <c:v>5.2699846190505509E-2</c:v>
                </c:pt>
                <c:pt idx="5982">
                  <c:v>1.6207250854707112E-3</c:v>
                </c:pt>
                <c:pt idx="5983">
                  <c:v>-5.1852992801290979E-2</c:v>
                </c:pt>
                <c:pt idx="5984">
                  <c:v>-4.0648526370294286E-2</c:v>
                </c:pt>
                <c:pt idx="5985">
                  <c:v>-1.4462242414721714E-2</c:v>
                </c:pt>
                <c:pt idx="5986">
                  <c:v>1.6739032992586604E-2</c:v>
                </c:pt>
                <c:pt idx="5987">
                  <c:v>-1.7909293797649113E-2</c:v>
                </c:pt>
                <c:pt idx="5988">
                  <c:v>1.4297486857373651E-2</c:v>
                </c:pt>
                <c:pt idx="5989">
                  <c:v>1.4065132487462289E-2</c:v>
                </c:pt>
                <c:pt idx="5990">
                  <c:v>5.0363280855503147E-3</c:v>
                </c:pt>
                <c:pt idx="5991">
                  <c:v>3.4825057287999735E-2</c:v>
                </c:pt>
                <c:pt idx="5992">
                  <c:v>2.3482226734071503E-2</c:v>
                </c:pt>
                <c:pt idx="5993">
                  <c:v>-9.641297800179088E-3</c:v>
                </c:pt>
                <c:pt idx="5994">
                  <c:v>-8.039371408115269E-3</c:v>
                </c:pt>
                <c:pt idx="5995">
                  <c:v>-5.9757709505447447E-2</c:v>
                </c:pt>
                <c:pt idx="5996">
                  <c:v>-5.9477871319924113E-3</c:v>
                </c:pt>
                <c:pt idx="5997">
                  <c:v>9.2744770775356391E-3</c:v>
                </c:pt>
                <c:pt idx="5998">
                  <c:v>3.5603829678172917E-2</c:v>
                </c:pt>
                <c:pt idx="5999">
                  <c:v>4.1568597388657669E-4</c:v>
                </c:pt>
                <c:pt idx="6000">
                  <c:v>-3.4686814988330651E-3</c:v>
                </c:pt>
                <c:pt idx="6001">
                  <c:v>-2.0040089545213049E-2</c:v>
                </c:pt>
                <c:pt idx="6002">
                  <c:v>-9.4071253608739702E-3</c:v>
                </c:pt>
                <c:pt idx="6003">
                  <c:v>2.7212146109981714E-2</c:v>
                </c:pt>
                <c:pt idx="6004">
                  <c:v>2.0736545857258145E-2</c:v>
                </c:pt>
                <c:pt idx="6005">
                  <c:v>-1.2083605959955532E-2</c:v>
                </c:pt>
                <c:pt idx="6006">
                  <c:v>1.9976393468304231E-2</c:v>
                </c:pt>
                <c:pt idx="6007">
                  <c:v>2.447267678673952E-2</c:v>
                </c:pt>
                <c:pt idx="6008">
                  <c:v>-3.0686092239861538E-3</c:v>
                </c:pt>
                <c:pt idx="6009">
                  <c:v>-2.9592450833498297E-2</c:v>
                </c:pt>
                <c:pt idx="6010">
                  <c:v>-1.1884201773967392E-2</c:v>
                </c:pt>
                <c:pt idx="6011">
                  <c:v>-1.0555054071843628E-2</c:v>
                </c:pt>
                <c:pt idx="6012">
                  <c:v>-2.9123753967768388E-2</c:v>
                </c:pt>
                <c:pt idx="6013">
                  <c:v>-6.2522674397186267E-3</c:v>
                </c:pt>
                <c:pt idx="6014">
                  <c:v>1.7211662025425387E-2</c:v>
                </c:pt>
                <c:pt idx="6015">
                  <c:v>-7.7961174662610029E-4</c:v>
                </c:pt>
                <c:pt idx="6016">
                  <c:v>-4.824383020645065E-2</c:v>
                </c:pt>
                <c:pt idx="6017">
                  <c:v>-2.3706997046558979E-3</c:v>
                </c:pt>
                <c:pt idx="6018">
                  <c:v>-5.0748921111588137E-2</c:v>
                </c:pt>
                <c:pt idx="6019">
                  <c:v>-6.0889879081007826E-3</c:v>
                </c:pt>
                <c:pt idx="6020">
                  <c:v>-2.1681247465878822E-4</c:v>
                </c:pt>
                <c:pt idx="6021">
                  <c:v>-3.3982169004677397E-2</c:v>
                </c:pt>
                <c:pt idx="6022">
                  <c:v>-3.8160896138822475E-4</c:v>
                </c:pt>
                <c:pt idx="6023">
                  <c:v>-4.8324852428069269E-2</c:v>
                </c:pt>
                <c:pt idx="6024">
                  <c:v>-1.117526739920097E-2</c:v>
                </c:pt>
                <c:pt idx="6025">
                  <c:v>3.0651941698875921E-2</c:v>
                </c:pt>
                <c:pt idx="6026">
                  <c:v>1.8313774389281341E-2</c:v>
                </c:pt>
                <c:pt idx="6027">
                  <c:v>2.4834770527008936E-2</c:v>
                </c:pt>
                <c:pt idx="6028">
                  <c:v>9.5476185725373777E-3</c:v>
                </c:pt>
                <c:pt idx="6029">
                  <c:v>4.1785723286045663E-2</c:v>
                </c:pt>
                <c:pt idx="6030">
                  <c:v>-7.3910209836233493E-3</c:v>
                </c:pt>
                <c:pt idx="6031">
                  <c:v>-2.0403267113515595E-3</c:v>
                </c:pt>
                <c:pt idx="6032">
                  <c:v>-9.016441422225502E-4</c:v>
                </c:pt>
                <c:pt idx="6033">
                  <c:v>1.4265622302213159E-2</c:v>
                </c:pt>
                <c:pt idx="6034">
                  <c:v>1.4066530925857863E-2</c:v>
                </c:pt>
                <c:pt idx="6035">
                  <c:v>-1.1779986973911579E-2</c:v>
                </c:pt>
                <c:pt idx="6036">
                  <c:v>-1.7502262424310765E-2</c:v>
                </c:pt>
                <c:pt idx="6037">
                  <c:v>-1.5975197514038999E-2</c:v>
                </c:pt>
                <c:pt idx="6038">
                  <c:v>2.1295345490449397E-2</c:v>
                </c:pt>
                <c:pt idx="6039">
                  <c:v>3.4458696470193347E-2</c:v>
                </c:pt>
                <c:pt idx="6040">
                  <c:v>2.3190442663864039E-2</c:v>
                </c:pt>
                <c:pt idx="6041">
                  <c:v>-4.9570949423686832E-2</c:v>
                </c:pt>
                <c:pt idx="6042">
                  <c:v>-4.8751347605031792E-3</c:v>
                </c:pt>
                <c:pt idx="6043">
                  <c:v>3.1041677433027146E-2</c:v>
                </c:pt>
                <c:pt idx="6044">
                  <c:v>4.416513098907944E-2</c:v>
                </c:pt>
                <c:pt idx="6045">
                  <c:v>-5.7875078605115989E-2</c:v>
                </c:pt>
                <c:pt idx="6046">
                  <c:v>-1.7595020334692905E-2</c:v>
                </c:pt>
                <c:pt idx="6047">
                  <c:v>1.8000597209011558E-2</c:v>
                </c:pt>
                <c:pt idx="6048">
                  <c:v>-1.3492368353647956E-2</c:v>
                </c:pt>
                <c:pt idx="6049">
                  <c:v>2.0911415724571205E-4</c:v>
                </c:pt>
                <c:pt idx="6050">
                  <c:v>6.4247425318482269E-4</c:v>
                </c:pt>
                <c:pt idx="6051">
                  <c:v>2.7574064343759679E-3</c:v>
                </c:pt>
                <c:pt idx="6052">
                  <c:v>4.0168913168554504E-2</c:v>
                </c:pt>
                <c:pt idx="6053">
                  <c:v>2.1491582559766138E-2</c:v>
                </c:pt>
                <c:pt idx="6054">
                  <c:v>3.1956839696474408E-3</c:v>
                </c:pt>
                <c:pt idx="6055">
                  <c:v>-1.5768497088578276E-2</c:v>
                </c:pt>
                <c:pt idx="6056">
                  <c:v>2.694603667774606E-2</c:v>
                </c:pt>
                <c:pt idx="6057">
                  <c:v>6.661580754911146E-3</c:v>
                </c:pt>
                <c:pt idx="6058">
                  <c:v>-6.6053910786569928E-3</c:v>
                </c:pt>
                <c:pt idx="6059">
                  <c:v>3.1211635129474537E-2</c:v>
                </c:pt>
                <c:pt idx="6060">
                  <c:v>-2.7661102796412092E-2</c:v>
                </c:pt>
                <c:pt idx="6061">
                  <c:v>-6.2889637158394171E-2</c:v>
                </c:pt>
                <c:pt idx="6062">
                  <c:v>-1.421690860086906E-2</c:v>
                </c:pt>
                <c:pt idx="6063">
                  <c:v>-9.0585788497988678E-3</c:v>
                </c:pt>
                <c:pt idx="6064">
                  <c:v>2.8063179349893122E-2</c:v>
                </c:pt>
                <c:pt idx="6065">
                  <c:v>-9.6052118379225601E-3</c:v>
                </c:pt>
                <c:pt idx="6066">
                  <c:v>-1.5081808826689663E-2</c:v>
                </c:pt>
                <c:pt idx="6067">
                  <c:v>6.698939470812201E-3</c:v>
                </c:pt>
                <c:pt idx="6068">
                  <c:v>-1.3126010037961999E-2</c:v>
                </c:pt>
                <c:pt idx="6069">
                  <c:v>2.0219054820533509E-2</c:v>
                </c:pt>
                <c:pt idx="6070">
                  <c:v>-9.1106936514607911E-3</c:v>
                </c:pt>
                <c:pt idx="6071">
                  <c:v>-2.1932953784905549E-3</c:v>
                </c:pt>
                <c:pt idx="6072">
                  <c:v>4.7974625427259214E-2</c:v>
                </c:pt>
                <c:pt idx="6073">
                  <c:v>-1.7066814316162144E-3</c:v>
                </c:pt>
                <c:pt idx="6074">
                  <c:v>2.0511748763639565E-3</c:v>
                </c:pt>
                <c:pt idx="6075">
                  <c:v>-1.6586915295965336E-2</c:v>
                </c:pt>
                <c:pt idx="6076">
                  <c:v>1.5118824865998479E-2</c:v>
                </c:pt>
                <c:pt idx="6077">
                  <c:v>8.6355123528052968E-3</c:v>
                </c:pt>
                <c:pt idx="6078">
                  <c:v>-3.59148532410948E-2</c:v>
                </c:pt>
                <c:pt idx="6079">
                  <c:v>-1.1152103468718493E-2</c:v>
                </c:pt>
                <c:pt idx="6080">
                  <c:v>-1.7402559410196528E-2</c:v>
                </c:pt>
                <c:pt idx="6081">
                  <c:v>-2.4042360211167908E-2</c:v>
                </c:pt>
                <c:pt idx="6082">
                  <c:v>-7.9477772021628069E-3</c:v>
                </c:pt>
                <c:pt idx="6083">
                  <c:v>3.0481161723117042E-2</c:v>
                </c:pt>
                <c:pt idx="6084">
                  <c:v>-1.3188036668162626E-2</c:v>
                </c:pt>
                <c:pt idx="6085">
                  <c:v>2.7966429856126327E-2</c:v>
                </c:pt>
                <c:pt idx="6086">
                  <c:v>-1.2334936290556627E-2</c:v>
                </c:pt>
                <c:pt idx="6087">
                  <c:v>1.3936880974201205E-2</c:v>
                </c:pt>
                <c:pt idx="6088">
                  <c:v>1.4627218967787726E-2</c:v>
                </c:pt>
                <c:pt idx="6089">
                  <c:v>2.2990002112713284E-3</c:v>
                </c:pt>
                <c:pt idx="6090">
                  <c:v>1.1938240618366831E-2</c:v>
                </c:pt>
                <c:pt idx="6091">
                  <c:v>2.0899556921437586E-2</c:v>
                </c:pt>
                <c:pt idx="6092">
                  <c:v>-3.3329200485752836E-3</c:v>
                </c:pt>
                <c:pt idx="6093">
                  <c:v>-5.0188527244757704E-2</c:v>
                </c:pt>
                <c:pt idx="6094">
                  <c:v>-3.0483340174962712E-2</c:v>
                </c:pt>
                <c:pt idx="6095">
                  <c:v>-2.0402820590814885E-2</c:v>
                </c:pt>
                <c:pt idx="6096">
                  <c:v>1.9795897782477825E-2</c:v>
                </c:pt>
                <c:pt idx="6097">
                  <c:v>2.3387345720221959E-2</c:v>
                </c:pt>
                <c:pt idx="6098">
                  <c:v>-3.8368180876591673E-3</c:v>
                </c:pt>
                <c:pt idx="6099">
                  <c:v>2.506343332431198E-2</c:v>
                </c:pt>
                <c:pt idx="6100">
                  <c:v>5.3839826050448084E-3</c:v>
                </c:pt>
                <c:pt idx="6101">
                  <c:v>-1.3320611634873762E-3</c:v>
                </c:pt>
                <c:pt idx="6102">
                  <c:v>1.6468573346515407E-2</c:v>
                </c:pt>
                <c:pt idx="6103">
                  <c:v>-1.0280887682581064E-2</c:v>
                </c:pt>
                <c:pt idx="6104">
                  <c:v>1.9924299904544175E-2</c:v>
                </c:pt>
                <c:pt idx="6105">
                  <c:v>2.70635603656788E-2</c:v>
                </c:pt>
                <c:pt idx="6106">
                  <c:v>-3.0277315370918715E-2</c:v>
                </c:pt>
                <c:pt idx="6107">
                  <c:v>-1.9459808861533819E-2</c:v>
                </c:pt>
                <c:pt idx="6108">
                  <c:v>-2.0644574590563698E-2</c:v>
                </c:pt>
                <c:pt idx="6109">
                  <c:v>5.4123158421091732E-3</c:v>
                </c:pt>
                <c:pt idx="6110">
                  <c:v>1.8729334750912898E-2</c:v>
                </c:pt>
                <c:pt idx="6111">
                  <c:v>1.9448242792248844E-2</c:v>
                </c:pt>
                <c:pt idx="6112">
                  <c:v>-1.3920707807976508E-2</c:v>
                </c:pt>
                <c:pt idx="6113">
                  <c:v>-3.6062983034873514E-2</c:v>
                </c:pt>
                <c:pt idx="6114">
                  <c:v>1.2093674545080479E-2</c:v>
                </c:pt>
                <c:pt idx="6115">
                  <c:v>3.1738556633067586E-2</c:v>
                </c:pt>
                <c:pt idx="6116">
                  <c:v>6.1222498040806525E-2</c:v>
                </c:pt>
                <c:pt idx="6117">
                  <c:v>-1.561331259364267E-2</c:v>
                </c:pt>
                <c:pt idx="6118">
                  <c:v>1.0088575847233449E-2</c:v>
                </c:pt>
                <c:pt idx="6119">
                  <c:v>1.443954751816404E-2</c:v>
                </c:pt>
                <c:pt idx="6120">
                  <c:v>1.4607165681800384E-2</c:v>
                </c:pt>
                <c:pt idx="6121">
                  <c:v>-1.1426803020105382E-2</c:v>
                </c:pt>
                <c:pt idx="6122">
                  <c:v>2.7144497046672059E-2</c:v>
                </c:pt>
                <c:pt idx="6123">
                  <c:v>7.9320107925555262E-3</c:v>
                </c:pt>
                <c:pt idx="6124">
                  <c:v>-4.8070839325811958E-2</c:v>
                </c:pt>
                <c:pt idx="6125">
                  <c:v>-1.6418166603764633E-2</c:v>
                </c:pt>
                <c:pt idx="6126">
                  <c:v>-3.221662095087046E-2</c:v>
                </c:pt>
                <c:pt idx="6127">
                  <c:v>9.0791034778537703E-3</c:v>
                </c:pt>
                <c:pt idx="6128">
                  <c:v>-5.2084751632114103E-3</c:v>
                </c:pt>
                <c:pt idx="6129">
                  <c:v>2.2108743608719814E-2</c:v>
                </c:pt>
                <c:pt idx="6130">
                  <c:v>-1.0686775118829464E-2</c:v>
                </c:pt>
                <c:pt idx="6131">
                  <c:v>1.4811337203267031E-2</c:v>
                </c:pt>
                <c:pt idx="6132">
                  <c:v>6.7630102726720029E-3</c:v>
                </c:pt>
                <c:pt idx="6133">
                  <c:v>-7.4385833408215137E-3</c:v>
                </c:pt>
                <c:pt idx="6134">
                  <c:v>-2.0145995932225227E-2</c:v>
                </c:pt>
                <c:pt idx="6135">
                  <c:v>-1.6915077926602046E-2</c:v>
                </c:pt>
                <c:pt idx="6136">
                  <c:v>2.7387611973777079E-2</c:v>
                </c:pt>
                <c:pt idx="6137">
                  <c:v>2.3729987436787326E-3</c:v>
                </c:pt>
                <c:pt idx="6138">
                  <c:v>4.7713421767017448E-2</c:v>
                </c:pt>
                <c:pt idx="6139">
                  <c:v>4.260115653060937E-3</c:v>
                </c:pt>
                <c:pt idx="6140">
                  <c:v>-8.7596968200496835E-3</c:v>
                </c:pt>
                <c:pt idx="6141">
                  <c:v>1.4467679473962214E-2</c:v>
                </c:pt>
                <c:pt idx="6142">
                  <c:v>-2.6063568826174055E-2</c:v>
                </c:pt>
                <c:pt idx="6143">
                  <c:v>-4.7743082025820827E-3</c:v>
                </c:pt>
                <c:pt idx="6144">
                  <c:v>-2.14345550506993E-2</c:v>
                </c:pt>
                <c:pt idx="6145">
                  <c:v>3.8410339086223218E-2</c:v>
                </c:pt>
                <c:pt idx="6146">
                  <c:v>6.670283305412689E-3</c:v>
                </c:pt>
                <c:pt idx="6147">
                  <c:v>6.2556846457331693E-3</c:v>
                </c:pt>
                <c:pt idx="6148">
                  <c:v>3.3467822613988334E-2</c:v>
                </c:pt>
                <c:pt idx="6149">
                  <c:v>1.2773284521279651E-2</c:v>
                </c:pt>
                <c:pt idx="6150">
                  <c:v>-3.3313238127264957E-2</c:v>
                </c:pt>
                <c:pt idx="6151">
                  <c:v>4.327527712922935E-2</c:v>
                </c:pt>
                <c:pt idx="6152">
                  <c:v>1.2420037760005314E-3</c:v>
                </c:pt>
                <c:pt idx="6153">
                  <c:v>3.4728011048575973E-2</c:v>
                </c:pt>
                <c:pt idx="6154">
                  <c:v>-5.7769325187119192E-3</c:v>
                </c:pt>
                <c:pt idx="6155">
                  <c:v>-2.630694232901358E-2</c:v>
                </c:pt>
                <c:pt idx="6156">
                  <c:v>-2.5296921687467451E-2</c:v>
                </c:pt>
                <c:pt idx="6157">
                  <c:v>2.7500043417564984E-2</c:v>
                </c:pt>
                <c:pt idx="6158">
                  <c:v>-2.2164428880121429E-3</c:v>
                </c:pt>
                <c:pt idx="6159">
                  <c:v>1.9826588790738685E-2</c:v>
                </c:pt>
                <c:pt idx="6160">
                  <c:v>-1.5344767263397306E-2</c:v>
                </c:pt>
                <c:pt idx="6161">
                  <c:v>4.9247218493393332E-3</c:v>
                </c:pt>
                <c:pt idx="6162">
                  <c:v>-3.3993523768362011E-2</c:v>
                </c:pt>
                <c:pt idx="6163">
                  <c:v>-3.5869539850566533E-2</c:v>
                </c:pt>
                <c:pt idx="6164">
                  <c:v>1.6657682104350178E-2</c:v>
                </c:pt>
                <c:pt idx="6165">
                  <c:v>1.0145834966419753E-2</c:v>
                </c:pt>
                <c:pt idx="6166">
                  <c:v>3.7813495376988637E-2</c:v>
                </c:pt>
                <c:pt idx="6167">
                  <c:v>4.240957078573207E-2</c:v>
                </c:pt>
                <c:pt idx="6168">
                  <c:v>-9.0091547233709119E-3</c:v>
                </c:pt>
                <c:pt idx="6169">
                  <c:v>2.5149171443946947E-2</c:v>
                </c:pt>
                <c:pt idx="6170">
                  <c:v>2.1938295828618035E-2</c:v>
                </c:pt>
                <c:pt idx="6171">
                  <c:v>1.0061808125085355E-3</c:v>
                </c:pt>
                <c:pt idx="6172">
                  <c:v>2.4144227623269121E-2</c:v>
                </c:pt>
                <c:pt idx="6173">
                  <c:v>-2.0504694681955319E-2</c:v>
                </c:pt>
                <c:pt idx="6174">
                  <c:v>1.1515622620663375E-3</c:v>
                </c:pt>
                <c:pt idx="6175">
                  <c:v>-1.6292148809781772E-2</c:v>
                </c:pt>
                <c:pt idx="6176">
                  <c:v>-1.5424295967535091E-2</c:v>
                </c:pt>
                <c:pt idx="6177">
                  <c:v>-5.9777897911012026E-3</c:v>
                </c:pt>
                <c:pt idx="6178">
                  <c:v>-5.6507757848294222E-3</c:v>
                </c:pt>
                <c:pt idx="6179">
                  <c:v>-1.2831727546094004E-2</c:v>
                </c:pt>
                <c:pt idx="6180">
                  <c:v>2.2301320203878396E-2</c:v>
                </c:pt>
                <c:pt idx="6181">
                  <c:v>3.7957018979844895E-2</c:v>
                </c:pt>
                <c:pt idx="6182">
                  <c:v>2.7393369534053989E-2</c:v>
                </c:pt>
                <c:pt idx="6183">
                  <c:v>-2.0671974700362472E-2</c:v>
                </c:pt>
                <c:pt idx="6184">
                  <c:v>1.5062466733059506E-2</c:v>
                </c:pt>
                <c:pt idx="6185">
                  <c:v>-8.5228749570036549E-3</c:v>
                </c:pt>
                <c:pt idx="6186">
                  <c:v>-6.4705333467161355E-3</c:v>
                </c:pt>
                <c:pt idx="6187">
                  <c:v>1.4480976500244231E-2</c:v>
                </c:pt>
                <c:pt idx="6188">
                  <c:v>7.4623834396926172E-2</c:v>
                </c:pt>
                <c:pt idx="6189">
                  <c:v>7.6167668250879283E-2</c:v>
                </c:pt>
                <c:pt idx="6190">
                  <c:v>7.4518916952108737E-3</c:v>
                </c:pt>
                <c:pt idx="6191">
                  <c:v>1.2838826053820864E-2</c:v>
                </c:pt>
                <c:pt idx="6192">
                  <c:v>5.197088567291527E-4</c:v>
                </c:pt>
                <c:pt idx="6193">
                  <c:v>-5.3877964051650875E-3</c:v>
                </c:pt>
                <c:pt idx="6194">
                  <c:v>-3.2789913078885451E-2</c:v>
                </c:pt>
                <c:pt idx="6195">
                  <c:v>-1.2641036442015132E-2</c:v>
                </c:pt>
                <c:pt idx="6196">
                  <c:v>1.7323768371448205E-2</c:v>
                </c:pt>
                <c:pt idx="6197">
                  <c:v>9.4145272423585748E-3</c:v>
                </c:pt>
                <c:pt idx="6198">
                  <c:v>-3.2016214718011242E-2</c:v>
                </c:pt>
                <c:pt idx="6199">
                  <c:v>2.920711781189211E-2</c:v>
                </c:pt>
                <c:pt idx="6200">
                  <c:v>1.2180001543392513E-2</c:v>
                </c:pt>
                <c:pt idx="6201">
                  <c:v>1.810541005563308E-2</c:v>
                </c:pt>
                <c:pt idx="6202">
                  <c:v>-9.460572852951479E-3</c:v>
                </c:pt>
                <c:pt idx="6203">
                  <c:v>-5.5616182370238749E-2</c:v>
                </c:pt>
                <c:pt idx="6204">
                  <c:v>-1.2973218755023145E-2</c:v>
                </c:pt>
                <c:pt idx="6205">
                  <c:v>-2.9806283867096542E-3</c:v>
                </c:pt>
                <c:pt idx="6206">
                  <c:v>-1.5283361978618848E-3</c:v>
                </c:pt>
                <c:pt idx="6207">
                  <c:v>3.0122109245204042E-2</c:v>
                </c:pt>
                <c:pt idx="6208">
                  <c:v>4.3959795137345832E-2</c:v>
                </c:pt>
                <c:pt idx="6209">
                  <c:v>-7.1153118722592675E-3</c:v>
                </c:pt>
                <c:pt idx="6210">
                  <c:v>-2.2332071789418935E-5</c:v>
                </c:pt>
                <c:pt idx="6211">
                  <c:v>1.9816972265133636E-2</c:v>
                </c:pt>
                <c:pt idx="6212">
                  <c:v>1.3409820843173622E-2</c:v>
                </c:pt>
                <c:pt idx="6213">
                  <c:v>-1.6736312309513932E-2</c:v>
                </c:pt>
                <c:pt idx="6214">
                  <c:v>-1.8084997139022799E-2</c:v>
                </c:pt>
                <c:pt idx="6215">
                  <c:v>-5.2097034253667268E-2</c:v>
                </c:pt>
                <c:pt idx="6216">
                  <c:v>2.5521192043457732E-2</c:v>
                </c:pt>
                <c:pt idx="6217">
                  <c:v>-3.3208842557460788E-2</c:v>
                </c:pt>
                <c:pt idx="6218">
                  <c:v>1.3143650938076843E-2</c:v>
                </c:pt>
                <c:pt idx="6219">
                  <c:v>-3.5220396845062484E-3</c:v>
                </c:pt>
                <c:pt idx="6220">
                  <c:v>-1.6646907233900204E-2</c:v>
                </c:pt>
                <c:pt idx="6221">
                  <c:v>-5.8469065762385159E-3</c:v>
                </c:pt>
                <c:pt idx="6222">
                  <c:v>3.2880360918952673E-3</c:v>
                </c:pt>
                <c:pt idx="6223">
                  <c:v>3.211541943835089E-2</c:v>
                </c:pt>
                <c:pt idx="6224">
                  <c:v>1.2398697766870552E-2</c:v>
                </c:pt>
                <c:pt idx="6225">
                  <c:v>-1.6748796665185285E-2</c:v>
                </c:pt>
                <c:pt idx="6226">
                  <c:v>2.5189316238378397E-2</c:v>
                </c:pt>
                <c:pt idx="6227">
                  <c:v>5.4732827909914857E-2</c:v>
                </c:pt>
                <c:pt idx="6228">
                  <c:v>1.4661085265676521E-2</c:v>
                </c:pt>
                <c:pt idx="6229">
                  <c:v>4.2469550813391387E-3</c:v>
                </c:pt>
                <c:pt idx="6230">
                  <c:v>-9.9850582833963166E-3</c:v>
                </c:pt>
                <c:pt idx="6231">
                  <c:v>2.8915667309552845E-3</c:v>
                </c:pt>
                <c:pt idx="6232">
                  <c:v>-6.4933138556738119E-3</c:v>
                </c:pt>
                <c:pt idx="6233">
                  <c:v>-1.9166504548008615E-2</c:v>
                </c:pt>
                <c:pt idx="6234">
                  <c:v>-6.9805701954345177E-3</c:v>
                </c:pt>
                <c:pt idx="6235">
                  <c:v>-4.5150522303021315E-2</c:v>
                </c:pt>
                <c:pt idx="6236">
                  <c:v>-1.1129144205198165E-3</c:v>
                </c:pt>
                <c:pt idx="6237">
                  <c:v>-2.5375592063210596E-3</c:v>
                </c:pt>
                <c:pt idx="6238">
                  <c:v>-7.1414101465615373E-2</c:v>
                </c:pt>
                <c:pt idx="6239">
                  <c:v>2.2540617718374425E-2</c:v>
                </c:pt>
                <c:pt idx="6240">
                  <c:v>4.406943273122816E-2</c:v>
                </c:pt>
                <c:pt idx="6241">
                  <c:v>4.8768102669663145E-2</c:v>
                </c:pt>
                <c:pt idx="6242">
                  <c:v>5.8042637312669502E-3</c:v>
                </c:pt>
                <c:pt idx="6243">
                  <c:v>1.9413233731275136E-2</c:v>
                </c:pt>
                <c:pt idx="6244">
                  <c:v>7.247175189595308E-3</c:v>
                </c:pt>
                <c:pt idx="6245">
                  <c:v>-1.3232299739546807E-2</c:v>
                </c:pt>
                <c:pt idx="6246">
                  <c:v>2.3603405110741379E-2</c:v>
                </c:pt>
                <c:pt idx="6247">
                  <c:v>-1.5247705406701926E-2</c:v>
                </c:pt>
                <c:pt idx="6248">
                  <c:v>5.5544100319356013E-2</c:v>
                </c:pt>
                <c:pt idx="6249">
                  <c:v>-2.1085515215697976E-2</c:v>
                </c:pt>
                <c:pt idx="6250">
                  <c:v>1.1891107713846482E-2</c:v>
                </c:pt>
                <c:pt idx="6251">
                  <c:v>1.8334370175444401E-2</c:v>
                </c:pt>
                <c:pt idx="6252">
                  <c:v>-7.3412643486578597E-3</c:v>
                </c:pt>
                <c:pt idx="6253">
                  <c:v>3.1585547995592142E-2</c:v>
                </c:pt>
                <c:pt idx="6254">
                  <c:v>8.3932020359450583E-3</c:v>
                </c:pt>
                <c:pt idx="6255">
                  <c:v>-1.9249479959478382E-2</c:v>
                </c:pt>
                <c:pt idx="6256">
                  <c:v>3.0880826017098045E-2</c:v>
                </c:pt>
                <c:pt idx="6257">
                  <c:v>3.4846771167272014E-2</c:v>
                </c:pt>
                <c:pt idx="6258">
                  <c:v>1.2304719714319384E-2</c:v>
                </c:pt>
                <c:pt idx="6259">
                  <c:v>-5.3453568137765972E-3</c:v>
                </c:pt>
                <c:pt idx="6260">
                  <c:v>-4.9277780529074347E-2</c:v>
                </c:pt>
                <c:pt idx="6261">
                  <c:v>2.8480476228108714E-2</c:v>
                </c:pt>
                <c:pt idx="6262">
                  <c:v>-1.0875810290145876E-2</c:v>
                </c:pt>
                <c:pt idx="6263">
                  <c:v>-2.2050749197954963E-2</c:v>
                </c:pt>
                <c:pt idx="6264">
                  <c:v>-1.2820684752048121E-2</c:v>
                </c:pt>
                <c:pt idx="6265">
                  <c:v>-1.8461357068048141E-2</c:v>
                </c:pt>
                <c:pt idx="6266">
                  <c:v>-2.317165526414839E-2</c:v>
                </c:pt>
                <c:pt idx="6267">
                  <c:v>6.0847132626371122E-4</c:v>
                </c:pt>
                <c:pt idx="6268">
                  <c:v>-9.9576556396046307E-3</c:v>
                </c:pt>
                <c:pt idx="6269">
                  <c:v>-1.9963337583265697E-2</c:v>
                </c:pt>
                <c:pt idx="6270">
                  <c:v>-1.7581938976117321E-2</c:v>
                </c:pt>
                <c:pt idx="6271">
                  <c:v>1.55265483806361E-2</c:v>
                </c:pt>
                <c:pt idx="6272">
                  <c:v>-6.7059506867082133E-3</c:v>
                </c:pt>
                <c:pt idx="6273">
                  <c:v>-2.7849240607412697E-2</c:v>
                </c:pt>
                <c:pt idx="6274">
                  <c:v>2.9186789908343964E-2</c:v>
                </c:pt>
                <c:pt idx="6275">
                  <c:v>-9.366369209095126E-3</c:v>
                </c:pt>
                <c:pt idx="6276">
                  <c:v>6.5921814213278935E-3</c:v>
                </c:pt>
                <c:pt idx="6277">
                  <c:v>3.6438323362439601E-2</c:v>
                </c:pt>
                <c:pt idx="6278">
                  <c:v>-2.8593417881526081E-2</c:v>
                </c:pt>
                <c:pt idx="6279">
                  <c:v>2.297935339391342E-2</c:v>
                </c:pt>
                <c:pt idx="6280">
                  <c:v>2.516370886836667E-3</c:v>
                </c:pt>
                <c:pt idx="6281">
                  <c:v>5.8915128717440424E-2</c:v>
                </c:pt>
                <c:pt idx="6282">
                  <c:v>-7.0577475820109443E-3</c:v>
                </c:pt>
                <c:pt idx="6283">
                  <c:v>1.2694953872985994E-2</c:v>
                </c:pt>
                <c:pt idx="6284">
                  <c:v>7.6829590778393839E-3</c:v>
                </c:pt>
                <c:pt idx="6285">
                  <c:v>-1.0456245647921501E-2</c:v>
                </c:pt>
                <c:pt idx="6286">
                  <c:v>4.3477384082403446E-2</c:v>
                </c:pt>
                <c:pt idx="6287">
                  <c:v>-1.3919839092610645E-2</c:v>
                </c:pt>
                <c:pt idx="6288">
                  <c:v>-1.0408835443090554E-2</c:v>
                </c:pt>
                <c:pt idx="6289">
                  <c:v>-8.1559006814393067E-3</c:v>
                </c:pt>
                <c:pt idx="6290">
                  <c:v>-5.2903562612481008E-3</c:v>
                </c:pt>
                <c:pt idx="6291">
                  <c:v>2.0088120841003698E-2</c:v>
                </c:pt>
                <c:pt idx="6292">
                  <c:v>2.939320812922959E-3</c:v>
                </c:pt>
                <c:pt idx="6293">
                  <c:v>-3.0758884627943215E-2</c:v>
                </c:pt>
                <c:pt idx="6294">
                  <c:v>1.3473605676879634E-2</c:v>
                </c:pt>
                <c:pt idx="6295">
                  <c:v>-5.2513610893582224E-2</c:v>
                </c:pt>
                <c:pt idx="6296">
                  <c:v>-1.4765563060105787E-2</c:v>
                </c:pt>
                <c:pt idx="6297">
                  <c:v>3.2478342270149931E-2</c:v>
                </c:pt>
                <c:pt idx="6298">
                  <c:v>-2.1813851149240029E-2</c:v>
                </c:pt>
                <c:pt idx="6299">
                  <c:v>2.4981519417123205E-2</c:v>
                </c:pt>
                <c:pt idx="6300">
                  <c:v>-2.5739630145668949E-2</c:v>
                </c:pt>
                <c:pt idx="6301">
                  <c:v>-1.8879457244096946E-2</c:v>
                </c:pt>
                <c:pt idx="6302">
                  <c:v>1.0742692570984055E-2</c:v>
                </c:pt>
                <c:pt idx="6303">
                  <c:v>-3.0074257718504926E-2</c:v>
                </c:pt>
                <c:pt idx="6304">
                  <c:v>1.3500780639407994E-2</c:v>
                </c:pt>
                <c:pt idx="6305">
                  <c:v>-2.4058126479997863E-2</c:v>
                </c:pt>
                <c:pt idx="6306">
                  <c:v>-1.9243212354082873E-2</c:v>
                </c:pt>
                <c:pt idx="6307">
                  <c:v>4.0863140557055026E-2</c:v>
                </c:pt>
                <c:pt idx="6308">
                  <c:v>2.5468788744543069E-2</c:v>
                </c:pt>
                <c:pt idx="6309">
                  <c:v>-4.6080725132147282E-2</c:v>
                </c:pt>
                <c:pt idx="6310">
                  <c:v>7.2555237034175601E-3</c:v>
                </c:pt>
                <c:pt idx="6311">
                  <c:v>1.9108086226940508E-2</c:v>
                </c:pt>
                <c:pt idx="6312">
                  <c:v>-9.6987913518288213E-3</c:v>
                </c:pt>
                <c:pt idx="6313">
                  <c:v>1.389250894579783E-2</c:v>
                </c:pt>
                <c:pt idx="6314">
                  <c:v>-1.0879777685348641E-2</c:v>
                </c:pt>
                <c:pt idx="6315">
                  <c:v>-2.601486446642504E-2</c:v>
                </c:pt>
                <c:pt idx="6316">
                  <c:v>1.1092638025822518E-3</c:v>
                </c:pt>
                <c:pt idx="6317">
                  <c:v>-1.6923556453640524E-2</c:v>
                </c:pt>
                <c:pt idx="6318">
                  <c:v>-3.280195850110864E-2</c:v>
                </c:pt>
                <c:pt idx="6319">
                  <c:v>1.7203539074387052E-2</c:v>
                </c:pt>
                <c:pt idx="6320">
                  <c:v>1.1664471295109981E-2</c:v>
                </c:pt>
                <c:pt idx="6321">
                  <c:v>-7.9545157912228551E-3</c:v>
                </c:pt>
                <c:pt idx="6322">
                  <c:v>-4.9334672663103797E-2</c:v>
                </c:pt>
                <c:pt idx="6323">
                  <c:v>2.535908805876326E-2</c:v>
                </c:pt>
                <c:pt idx="6324">
                  <c:v>3.1646003586214867E-2</c:v>
                </c:pt>
                <c:pt idx="6325">
                  <c:v>-2.5867621566020775E-3</c:v>
                </c:pt>
                <c:pt idx="6326">
                  <c:v>-2.4146406784931525E-2</c:v>
                </c:pt>
                <c:pt idx="6327">
                  <c:v>-1.3295646196846884E-2</c:v>
                </c:pt>
                <c:pt idx="6328">
                  <c:v>-4.7987252180322799E-2</c:v>
                </c:pt>
                <c:pt idx="6329">
                  <c:v>-4.9551692549994746E-2</c:v>
                </c:pt>
                <c:pt idx="6330">
                  <c:v>9.1672954126355982E-3</c:v>
                </c:pt>
                <c:pt idx="6331">
                  <c:v>3.9941648661489318E-2</c:v>
                </c:pt>
                <c:pt idx="6332">
                  <c:v>-1.6142444515575768E-2</c:v>
                </c:pt>
                <c:pt idx="6333">
                  <c:v>-1.2600571202408732E-2</c:v>
                </c:pt>
                <c:pt idx="6334">
                  <c:v>2.1715269316774879E-2</c:v>
                </c:pt>
                <c:pt idx="6335">
                  <c:v>-1.7779278884097867E-2</c:v>
                </c:pt>
                <c:pt idx="6336">
                  <c:v>1.6124059494328678E-2</c:v>
                </c:pt>
                <c:pt idx="6337">
                  <c:v>-5.9654092433476715E-3</c:v>
                </c:pt>
                <c:pt idx="6338">
                  <c:v>-2.3245131502581003E-2</c:v>
                </c:pt>
                <c:pt idx="6339">
                  <c:v>-2.6055297745541467E-2</c:v>
                </c:pt>
                <c:pt idx="6340">
                  <c:v>5.0880073700239684E-3</c:v>
                </c:pt>
                <c:pt idx="6341">
                  <c:v>2.8991201994172122E-3</c:v>
                </c:pt>
                <c:pt idx="6342">
                  <c:v>4.9863065582236583E-2</c:v>
                </c:pt>
                <c:pt idx="6343">
                  <c:v>-3.15630100858805E-2</c:v>
                </c:pt>
                <c:pt idx="6344">
                  <c:v>-4.1703623838267534E-2</c:v>
                </c:pt>
                <c:pt idx="6345">
                  <c:v>-1.6427923212797433E-2</c:v>
                </c:pt>
                <c:pt idx="6346">
                  <c:v>2.9036415799061004E-2</c:v>
                </c:pt>
                <c:pt idx="6347">
                  <c:v>2.6382105583124375E-2</c:v>
                </c:pt>
                <c:pt idx="6348">
                  <c:v>1.0399146368129426E-2</c:v>
                </c:pt>
                <c:pt idx="6349">
                  <c:v>2.5594374634126064E-2</c:v>
                </c:pt>
                <c:pt idx="6350">
                  <c:v>2.4599249603943645E-2</c:v>
                </c:pt>
                <c:pt idx="6351">
                  <c:v>-2.3990662492880691E-2</c:v>
                </c:pt>
                <c:pt idx="6352">
                  <c:v>-1.6709732716056009E-4</c:v>
                </c:pt>
                <c:pt idx="6353">
                  <c:v>-2.5825301566891789E-2</c:v>
                </c:pt>
                <c:pt idx="6354">
                  <c:v>4.4243825258177605E-2</c:v>
                </c:pt>
                <c:pt idx="6355">
                  <c:v>3.3693429268300865E-2</c:v>
                </c:pt>
                <c:pt idx="6356">
                  <c:v>4.9830451662026716E-2</c:v>
                </c:pt>
                <c:pt idx="6357">
                  <c:v>2.6617314834324442E-2</c:v>
                </c:pt>
                <c:pt idx="6358">
                  <c:v>-1.8745523821119412E-2</c:v>
                </c:pt>
                <c:pt idx="6359">
                  <c:v>1.9349430498758678E-2</c:v>
                </c:pt>
                <c:pt idx="6360">
                  <c:v>-5.1332977991367639E-3</c:v>
                </c:pt>
                <c:pt idx="6361">
                  <c:v>4.7553483544974223E-3</c:v>
                </c:pt>
                <c:pt idx="6362">
                  <c:v>-7.638410609535554E-3</c:v>
                </c:pt>
                <c:pt idx="6363">
                  <c:v>1.6801704737709564E-2</c:v>
                </c:pt>
                <c:pt idx="6364">
                  <c:v>-7.4304992417623117E-3</c:v>
                </c:pt>
                <c:pt idx="6365">
                  <c:v>-5.3127385361078874E-2</c:v>
                </c:pt>
                <c:pt idx="6366">
                  <c:v>1.4813005445593481E-2</c:v>
                </c:pt>
                <c:pt idx="6367">
                  <c:v>-3.8865863681531785E-3</c:v>
                </c:pt>
                <c:pt idx="6368">
                  <c:v>4.9146928430733886E-2</c:v>
                </c:pt>
                <c:pt idx="6369">
                  <c:v>1.6930656395635259E-2</c:v>
                </c:pt>
                <c:pt idx="6370">
                  <c:v>1.8400749957651185E-2</c:v>
                </c:pt>
                <c:pt idx="6371">
                  <c:v>2.8470049775945413E-2</c:v>
                </c:pt>
                <c:pt idx="6372">
                  <c:v>-9.6498402514107757E-3</c:v>
                </c:pt>
                <c:pt idx="6373">
                  <c:v>1.9310468336350022E-2</c:v>
                </c:pt>
                <c:pt idx="6374">
                  <c:v>9.3632680135540772E-4</c:v>
                </c:pt>
                <c:pt idx="6375">
                  <c:v>2.5428362598656093E-2</c:v>
                </c:pt>
                <c:pt idx="6376">
                  <c:v>-1.0362899907511011E-2</c:v>
                </c:pt>
                <c:pt idx="6377">
                  <c:v>1.7454133285348529E-4</c:v>
                </c:pt>
                <c:pt idx="6378">
                  <c:v>-1.4791073052803215E-2</c:v>
                </c:pt>
                <c:pt idx="6379">
                  <c:v>-4.3215205616186445E-3</c:v>
                </c:pt>
                <c:pt idx="6380">
                  <c:v>7.2623248199280115E-3</c:v>
                </c:pt>
                <c:pt idx="6381">
                  <c:v>1.6683467483712657E-2</c:v>
                </c:pt>
                <c:pt idx="6382">
                  <c:v>2.8810599931838741E-2</c:v>
                </c:pt>
                <c:pt idx="6383">
                  <c:v>1.7975163303115441E-2</c:v>
                </c:pt>
                <c:pt idx="6384">
                  <c:v>-2.6750773250030515E-4</c:v>
                </c:pt>
                <c:pt idx="6385">
                  <c:v>9.6018812183668659E-3</c:v>
                </c:pt>
                <c:pt idx="6386">
                  <c:v>6.0880835066242974E-3</c:v>
                </c:pt>
                <c:pt idx="6387">
                  <c:v>6.1484473454188632E-3</c:v>
                </c:pt>
                <c:pt idx="6388">
                  <c:v>4.7024021926825268E-2</c:v>
                </c:pt>
                <c:pt idx="6389">
                  <c:v>-3.8667417034027811E-2</c:v>
                </c:pt>
                <c:pt idx="6390">
                  <c:v>-5.1357821728332219E-3</c:v>
                </c:pt>
                <c:pt idx="6391">
                  <c:v>6.8209039878589957E-3</c:v>
                </c:pt>
                <c:pt idx="6392">
                  <c:v>2.5899345385557875E-2</c:v>
                </c:pt>
                <c:pt idx="6393">
                  <c:v>-2.3633874004848596E-2</c:v>
                </c:pt>
                <c:pt idx="6394">
                  <c:v>-1.4361540067817462E-2</c:v>
                </c:pt>
                <c:pt idx="6395">
                  <c:v>-6.5304166570415005E-4</c:v>
                </c:pt>
                <c:pt idx="6396">
                  <c:v>-2.4249635541401682E-2</c:v>
                </c:pt>
                <c:pt idx="6397">
                  <c:v>1.1790523160901312E-2</c:v>
                </c:pt>
                <c:pt idx="6398">
                  <c:v>2.5553856679724901E-2</c:v>
                </c:pt>
                <c:pt idx="6399">
                  <c:v>4.1898961070867789E-2</c:v>
                </c:pt>
                <c:pt idx="6400">
                  <c:v>-1.3105257511915464E-2</c:v>
                </c:pt>
                <c:pt idx="6401">
                  <c:v>-1.7616884167579786E-2</c:v>
                </c:pt>
                <c:pt idx="6402">
                  <c:v>3.0174282532691533E-2</c:v>
                </c:pt>
                <c:pt idx="6403">
                  <c:v>2.562632184211542E-2</c:v>
                </c:pt>
                <c:pt idx="6404">
                  <c:v>-3.1048185967487821E-2</c:v>
                </c:pt>
                <c:pt idx="6405">
                  <c:v>2.7159237328544188E-2</c:v>
                </c:pt>
                <c:pt idx="6406">
                  <c:v>1.2418516768862562E-3</c:v>
                </c:pt>
                <c:pt idx="6407">
                  <c:v>3.2283254258477806E-2</c:v>
                </c:pt>
                <c:pt idx="6408">
                  <c:v>2.0088331508191799E-2</c:v>
                </c:pt>
                <c:pt idx="6409">
                  <c:v>-3.1494118848871475E-2</c:v>
                </c:pt>
                <c:pt idx="6410">
                  <c:v>-1.9471738277132822E-2</c:v>
                </c:pt>
                <c:pt idx="6411">
                  <c:v>2.4700844158583209E-2</c:v>
                </c:pt>
                <c:pt idx="6412">
                  <c:v>-1.8135892251165305E-3</c:v>
                </c:pt>
                <c:pt idx="6413">
                  <c:v>-2.8402042526936105E-2</c:v>
                </c:pt>
                <c:pt idx="6414">
                  <c:v>-3.4239094002931625E-2</c:v>
                </c:pt>
                <c:pt idx="6415">
                  <c:v>-2.9412469538767184E-2</c:v>
                </c:pt>
                <c:pt idx="6416">
                  <c:v>-1.51956662880855E-2</c:v>
                </c:pt>
                <c:pt idx="6417">
                  <c:v>7.3741861631669992E-4</c:v>
                </c:pt>
                <c:pt idx="6418">
                  <c:v>5.478351152529334E-3</c:v>
                </c:pt>
                <c:pt idx="6419">
                  <c:v>-1.9266453547402237E-2</c:v>
                </c:pt>
                <c:pt idx="6420">
                  <c:v>1.7446508124587423E-2</c:v>
                </c:pt>
                <c:pt idx="6421">
                  <c:v>1.3149288372782128E-2</c:v>
                </c:pt>
                <c:pt idx="6422">
                  <c:v>1.6166098438232832E-2</c:v>
                </c:pt>
                <c:pt idx="6423">
                  <c:v>2.1631840733277528E-2</c:v>
                </c:pt>
                <c:pt idx="6424">
                  <c:v>-9.1759730472254948E-3</c:v>
                </c:pt>
                <c:pt idx="6425">
                  <c:v>6.8147257350490448E-3</c:v>
                </c:pt>
                <c:pt idx="6426">
                  <c:v>-1.4159445344790536E-2</c:v>
                </c:pt>
                <c:pt idx="6427">
                  <c:v>3.7991721676931925E-4</c:v>
                </c:pt>
                <c:pt idx="6428">
                  <c:v>-6.351912021781897E-3</c:v>
                </c:pt>
                <c:pt idx="6429">
                  <c:v>4.8308723822817694E-2</c:v>
                </c:pt>
                <c:pt idx="6430">
                  <c:v>2.8819008915413648E-3</c:v>
                </c:pt>
                <c:pt idx="6431">
                  <c:v>-2.1042866067573961E-2</c:v>
                </c:pt>
                <c:pt idx="6432">
                  <c:v>2.6834614240439439E-2</c:v>
                </c:pt>
                <c:pt idx="6433">
                  <c:v>7.680682906262417E-3</c:v>
                </c:pt>
                <c:pt idx="6434">
                  <c:v>2.1684502907475384E-2</c:v>
                </c:pt>
                <c:pt idx="6435">
                  <c:v>-1.1389884330603594E-2</c:v>
                </c:pt>
                <c:pt idx="6436">
                  <c:v>-1.9203427165999373E-2</c:v>
                </c:pt>
                <c:pt idx="6437">
                  <c:v>-1.2174069960291582E-2</c:v>
                </c:pt>
                <c:pt idx="6438">
                  <c:v>-3.1563415837256123E-2</c:v>
                </c:pt>
                <c:pt idx="6439">
                  <c:v>-3.1349786437163671E-2</c:v>
                </c:pt>
                <c:pt idx="6440">
                  <c:v>-9.5993575872141308E-3</c:v>
                </c:pt>
                <c:pt idx="6441">
                  <c:v>-3.0561032713874305E-2</c:v>
                </c:pt>
                <c:pt idx="6442">
                  <c:v>-2.2145583547082178E-2</c:v>
                </c:pt>
                <c:pt idx="6443">
                  <c:v>-2.4770893791351122E-2</c:v>
                </c:pt>
                <c:pt idx="6444">
                  <c:v>-1.8112949030330795E-3</c:v>
                </c:pt>
                <c:pt idx="6445">
                  <c:v>-1.0626395821256431E-2</c:v>
                </c:pt>
                <c:pt idx="6446">
                  <c:v>-7.4372805377194151E-3</c:v>
                </c:pt>
                <c:pt idx="6447">
                  <c:v>8.6233284135992551E-3</c:v>
                </c:pt>
                <c:pt idx="6448">
                  <c:v>6.0828537184149066E-3</c:v>
                </c:pt>
                <c:pt idx="6449">
                  <c:v>4.0138135962530977E-2</c:v>
                </c:pt>
                <c:pt idx="6450">
                  <c:v>1.508446819929927E-2</c:v>
                </c:pt>
                <c:pt idx="6451">
                  <c:v>-1.6586937906823737E-2</c:v>
                </c:pt>
                <c:pt idx="6452">
                  <c:v>-1.9149440610707284E-2</c:v>
                </c:pt>
                <c:pt idx="6453">
                  <c:v>2.1922096021467437E-2</c:v>
                </c:pt>
                <c:pt idx="6454">
                  <c:v>-8.1084288850444639E-3</c:v>
                </c:pt>
                <c:pt idx="6455">
                  <c:v>-1.2295385433913942E-2</c:v>
                </c:pt>
                <c:pt idx="6456">
                  <c:v>-3.4634657823064928E-2</c:v>
                </c:pt>
                <c:pt idx="6457">
                  <c:v>1.2925029666016842E-2</c:v>
                </c:pt>
                <c:pt idx="6458">
                  <c:v>-6.9938168606624353E-3</c:v>
                </c:pt>
                <c:pt idx="6459">
                  <c:v>3.0166561308015975E-2</c:v>
                </c:pt>
                <c:pt idx="6460">
                  <c:v>-5.4076078290925238E-3</c:v>
                </c:pt>
                <c:pt idx="6461">
                  <c:v>2.7775725829948757E-2</c:v>
                </c:pt>
                <c:pt idx="6462">
                  <c:v>-3.6700280550750107E-2</c:v>
                </c:pt>
                <c:pt idx="6463">
                  <c:v>5.0184059721179348E-3</c:v>
                </c:pt>
                <c:pt idx="6464">
                  <c:v>3.8685477256587906E-4</c:v>
                </c:pt>
                <c:pt idx="6465">
                  <c:v>1.9983954227366103E-2</c:v>
                </c:pt>
                <c:pt idx="6466">
                  <c:v>4.1564694888137438E-2</c:v>
                </c:pt>
                <c:pt idx="6467">
                  <c:v>-2.6492813165887839E-2</c:v>
                </c:pt>
                <c:pt idx="6468">
                  <c:v>2.550598428520108E-2</c:v>
                </c:pt>
                <c:pt idx="6469">
                  <c:v>2.6391942021069684E-3</c:v>
                </c:pt>
                <c:pt idx="6470">
                  <c:v>1.500437386135145E-2</c:v>
                </c:pt>
                <c:pt idx="6471">
                  <c:v>1.4977420083087655E-2</c:v>
                </c:pt>
                <c:pt idx="6472">
                  <c:v>-6.421115644057146E-3</c:v>
                </c:pt>
                <c:pt idx="6473">
                  <c:v>2.0634289212510528E-3</c:v>
                </c:pt>
                <c:pt idx="6474">
                  <c:v>-1.1880978017051062E-2</c:v>
                </c:pt>
                <c:pt idx="6475">
                  <c:v>-4.3175075385650102E-3</c:v>
                </c:pt>
                <c:pt idx="6476">
                  <c:v>2.7976896260270548E-3</c:v>
                </c:pt>
                <c:pt idx="6477">
                  <c:v>2.2499946487418699E-2</c:v>
                </c:pt>
                <c:pt idx="6478">
                  <c:v>-3.7789675785997741E-2</c:v>
                </c:pt>
                <c:pt idx="6479">
                  <c:v>6.5327549431795556E-2</c:v>
                </c:pt>
                <c:pt idx="6480">
                  <c:v>-2.3236833137670949E-2</c:v>
                </c:pt>
                <c:pt idx="6481">
                  <c:v>-1.0039303150217869E-2</c:v>
                </c:pt>
                <c:pt idx="6482">
                  <c:v>2.1580480612234408E-2</c:v>
                </c:pt>
                <c:pt idx="6483">
                  <c:v>-1.4155900008318486E-2</c:v>
                </c:pt>
                <c:pt idx="6484">
                  <c:v>-5.90582615382736E-3</c:v>
                </c:pt>
                <c:pt idx="6485">
                  <c:v>1.0086786977605247E-2</c:v>
                </c:pt>
                <c:pt idx="6486">
                  <c:v>5.9186304772926211E-2</c:v>
                </c:pt>
                <c:pt idx="6487">
                  <c:v>-2.3660011510553674E-2</c:v>
                </c:pt>
                <c:pt idx="6488">
                  <c:v>1.5102918943883353E-2</c:v>
                </c:pt>
                <c:pt idx="6489">
                  <c:v>-2.3587532526597229E-2</c:v>
                </c:pt>
                <c:pt idx="6490">
                  <c:v>3.7150177640444017E-2</c:v>
                </c:pt>
                <c:pt idx="6491">
                  <c:v>-3.2627730355746301E-2</c:v>
                </c:pt>
                <c:pt idx="6492">
                  <c:v>-1.8552135338860628E-2</c:v>
                </c:pt>
                <c:pt idx="6493">
                  <c:v>1.6344853818522614E-3</c:v>
                </c:pt>
                <c:pt idx="6494">
                  <c:v>2.9144570506144662E-3</c:v>
                </c:pt>
                <c:pt idx="6495">
                  <c:v>-5.4607437796916122E-3</c:v>
                </c:pt>
                <c:pt idx="6496">
                  <c:v>5.299015701596884E-2</c:v>
                </c:pt>
                <c:pt idx="6497">
                  <c:v>-7.5857798703608519E-3</c:v>
                </c:pt>
                <c:pt idx="6498">
                  <c:v>-1.2522102094457267E-2</c:v>
                </c:pt>
                <c:pt idx="6499">
                  <c:v>3.1305854412925917E-2</c:v>
                </c:pt>
                <c:pt idx="6500">
                  <c:v>4.8606698107846437E-2</c:v>
                </c:pt>
                <c:pt idx="6501">
                  <c:v>3.1482622304705048E-2</c:v>
                </c:pt>
                <c:pt idx="6502">
                  <c:v>-2.5911527859160212E-2</c:v>
                </c:pt>
                <c:pt idx="6503">
                  <c:v>3.8080171443057469E-2</c:v>
                </c:pt>
                <c:pt idx="6504">
                  <c:v>2.0408310307320949E-2</c:v>
                </c:pt>
                <c:pt idx="6505">
                  <c:v>2.6997790583485452E-2</c:v>
                </c:pt>
                <c:pt idx="6506">
                  <c:v>1.1711982586077928E-2</c:v>
                </c:pt>
                <c:pt idx="6507">
                  <c:v>-1.0433941443633925E-2</c:v>
                </c:pt>
                <c:pt idx="6508">
                  <c:v>-5.2885505554204709E-2</c:v>
                </c:pt>
                <c:pt idx="6509">
                  <c:v>-1.8447151128617112E-2</c:v>
                </c:pt>
                <c:pt idx="6510">
                  <c:v>-5.10391531050974E-3</c:v>
                </c:pt>
                <c:pt idx="6511">
                  <c:v>-8.363865853164492E-3</c:v>
                </c:pt>
                <c:pt idx="6512">
                  <c:v>-2.2662937634029916E-2</c:v>
                </c:pt>
                <c:pt idx="6513">
                  <c:v>2.0408229643051274E-3</c:v>
                </c:pt>
                <c:pt idx="6514">
                  <c:v>-1.4296767088055214E-2</c:v>
                </c:pt>
                <c:pt idx="6515">
                  <c:v>1.1466869625616552E-3</c:v>
                </c:pt>
                <c:pt idx="6516">
                  <c:v>9.8530644282459161E-3</c:v>
                </c:pt>
                <c:pt idx="6517">
                  <c:v>1.3536729514991831E-2</c:v>
                </c:pt>
                <c:pt idx="6518">
                  <c:v>-4.4647517712490779E-3</c:v>
                </c:pt>
                <c:pt idx="6519">
                  <c:v>4.9107725551189772E-2</c:v>
                </c:pt>
                <c:pt idx="6520">
                  <c:v>-1.871910536254965E-2</c:v>
                </c:pt>
                <c:pt idx="6521">
                  <c:v>-1.2273167499538672E-3</c:v>
                </c:pt>
                <c:pt idx="6522">
                  <c:v>-8.5522865862343814E-3</c:v>
                </c:pt>
                <c:pt idx="6523">
                  <c:v>2.7298325877887483E-2</c:v>
                </c:pt>
                <c:pt idx="6524">
                  <c:v>-2.1327883352878545E-2</c:v>
                </c:pt>
                <c:pt idx="6525">
                  <c:v>3.8555896380285774E-2</c:v>
                </c:pt>
                <c:pt idx="6526">
                  <c:v>3.3802146831354823E-2</c:v>
                </c:pt>
                <c:pt idx="6527">
                  <c:v>-2.7281784197496876E-4</c:v>
                </c:pt>
                <c:pt idx="6528">
                  <c:v>5.2049676664381577E-3</c:v>
                </c:pt>
                <c:pt idx="6529">
                  <c:v>1.7129757780636329E-2</c:v>
                </c:pt>
                <c:pt idx="6530">
                  <c:v>-2.7453442683686647E-2</c:v>
                </c:pt>
                <c:pt idx="6531">
                  <c:v>-2.3100664495765613E-2</c:v>
                </c:pt>
                <c:pt idx="6532">
                  <c:v>-2.2834494255630264E-2</c:v>
                </c:pt>
                <c:pt idx="6533">
                  <c:v>3.480423346328803E-2</c:v>
                </c:pt>
                <c:pt idx="6534">
                  <c:v>-1.5048232931056518E-2</c:v>
                </c:pt>
                <c:pt idx="6535">
                  <c:v>-5.0794347997766311E-3</c:v>
                </c:pt>
                <c:pt idx="6536">
                  <c:v>9.2567809552273998E-3</c:v>
                </c:pt>
                <c:pt idx="6537">
                  <c:v>-2.6246799580239916E-2</c:v>
                </c:pt>
                <c:pt idx="6538">
                  <c:v>-2.0553392882563429E-2</c:v>
                </c:pt>
                <c:pt idx="6539">
                  <c:v>1.7013084935361255E-2</c:v>
                </c:pt>
                <c:pt idx="6540">
                  <c:v>1.5562258016256577E-2</c:v>
                </c:pt>
                <c:pt idx="6541">
                  <c:v>-4.7505744129549155E-3</c:v>
                </c:pt>
                <c:pt idx="6542">
                  <c:v>2.0211310996586726E-2</c:v>
                </c:pt>
                <c:pt idx="6543">
                  <c:v>-2.2795592514916113E-2</c:v>
                </c:pt>
                <c:pt idx="6544">
                  <c:v>3.4915557663467121E-2</c:v>
                </c:pt>
                <c:pt idx="6545">
                  <c:v>1.8799725961815495E-2</c:v>
                </c:pt>
                <c:pt idx="6546">
                  <c:v>4.0324558159442449E-2</c:v>
                </c:pt>
                <c:pt idx="6547">
                  <c:v>1.1537215620731345E-2</c:v>
                </c:pt>
                <c:pt idx="6548">
                  <c:v>1.7994831235100699E-2</c:v>
                </c:pt>
                <c:pt idx="6549">
                  <c:v>2.4704535577997736E-2</c:v>
                </c:pt>
                <c:pt idx="6550">
                  <c:v>5.5073408720419402E-2</c:v>
                </c:pt>
                <c:pt idx="6551">
                  <c:v>-5.1379759351091979E-3</c:v>
                </c:pt>
                <c:pt idx="6552">
                  <c:v>1.1837188963754698E-3</c:v>
                </c:pt>
                <c:pt idx="6553">
                  <c:v>-2.2570622956035128E-2</c:v>
                </c:pt>
                <c:pt idx="6554">
                  <c:v>-2.1570802711295984E-2</c:v>
                </c:pt>
                <c:pt idx="6555">
                  <c:v>2.8917123766360874E-2</c:v>
                </c:pt>
                <c:pt idx="6556">
                  <c:v>-1.1207572424932042E-2</c:v>
                </c:pt>
                <c:pt idx="6557">
                  <c:v>-9.3858057210476561E-3</c:v>
                </c:pt>
                <c:pt idx="6558">
                  <c:v>2.5775026695823287E-2</c:v>
                </c:pt>
                <c:pt idx="6559">
                  <c:v>-9.8885321804091254E-3</c:v>
                </c:pt>
                <c:pt idx="6560">
                  <c:v>4.4696818141028091E-3</c:v>
                </c:pt>
                <c:pt idx="6561">
                  <c:v>-5.1079544066100924E-3</c:v>
                </c:pt>
                <c:pt idx="6562">
                  <c:v>1.5388382171896454E-3</c:v>
                </c:pt>
                <c:pt idx="6563">
                  <c:v>1.4805202452951177E-2</c:v>
                </c:pt>
                <c:pt idx="6564">
                  <c:v>2.7939421605067426E-2</c:v>
                </c:pt>
                <c:pt idx="6565">
                  <c:v>2.7794514384609836E-2</c:v>
                </c:pt>
                <c:pt idx="6566">
                  <c:v>-2.3348306848494718E-2</c:v>
                </c:pt>
                <c:pt idx="6567">
                  <c:v>3.3871412099701632E-2</c:v>
                </c:pt>
                <c:pt idx="6568">
                  <c:v>1.0268135826672816E-2</c:v>
                </c:pt>
                <c:pt idx="6569">
                  <c:v>1.9967376812156774E-2</c:v>
                </c:pt>
                <c:pt idx="6570">
                  <c:v>1.6659110379263393E-2</c:v>
                </c:pt>
                <c:pt idx="6571">
                  <c:v>-1.8322890273134531E-3</c:v>
                </c:pt>
                <c:pt idx="6572">
                  <c:v>-7.1628267821227699E-3</c:v>
                </c:pt>
                <c:pt idx="6573">
                  <c:v>7.9738479516928257E-4</c:v>
                </c:pt>
                <c:pt idx="6574">
                  <c:v>4.9256318541314875E-3</c:v>
                </c:pt>
                <c:pt idx="6575">
                  <c:v>1.0206939561978818E-2</c:v>
                </c:pt>
                <c:pt idx="6576">
                  <c:v>8.2126382907884185E-4</c:v>
                </c:pt>
                <c:pt idx="6577">
                  <c:v>1.9450715199919196E-2</c:v>
                </c:pt>
                <c:pt idx="6578">
                  <c:v>-3.3863378556853278E-2</c:v>
                </c:pt>
                <c:pt idx="6579">
                  <c:v>-2.356956473274379E-2</c:v>
                </c:pt>
                <c:pt idx="6580">
                  <c:v>2.424222381166621E-2</c:v>
                </c:pt>
                <c:pt idx="6581">
                  <c:v>4.3411314392072606E-3</c:v>
                </c:pt>
                <c:pt idx="6582">
                  <c:v>4.3619418109377237E-2</c:v>
                </c:pt>
                <c:pt idx="6583">
                  <c:v>-3.9581463094474134E-2</c:v>
                </c:pt>
                <c:pt idx="6584">
                  <c:v>4.2369454358385128E-2</c:v>
                </c:pt>
                <c:pt idx="6585">
                  <c:v>-7.6186041325453174E-2</c:v>
                </c:pt>
                <c:pt idx="6586">
                  <c:v>2.6764035631675342E-2</c:v>
                </c:pt>
                <c:pt idx="6587">
                  <c:v>2.5648166915272906E-2</c:v>
                </c:pt>
                <c:pt idx="6588">
                  <c:v>7.5553344638114323E-3</c:v>
                </c:pt>
                <c:pt idx="6589">
                  <c:v>-6.8932328441266913E-3</c:v>
                </c:pt>
                <c:pt idx="6590">
                  <c:v>1.6043623020360095E-2</c:v>
                </c:pt>
                <c:pt idx="6591">
                  <c:v>-2.1326081058415606E-3</c:v>
                </c:pt>
                <c:pt idx="6592">
                  <c:v>-5.2441250500046121E-3</c:v>
                </c:pt>
                <c:pt idx="6593">
                  <c:v>1.6774963561025591E-2</c:v>
                </c:pt>
                <c:pt idx="6594">
                  <c:v>-1.1887207663195285E-3</c:v>
                </c:pt>
                <c:pt idx="6595">
                  <c:v>-1.425566877828306E-2</c:v>
                </c:pt>
                <c:pt idx="6596">
                  <c:v>-9.2741034213491662E-3</c:v>
                </c:pt>
                <c:pt idx="6597">
                  <c:v>-2.7994924411389736E-2</c:v>
                </c:pt>
                <c:pt idx="6598">
                  <c:v>1.4480209839038605E-2</c:v>
                </c:pt>
                <c:pt idx="6599">
                  <c:v>2.8330467291526443E-2</c:v>
                </c:pt>
                <c:pt idx="6600">
                  <c:v>-3.9203562721036908E-2</c:v>
                </c:pt>
                <c:pt idx="6601">
                  <c:v>5.4925588562806712E-3</c:v>
                </c:pt>
                <c:pt idx="6602">
                  <c:v>-2.8973899579329918E-2</c:v>
                </c:pt>
                <c:pt idx="6603">
                  <c:v>-1.4208071892440634E-2</c:v>
                </c:pt>
                <c:pt idx="6604">
                  <c:v>8.9890722917974532E-3</c:v>
                </c:pt>
                <c:pt idx="6605">
                  <c:v>2.5149002639209751E-2</c:v>
                </c:pt>
                <c:pt idx="6606">
                  <c:v>1.0764478254186506E-2</c:v>
                </c:pt>
                <c:pt idx="6607">
                  <c:v>8.8643895205375526E-3</c:v>
                </c:pt>
                <c:pt idx="6608">
                  <c:v>-4.2380769582158077E-2</c:v>
                </c:pt>
                <c:pt idx="6609">
                  <c:v>1.9577249156529117E-2</c:v>
                </c:pt>
                <c:pt idx="6610">
                  <c:v>1.2309882449483252E-2</c:v>
                </c:pt>
                <c:pt idx="6611">
                  <c:v>-1.7241214293099147E-2</c:v>
                </c:pt>
                <c:pt idx="6612">
                  <c:v>-5.5890679483233272E-2</c:v>
                </c:pt>
                <c:pt idx="6613">
                  <c:v>-1.0947194989407629E-2</c:v>
                </c:pt>
                <c:pt idx="6614">
                  <c:v>-1.3464162441984679E-3</c:v>
                </c:pt>
                <c:pt idx="6615">
                  <c:v>4.2047032491706823E-4</c:v>
                </c:pt>
                <c:pt idx="6616">
                  <c:v>3.154506856562528E-3</c:v>
                </c:pt>
                <c:pt idx="6617">
                  <c:v>-4.8524343303350051E-3</c:v>
                </c:pt>
                <c:pt idx="6618">
                  <c:v>1.796137860999189E-2</c:v>
                </c:pt>
                <c:pt idx="6619">
                  <c:v>1.1437981111856239E-2</c:v>
                </c:pt>
                <c:pt idx="6620">
                  <c:v>-2.3753651732047534E-3</c:v>
                </c:pt>
                <c:pt idx="6621">
                  <c:v>-2.3519799141642043E-2</c:v>
                </c:pt>
                <c:pt idx="6622">
                  <c:v>-7.2154932458644017E-3</c:v>
                </c:pt>
                <c:pt idx="6623">
                  <c:v>6.1585610054380555E-2</c:v>
                </c:pt>
                <c:pt idx="6624">
                  <c:v>3.0138102001310833E-2</c:v>
                </c:pt>
                <c:pt idx="6625">
                  <c:v>-1.5014131638044634E-2</c:v>
                </c:pt>
                <c:pt idx="6626">
                  <c:v>-6.1132912021478539E-3</c:v>
                </c:pt>
                <c:pt idx="6627">
                  <c:v>2.0341200896020463E-2</c:v>
                </c:pt>
                <c:pt idx="6628">
                  <c:v>9.3512998719000994E-3</c:v>
                </c:pt>
                <c:pt idx="6629">
                  <c:v>-2.1768309718904054E-2</c:v>
                </c:pt>
                <c:pt idx="6630">
                  <c:v>2.6079478515269067E-2</c:v>
                </c:pt>
                <c:pt idx="6631">
                  <c:v>-1.3408242505833792E-2</c:v>
                </c:pt>
                <c:pt idx="6632">
                  <c:v>2.1668642053337E-2</c:v>
                </c:pt>
                <c:pt idx="6633">
                  <c:v>2.7994379337120168E-2</c:v>
                </c:pt>
                <c:pt idx="6634">
                  <c:v>9.3053602916774881E-3</c:v>
                </c:pt>
                <c:pt idx="6635">
                  <c:v>1.3695021527878075E-2</c:v>
                </c:pt>
                <c:pt idx="6636">
                  <c:v>4.0407175229301637E-2</c:v>
                </c:pt>
                <c:pt idx="6637">
                  <c:v>-1.1070806121715753E-2</c:v>
                </c:pt>
                <c:pt idx="6638">
                  <c:v>-2.68692978491296E-2</c:v>
                </c:pt>
                <c:pt idx="6639">
                  <c:v>-2.4854877910295808E-2</c:v>
                </c:pt>
                <c:pt idx="6640">
                  <c:v>-2.6659298656023046E-2</c:v>
                </c:pt>
                <c:pt idx="6641">
                  <c:v>-4.1681753845372552E-2</c:v>
                </c:pt>
                <c:pt idx="6642">
                  <c:v>-9.7761232801786232E-5</c:v>
                </c:pt>
                <c:pt idx="6643">
                  <c:v>-1.1781216551902627E-2</c:v>
                </c:pt>
                <c:pt idx="6644">
                  <c:v>-1.8539737964339668E-2</c:v>
                </c:pt>
                <c:pt idx="6645">
                  <c:v>-5.7150043023476834E-4</c:v>
                </c:pt>
                <c:pt idx="6646">
                  <c:v>2.5038044070000817E-2</c:v>
                </c:pt>
                <c:pt idx="6647">
                  <c:v>4.2554603598373375E-2</c:v>
                </c:pt>
                <c:pt idx="6648">
                  <c:v>3.498060279500277E-3</c:v>
                </c:pt>
                <c:pt idx="6649">
                  <c:v>-2.1754664318929914E-2</c:v>
                </c:pt>
                <c:pt idx="6650">
                  <c:v>-9.3990765673293147E-3</c:v>
                </c:pt>
                <c:pt idx="6651">
                  <c:v>-1.6973669935662003E-2</c:v>
                </c:pt>
                <c:pt idx="6652">
                  <c:v>-6.917878600868569E-4</c:v>
                </c:pt>
                <c:pt idx="6653">
                  <c:v>-2.5562927040001123E-2</c:v>
                </c:pt>
                <c:pt idx="6654">
                  <c:v>-1.0180494638993251E-2</c:v>
                </c:pt>
                <c:pt idx="6655">
                  <c:v>4.0712499855605835E-2</c:v>
                </c:pt>
                <c:pt idx="6656">
                  <c:v>-2.4657332774425576E-2</c:v>
                </c:pt>
                <c:pt idx="6657">
                  <c:v>-2.775055323849928E-2</c:v>
                </c:pt>
                <c:pt idx="6658">
                  <c:v>-2.6191436329717193E-2</c:v>
                </c:pt>
                <c:pt idx="6659">
                  <c:v>4.5086708416239817E-2</c:v>
                </c:pt>
                <c:pt idx="6660">
                  <c:v>2.4158784415433857E-2</c:v>
                </c:pt>
                <c:pt idx="6661">
                  <c:v>1.5089255765536458E-2</c:v>
                </c:pt>
                <c:pt idx="6662">
                  <c:v>-2.4796708402558338E-2</c:v>
                </c:pt>
                <c:pt idx="6663">
                  <c:v>-2.0489004907609746E-2</c:v>
                </c:pt>
                <c:pt idx="6664">
                  <c:v>3.7419916883789511E-2</c:v>
                </c:pt>
                <c:pt idx="6665">
                  <c:v>-4.8843283253948024E-2</c:v>
                </c:pt>
                <c:pt idx="6666">
                  <c:v>-1.5417276346955947E-2</c:v>
                </c:pt>
                <c:pt idx="6667">
                  <c:v>4.5749303120865198E-2</c:v>
                </c:pt>
                <c:pt idx="6668">
                  <c:v>3.2596280330965365E-2</c:v>
                </c:pt>
                <c:pt idx="6669">
                  <c:v>-1.6741698601691959E-2</c:v>
                </c:pt>
                <c:pt idx="6670">
                  <c:v>-1.1581681824520417E-2</c:v>
                </c:pt>
                <c:pt idx="6671">
                  <c:v>2.632154257335019E-3</c:v>
                </c:pt>
                <c:pt idx="6672">
                  <c:v>5.9369168182378633E-2</c:v>
                </c:pt>
                <c:pt idx="6673">
                  <c:v>-3.3387500672079337E-2</c:v>
                </c:pt>
                <c:pt idx="6674">
                  <c:v>2.7397424929156925E-2</c:v>
                </c:pt>
                <c:pt idx="6675">
                  <c:v>-2.974203302369585E-3</c:v>
                </c:pt>
                <c:pt idx="6676">
                  <c:v>1.893754697704976E-2</c:v>
                </c:pt>
                <c:pt idx="6677">
                  <c:v>7.1038252630365555E-3</c:v>
                </c:pt>
                <c:pt idx="6678">
                  <c:v>-9.7789256769026389E-3</c:v>
                </c:pt>
                <c:pt idx="6679">
                  <c:v>4.9881884542488687E-2</c:v>
                </c:pt>
                <c:pt idx="6680">
                  <c:v>-3.2375248011130495E-2</c:v>
                </c:pt>
                <c:pt idx="6681">
                  <c:v>6.2363434900611792E-3</c:v>
                </c:pt>
                <c:pt idx="6682">
                  <c:v>-2.3071990854437511E-2</c:v>
                </c:pt>
                <c:pt idx="6683">
                  <c:v>1.6975277400545025E-2</c:v>
                </c:pt>
                <c:pt idx="6684">
                  <c:v>-2.9407718386826851E-2</c:v>
                </c:pt>
                <c:pt idx="6685">
                  <c:v>2.4063336550584739E-2</c:v>
                </c:pt>
                <c:pt idx="6686">
                  <c:v>8.0438219501787374E-3</c:v>
                </c:pt>
                <c:pt idx="6687">
                  <c:v>-1.4951767925377311E-2</c:v>
                </c:pt>
                <c:pt idx="6688">
                  <c:v>3.62405658018859E-2</c:v>
                </c:pt>
                <c:pt idx="6689">
                  <c:v>5.6536054898490579E-3</c:v>
                </c:pt>
                <c:pt idx="6690">
                  <c:v>1.7799358363246691E-2</c:v>
                </c:pt>
                <c:pt idx="6691">
                  <c:v>-2.3809395035539006E-2</c:v>
                </c:pt>
                <c:pt idx="6692">
                  <c:v>-3.8469095892503476E-2</c:v>
                </c:pt>
                <c:pt idx="6693">
                  <c:v>2.6811105853058233E-3</c:v>
                </c:pt>
                <c:pt idx="6694">
                  <c:v>3.6879372800666249E-2</c:v>
                </c:pt>
                <c:pt idx="6695">
                  <c:v>2.3671311404902676E-3</c:v>
                </c:pt>
                <c:pt idx="6696">
                  <c:v>1.126795672708945E-2</c:v>
                </c:pt>
                <c:pt idx="6697">
                  <c:v>-3.1711906281346361E-2</c:v>
                </c:pt>
                <c:pt idx="6698">
                  <c:v>-5.4143427552260574E-4</c:v>
                </c:pt>
                <c:pt idx="6699">
                  <c:v>1.5618685176607156E-2</c:v>
                </c:pt>
                <c:pt idx="6700">
                  <c:v>6.8575233092980706E-3</c:v>
                </c:pt>
                <c:pt idx="6701">
                  <c:v>-1.1587417169671533E-2</c:v>
                </c:pt>
                <c:pt idx="6702">
                  <c:v>-1.8240466692512221E-2</c:v>
                </c:pt>
                <c:pt idx="6703">
                  <c:v>-2.2321359660271014E-2</c:v>
                </c:pt>
                <c:pt idx="6704">
                  <c:v>-5.1865083592530913E-2</c:v>
                </c:pt>
                <c:pt idx="6705">
                  <c:v>-5.1117049673993654E-3</c:v>
                </c:pt>
                <c:pt idx="6706">
                  <c:v>-2.5551882921958841E-2</c:v>
                </c:pt>
                <c:pt idx="6707">
                  <c:v>1.1892717448674995E-2</c:v>
                </c:pt>
                <c:pt idx="6708">
                  <c:v>2.1372962121052511E-2</c:v>
                </c:pt>
                <c:pt idx="6709">
                  <c:v>2.4496723516995413E-2</c:v>
                </c:pt>
                <c:pt idx="6710">
                  <c:v>-5.8072258249297001E-3</c:v>
                </c:pt>
                <c:pt idx="6711">
                  <c:v>1.1208220340437666E-2</c:v>
                </c:pt>
                <c:pt idx="6712">
                  <c:v>6.8565485336160945E-3</c:v>
                </c:pt>
                <c:pt idx="6713">
                  <c:v>-4.7470610003211428E-2</c:v>
                </c:pt>
                <c:pt idx="6714">
                  <c:v>3.9324252024327079E-2</c:v>
                </c:pt>
                <c:pt idx="6715">
                  <c:v>2.0176281715401336E-2</c:v>
                </c:pt>
                <c:pt idx="6716">
                  <c:v>-2.6874989635584476E-2</c:v>
                </c:pt>
                <c:pt idx="6717">
                  <c:v>2.1533464462417697E-3</c:v>
                </c:pt>
                <c:pt idx="6718">
                  <c:v>6.0753653164285409E-2</c:v>
                </c:pt>
                <c:pt idx="6719">
                  <c:v>-9.8929776417097989E-3</c:v>
                </c:pt>
                <c:pt idx="6720">
                  <c:v>1.2330524514019858E-3</c:v>
                </c:pt>
                <c:pt idx="6721">
                  <c:v>-9.4859551659103817E-3</c:v>
                </c:pt>
                <c:pt idx="6722">
                  <c:v>3.5670449357128758E-3</c:v>
                </c:pt>
                <c:pt idx="6723">
                  <c:v>-4.0109898539356315E-2</c:v>
                </c:pt>
                <c:pt idx="6724">
                  <c:v>-2.0724235585488467E-2</c:v>
                </c:pt>
                <c:pt idx="6725">
                  <c:v>1.9895239539836615E-2</c:v>
                </c:pt>
                <c:pt idx="6726">
                  <c:v>3.8077456548677438E-3</c:v>
                </c:pt>
                <c:pt idx="6727">
                  <c:v>3.4205272834260732E-2</c:v>
                </c:pt>
                <c:pt idx="6728">
                  <c:v>-1.6722215228459143E-2</c:v>
                </c:pt>
                <c:pt idx="6729">
                  <c:v>-5.1723781327584466E-3</c:v>
                </c:pt>
                <c:pt idx="6730">
                  <c:v>-1.7955443318182829E-2</c:v>
                </c:pt>
                <c:pt idx="6731">
                  <c:v>2.9846670821131394E-2</c:v>
                </c:pt>
                <c:pt idx="6732">
                  <c:v>2.8640827729724083E-3</c:v>
                </c:pt>
                <c:pt idx="6733">
                  <c:v>-6.5021374636886065E-3</c:v>
                </c:pt>
                <c:pt idx="6734">
                  <c:v>2.6587712409507344E-2</c:v>
                </c:pt>
                <c:pt idx="6735">
                  <c:v>2.5077711096564856E-2</c:v>
                </c:pt>
                <c:pt idx="6736">
                  <c:v>1.2978856783960799E-2</c:v>
                </c:pt>
                <c:pt idx="6737">
                  <c:v>1.2502253923554595E-2</c:v>
                </c:pt>
                <c:pt idx="6738">
                  <c:v>9.8613703430804472E-3</c:v>
                </c:pt>
                <c:pt idx="6739">
                  <c:v>2.4223670519903227E-2</c:v>
                </c:pt>
                <c:pt idx="6740">
                  <c:v>6.2102401894249572E-3</c:v>
                </c:pt>
                <c:pt idx="6741">
                  <c:v>1.5778561430419818E-2</c:v>
                </c:pt>
                <c:pt idx="6742">
                  <c:v>-7.5786527958382494E-3</c:v>
                </c:pt>
                <c:pt idx="6743">
                  <c:v>6.136615707849756E-2</c:v>
                </c:pt>
                <c:pt idx="6744">
                  <c:v>-2.320729493313501E-2</c:v>
                </c:pt>
                <c:pt idx="6745">
                  <c:v>3.2388704577216897E-2</c:v>
                </c:pt>
                <c:pt idx="6746">
                  <c:v>2.5069861702376559E-2</c:v>
                </c:pt>
                <c:pt idx="6747">
                  <c:v>2.7723729179527631E-2</c:v>
                </c:pt>
                <c:pt idx="6748">
                  <c:v>1.2587735539365845E-2</c:v>
                </c:pt>
                <c:pt idx="6749">
                  <c:v>3.7413944144242831E-2</c:v>
                </c:pt>
                <c:pt idx="6750">
                  <c:v>7.7143281585158006E-3</c:v>
                </c:pt>
                <c:pt idx="6751">
                  <c:v>1.3002546374189787E-2</c:v>
                </c:pt>
                <c:pt idx="6752">
                  <c:v>3.4484896426009104E-2</c:v>
                </c:pt>
                <c:pt idx="6753">
                  <c:v>-6.9726582514964951E-3</c:v>
                </c:pt>
                <c:pt idx="6754">
                  <c:v>1.7839970838057401E-2</c:v>
                </c:pt>
                <c:pt idx="6755">
                  <c:v>-2.9046081315597962E-2</c:v>
                </c:pt>
                <c:pt idx="6756">
                  <c:v>4.0262072003940035E-4</c:v>
                </c:pt>
                <c:pt idx="6757">
                  <c:v>1.3453072492703241E-2</c:v>
                </c:pt>
                <c:pt idx="6758">
                  <c:v>-2.0027564310959693E-2</c:v>
                </c:pt>
                <c:pt idx="6759">
                  <c:v>3.0262025565819407E-2</c:v>
                </c:pt>
                <c:pt idx="6760">
                  <c:v>3.9745938094960187E-2</c:v>
                </c:pt>
                <c:pt idx="6761">
                  <c:v>-2.0796340486165667E-2</c:v>
                </c:pt>
                <c:pt idx="6762">
                  <c:v>4.8599224071457591E-4</c:v>
                </c:pt>
                <c:pt idx="6763">
                  <c:v>-5.251722218349358E-3</c:v>
                </c:pt>
                <c:pt idx="6764">
                  <c:v>1.3007512328000261E-2</c:v>
                </c:pt>
                <c:pt idx="6765">
                  <c:v>4.3261900097300562E-2</c:v>
                </c:pt>
                <c:pt idx="6766">
                  <c:v>9.7904415048467378E-3</c:v>
                </c:pt>
                <c:pt idx="6767">
                  <c:v>4.7296261221118768E-3</c:v>
                </c:pt>
                <c:pt idx="6768">
                  <c:v>-1.9470780843131585E-2</c:v>
                </c:pt>
                <c:pt idx="6769">
                  <c:v>2.3477213655413078E-3</c:v>
                </c:pt>
                <c:pt idx="6770">
                  <c:v>3.1073027709018267E-2</c:v>
                </c:pt>
                <c:pt idx="6771">
                  <c:v>2.9530069971613129E-2</c:v>
                </c:pt>
                <c:pt idx="6772">
                  <c:v>-7.5272059182793314E-3</c:v>
                </c:pt>
                <c:pt idx="6773">
                  <c:v>-1.7999821202979875E-2</c:v>
                </c:pt>
                <c:pt idx="6774">
                  <c:v>5.0644928535063753E-3</c:v>
                </c:pt>
                <c:pt idx="6775">
                  <c:v>-1.0178303752328475E-2</c:v>
                </c:pt>
                <c:pt idx="6776">
                  <c:v>3.1472778423122451E-3</c:v>
                </c:pt>
                <c:pt idx="6777">
                  <c:v>2.6724401446204847E-3</c:v>
                </c:pt>
                <c:pt idx="6778">
                  <c:v>2.2885085906192608E-3</c:v>
                </c:pt>
                <c:pt idx="6779">
                  <c:v>9.1001628386861676E-3</c:v>
                </c:pt>
                <c:pt idx="6780">
                  <c:v>3.1919351915304102E-2</c:v>
                </c:pt>
                <c:pt idx="6781">
                  <c:v>3.2702258874984937E-2</c:v>
                </c:pt>
                <c:pt idx="6782">
                  <c:v>3.4044211626740914E-2</c:v>
                </c:pt>
                <c:pt idx="6783">
                  <c:v>3.6736292609512874E-2</c:v>
                </c:pt>
                <c:pt idx="6784">
                  <c:v>-3.0618864898703833E-2</c:v>
                </c:pt>
                <c:pt idx="6785">
                  <c:v>2.7264394936430382E-2</c:v>
                </c:pt>
                <c:pt idx="6786">
                  <c:v>2.8174959645435722E-2</c:v>
                </c:pt>
                <c:pt idx="6787">
                  <c:v>2.1711474780570682E-2</c:v>
                </c:pt>
                <c:pt idx="6788">
                  <c:v>-5.3932768496452069E-4</c:v>
                </c:pt>
                <c:pt idx="6789">
                  <c:v>-2.3434149390088255E-2</c:v>
                </c:pt>
                <c:pt idx="6790">
                  <c:v>-2.1461641664248143E-2</c:v>
                </c:pt>
                <c:pt idx="6791">
                  <c:v>2.629435020242939E-2</c:v>
                </c:pt>
                <c:pt idx="6792">
                  <c:v>1.1020478313756344E-2</c:v>
                </c:pt>
                <c:pt idx="6793">
                  <c:v>1.5715995144112687E-2</c:v>
                </c:pt>
                <c:pt idx="6794">
                  <c:v>-1.1683611615967301E-2</c:v>
                </c:pt>
                <c:pt idx="6795">
                  <c:v>2.1560387917738993E-2</c:v>
                </c:pt>
                <c:pt idx="6796">
                  <c:v>2.2650531134387831E-4</c:v>
                </c:pt>
                <c:pt idx="6797">
                  <c:v>2.1648920249551278E-2</c:v>
                </c:pt>
                <c:pt idx="6798">
                  <c:v>-9.3186025012922582E-3</c:v>
                </c:pt>
                <c:pt idx="6799">
                  <c:v>-2.4464369211288351E-2</c:v>
                </c:pt>
                <c:pt idx="6800">
                  <c:v>3.374196908772812E-2</c:v>
                </c:pt>
                <c:pt idx="6801">
                  <c:v>7.5512709552010508E-3</c:v>
                </c:pt>
                <c:pt idx="6802">
                  <c:v>-7.7051757817386546E-3</c:v>
                </c:pt>
                <c:pt idx="6803">
                  <c:v>-2.6298777288397676E-2</c:v>
                </c:pt>
                <c:pt idx="6804">
                  <c:v>-3.1667500504188997E-2</c:v>
                </c:pt>
                <c:pt idx="6805">
                  <c:v>9.4004164194123486E-3</c:v>
                </c:pt>
                <c:pt idx="6806">
                  <c:v>4.6332625353661065E-3</c:v>
                </c:pt>
                <c:pt idx="6807">
                  <c:v>-2.447973579905963E-2</c:v>
                </c:pt>
                <c:pt idx="6808">
                  <c:v>2.9184371905523539E-2</c:v>
                </c:pt>
                <c:pt idx="6809">
                  <c:v>3.4611693018553658E-2</c:v>
                </c:pt>
                <c:pt idx="6810">
                  <c:v>-2.230897013276403E-2</c:v>
                </c:pt>
                <c:pt idx="6811">
                  <c:v>-2.1152846728257423E-2</c:v>
                </c:pt>
                <c:pt idx="6812">
                  <c:v>-2.9217514834953492E-2</c:v>
                </c:pt>
                <c:pt idx="6813">
                  <c:v>-2.1441641743744879E-2</c:v>
                </c:pt>
                <c:pt idx="6814">
                  <c:v>-6.5642734202425185E-3</c:v>
                </c:pt>
                <c:pt idx="6815">
                  <c:v>2.0530300282351054E-2</c:v>
                </c:pt>
                <c:pt idx="6816">
                  <c:v>3.1193039557315502E-2</c:v>
                </c:pt>
                <c:pt idx="6817">
                  <c:v>9.4736270898144476E-3</c:v>
                </c:pt>
                <c:pt idx="6818">
                  <c:v>-2.7658142223698393E-2</c:v>
                </c:pt>
                <c:pt idx="6819">
                  <c:v>2.2960368275609364E-2</c:v>
                </c:pt>
                <c:pt idx="6820">
                  <c:v>-1.6504966352874517E-2</c:v>
                </c:pt>
                <c:pt idx="6821">
                  <c:v>1.6571910469823578E-2</c:v>
                </c:pt>
                <c:pt idx="6822">
                  <c:v>1.7933885069701196E-2</c:v>
                </c:pt>
                <c:pt idx="6823">
                  <c:v>-9.2335805176803668E-4</c:v>
                </c:pt>
                <c:pt idx="6824">
                  <c:v>1.9996475789873895E-2</c:v>
                </c:pt>
                <c:pt idx="6825">
                  <c:v>2.4808115365193565E-2</c:v>
                </c:pt>
                <c:pt idx="6826">
                  <c:v>-6.673736698385392E-4</c:v>
                </c:pt>
                <c:pt idx="6827">
                  <c:v>-5.420004745245096E-2</c:v>
                </c:pt>
                <c:pt idx="6828">
                  <c:v>1.861101709872507E-2</c:v>
                </c:pt>
                <c:pt idx="6829">
                  <c:v>-1.6364761046986056E-2</c:v>
                </c:pt>
                <c:pt idx="6830">
                  <c:v>-3.7353328416651634E-3</c:v>
                </c:pt>
                <c:pt idx="6831">
                  <c:v>2.779118390502924E-3</c:v>
                </c:pt>
                <c:pt idx="6832">
                  <c:v>-5.8000881674656682E-3</c:v>
                </c:pt>
                <c:pt idx="6833">
                  <c:v>-1.5621601038112626E-2</c:v>
                </c:pt>
                <c:pt idx="6834">
                  <c:v>-1.5641448872601191E-2</c:v>
                </c:pt>
                <c:pt idx="6835">
                  <c:v>3.1797699258706694E-2</c:v>
                </c:pt>
                <c:pt idx="6836">
                  <c:v>-1.4279741767945437E-2</c:v>
                </c:pt>
                <c:pt idx="6837">
                  <c:v>3.5110036174354417E-2</c:v>
                </c:pt>
                <c:pt idx="6838">
                  <c:v>2.2721620367785631E-3</c:v>
                </c:pt>
                <c:pt idx="6839">
                  <c:v>1.0164347317884631E-2</c:v>
                </c:pt>
                <c:pt idx="6840">
                  <c:v>-7.7838594786701939E-4</c:v>
                </c:pt>
                <c:pt idx="6841">
                  <c:v>-2.8321899325654985E-3</c:v>
                </c:pt>
                <c:pt idx="6842">
                  <c:v>8.9311181508293404E-3</c:v>
                </c:pt>
                <c:pt idx="6843">
                  <c:v>4.1605608764459963E-3</c:v>
                </c:pt>
                <c:pt idx="6844">
                  <c:v>-1.4405059482445496E-2</c:v>
                </c:pt>
                <c:pt idx="6845">
                  <c:v>2.6564186832357107E-2</c:v>
                </c:pt>
                <c:pt idx="6846">
                  <c:v>-2.7578170342530593E-2</c:v>
                </c:pt>
                <c:pt idx="6847">
                  <c:v>-1.889064227416535E-4</c:v>
                </c:pt>
                <c:pt idx="6848">
                  <c:v>2.9029377756388187E-2</c:v>
                </c:pt>
                <c:pt idx="6849">
                  <c:v>-2.1763244480905105E-2</c:v>
                </c:pt>
                <c:pt idx="6850">
                  <c:v>-2.3913448402872808E-3</c:v>
                </c:pt>
                <c:pt idx="6851">
                  <c:v>2.2740626905640066E-2</c:v>
                </c:pt>
                <c:pt idx="6852">
                  <c:v>7.2066772538738159E-3</c:v>
                </c:pt>
                <c:pt idx="6853">
                  <c:v>-1.9766369770497956E-2</c:v>
                </c:pt>
                <c:pt idx="6854">
                  <c:v>4.9288614281360332E-3</c:v>
                </c:pt>
                <c:pt idx="6855">
                  <c:v>-4.4899442211583984E-2</c:v>
                </c:pt>
                <c:pt idx="6856">
                  <c:v>2.9359830281626576E-2</c:v>
                </c:pt>
                <c:pt idx="6857">
                  <c:v>4.5690020352411612E-2</c:v>
                </c:pt>
                <c:pt idx="6858">
                  <c:v>7.2072988806504146E-3</c:v>
                </c:pt>
                <c:pt idx="6859">
                  <c:v>3.0393084380118122E-2</c:v>
                </c:pt>
                <c:pt idx="6860">
                  <c:v>-2.9980649975345473E-2</c:v>
                </c:pt>
                <c:pt idx="6861">
                  <c:v>6.0705402752175078E-3</c:v>
                </c:pt>
                <c:pt idx="6862">
                  <c:v>7.7796092745724878E-3</c:v>
                </c:pt>
                <c:pt idx="6863">
                  <c:v>-3.428213063009572E-2</c:v>
                </c:pt>
                <c:pt idx="6864">
                  <c:v>-1.2419471047642404E-2</c:v>
                </c:pt>
                <c:pt idx="6865">
                  <c:v>-2.4857311939123591E-2</c:v>
                </c:pt>
                <c:pt idx="6866">
                  <c:v>2.2696301321876815E-2</c:v>
                </c:pt>
                <c:pt idx="6867">
                  <c:v>6.27903983537491E-3</c:v>
                </c:pt>
                <c:pt idx="6868">
                  <c:v>-4.9824690311769698E-2</c:v>
                </c:pt>
                <c:pt idx="6869">
                  <c:v>-1.6801963674384034E-2</c:v>
                </c:pt>
                <c:pt idx="6870">
                  <c:v>2.5966554255610754E-2</c:v>
                </c:pt>
                <c:pt idx="6871">
                  <c:v>-1.2626665376256339E-2</c:v>
                </c:pt>
                <c:pt idx="6872">
                  <c:v>3.3973405994797449E-3</c:v>
                </c:pt>
                <c:pt idx="6873">
                  <c:v>1.0824797012784675E-2</c:v>
                </c:pt>
                <c:pt idx="6874">
                  <c:v>1.6853722486611992E-2</c:v>
                </c:pt>
                <c:pt idx="6875">
                  <c:v>1.5572940832860536E-2</c:v>
                </c:pt>
                <c:pt idx="6876">
                  <c:v>-2.6463475795413065E-2</c:v>
                </c:pt>
                <c:pt idx="6877">
                  <c:v>1.8195609503190626E-2</c:v>
                </c:pt>
                <c:pt idx="6878">
                  <c:v>-7.5704536658736162E-3</c:v>
                </c:pt>
                <c:pt idx="6879">
                  <c:v>-1.5707714162855844E-2</c:v>
                </c:pt>
                <c:pt idx="6880">
                  <c:v>-7.8412304107658322E-3</c:v>
                </c:pt>
                <c:pt idx="6881">
                  <c:v>-3.2613505833560631E-2</c:v>
                </c:pt>
                <c:pt idx="6882">
                  <c:v>-2.3978056180342783E-2</c:v>
                </c:pt>
                <c:pt idx="6883">
                  <c:v>-1.2212246764404093E-2</c:v>
                </c:pt>
                <c:pt idx="6884">
                  <c:v>2.8670116070295529E-2</c:v>
                </c:pt>
                <c:pt idx="6885">
                  <c:v>1.5880324166955222E-2</c:v>
                </c:pt>
                <c:pt idx="6886">
                  <c:v>2.1704297455506612E-2</c:v>
                </c:pt>
                <c:pt idx="6887">
                  <c:v>2.0652143370544249E-2</c:v>
                </c:pt>
                <c:pt idx="6888">
                  <c:v>1.9051901371880051E-2</c:v>
                </c:pt>
                <c:pt idx="6889">
                  <c:v>-1.7467801441633058E-2</c:v>
                </c:pt>
                <c:pt idx="6890">
                  <c:v>3.7155359987911918E-2</c:v>
                </c:pt>
                <c:pt idx="6891">
                  <c:v>-1.6403220687445812E-2</c:v>
                </c:pt>
                <c:pt idx="6892">
                  <c:v>4.8876370685902726E-3</c:v>
                </c:pt>
                <c:pt idx="6893">
                  <c:v>2.3396103123200979E-2</c:v>
                </c:pt>
                <c:pt idx="6894">
                  <c:v>5.9240544698325472E-4</c:v>
                </c:pt>
                <c:pt idx="6895">
                  <c:v>-2.7898026985274257E-2</c:v>
                </c:pt>
                <c:pt idx="6896">
                  <c:v>1.0840939101762079E-2</c:v>
                </c:pt>
                <c:pt idx="6897">
                  <c:v>-2.7227360975329698E-2</c:v>
                </c:pt>
                <c:pt idx="6898">
                  <c:v>-1.1815298953048383E-2</c:v>
                </c:pt>
                <c:pt idx="6899">
                  <c:v>3.4227519110849487E-2</c:v>
                </c:pt>
                <c:pt idx="6900">
                  <c:v>-2.2338294304524383E-2</c:v>
                </c:pt>
                <c:pt idx="6901">
                  <c:v>-8.4277121488265656E-4</c:v>
                </c:pt>
                <c:pt idx="6902">
                  <c:v>-1.3318335017342401E-2</c:v>
                </c:pt>
                <c:pt idx="6903">
                  <c:v>-3.4158190290399936E-3</c:v>
                </c:pt>
                <c:pt idx="6904">
                  <c:v>3.1223026549093372E-2</c:v>
                </c:pt>
                <c:pt idx="6905">
                  <c:v>1.1417231040135575E-2</c:v>
                </c:pt>
                <c:pt idx="6906">
                  <c:v>4.1403338172596935E-2</c:v>
                </c:pt>
                <c:pt idx="6907">
                  <c:v>-1.1839745689894165E-4</c:v>
                </c:pt>
                <c:pt idx="6908">
                  <c:v>2.1339908280773149E-2</c:v>
                </c:pt>
                <c:pt idx="6909">
                  <c:v>-1.228369396392355E-2</c:v>
                </c:pt>
                <c:pt idx="6910">
                  <c:v>2.1445683971356199E-3</c:v>
                </c:pt>
                <c:pt idx="6911">
                  <c:v>-1.4287039191425974E-2</c:v>
                </c:pt>
                <c:pt idx="6912">
                  <c:v>-1.8340428010608208E-2</c:v>
                </c:pt>
                <c:pt idx="6913">
                  <c:v>-2.7523101470127143E-2</c:v>
                </c:pt>
                <c:pt idx="6914">
                  <c:v>-2.4693911060485116E-2</c:v>
                </c:pt>
                <c:pt idx="6915">
                  <c:v>6.0802887805163873E-3</c:v>
                </c:pt>
                <c:pt idx="6916">
                  <c:v>-5.4170888590178651E-4</c:v>
                </c:pt>
                <c:pt idx="6917">
                  <c:v>1.5102139200926875E-2</c:v>
                </c:pt>
                <c:pt idx="6918">
                  <c:v>-1.1183219169318023E-2</c:v>
                </c:pt>
                <c:pt idx="6919">
                  <c:v>-4.4286346649224963E-2</c:v>
                </c:pt>
                <c:pt idx="6920">
                  <c:v>-1.3417984821254364E-2</c:v>
                </c:pt>
                <c:pt idx="6921">
                  <c:v>-2.329997014349976E-2</c:v>
                </c:pt>
                <c:pt idx="6922">
                  <c:v>2.6317981053151876E-2</c:v>
                </c:pt>
                <c:pt idx="6923">
                  <c:v>3.3738397421495377E-2</c:v>
                </c:pt>
                <c:pt idx="6924">
                  <c:v>2.1029681713637251E-2</c:v>
                </c:pt>
                <c:pt idx="6925">
                  <c:v>-1.0986138256540387E-2</c:v>
                </c:pt>
                <c:pt idx="6926">
                  <c:v>5.5613742517384712E-3</c:v>
                </c:pt>
                <c:pt idx="6927">
                  <c:v>-3.0061248802206171E-3</c:v>
                </c:pt>
                <c:pt idx="6928">
                  <c:v>2.6087552638682499E-2</c:v>
                </c:pt>
                <c:pt idx="6929">
                  <c:v>-7.4718906449095252E-3</c:v>
                </c:pt>
                <c:pt idx="6930">
                  <c:v>-2.2449663074514174E-2</c:v>
                </c:pt>
                <c:pt idx="6931">
                  <c:v>2.2951002287687735E-3</c:v>
                </c:pt>
                <c:pt idx="6932">
                  <c:v>3.5886136025259634E-2</c:v>
                </c:pt>
                <c:pt idx="6933">
                  <c:v>1.7787462205940893E-2</c:v>
                </c:pt>
                <c:pt idx="6934">
                  <c:v>2.0144737987198142E-2</c:v>
                </c:pt>
                <c:pt idx="6935">
                  <c:v>-4.5323866755383663E-2</c:v>
                </c:pt>
                <c:pt idx="6936">
                  <c:v>-1.2590153662454126E-2</c:v>
                </c:pt>
                <c:pt idx="6937">
                  <c:v>-6.9124995213759987E-3</c:v>
                </c:pt>
                <c:pt idx="6938">
                  <c:v>-1.954124285209605E-2</c:v>
                </c:pt>
                <c:pt idx="6939">
                  <c:v>-2.1018074113531016E-2</c:v>
                </c:pt>
                <c:pt idx="6940">
                  <c:v>2.4076072876100724E-2</c:v>
                </c:pt>
                <c:pt idx="6941">
                  <c:v>5.3143821240257735E-3</c:v>
                </c:pt>
                <c:pt idx="6942">
                  <c:v>-7.1559593750090775E-3</c:v>
                </c:pt>
                <c:pt idx="6943">
                  <c:v>-1.3731775408814539E-3</c:v>
                </c:pt>
                <c:pt idx="6944">
                  <c:v>6.2016185828100649E-3</c:v>
                </c:pt>
                <c:pt idx="6945">
                  <c:v>7.9758262141325E-3</c:v>
                </c:pt>
                <c:pt idx="6946">
                  <c:v>1.1185749481051084E-2</c:v>
                </c:pt>
                <c:pt idx="6947">
                  <c:v>2.2923031422761881E-2</c:v>
                </c:pt>
                <c:pt idx="6948">
                  <c:v>-1.1065755022897151E-2</c:v>
                </c:pt>
                <c:pt idx="6949">
                  <c:v>1.6447315724366487E-2</c:v>
                </c:pt>
                <c:pt idx="6950">
                  <c:v>3.5865009616040756E-2</c:v>
                </c:pt>
                <c:pt idx="6951">
                  <c:v>1.1305671088262255E-2</c:v>
                </c:pt>
                <c:pt idx="6952">
                  <c:v>-2.7026205738530339E-2</c:v>
                </c:pt>
                <c:pt idx="6953">
                  <c:v>-4.1590940218410154E-3</c:v>
                </c:pt>
                <c:pt idx="6954">
                  <c:v>2.6933280839208852E-2</c:v>
                </c:pt>
                <c:pt idx="6955">
                  <c:v>3.8281080273646702E-3</c:v>
                </c:pt>
                <c:pt idx="6956">
                  <c:v>2.292541417718795E-2</c:v>
                </c:pt>
                <c:pt idx="6957">
                  <c:v>2.2095599743251131E-2</c:v>
                </c:pt>
                <c:pt idx="6958">
                  <c:v>3.4980473625077671E-4</c:v>
                </c:pt>
                <c:pt idx="6959">
                  <c:v>2.5821682604219725E-2</c:v>
                </c:pt>
                <c:pt idx="6960">
                  <c:v>2.0826881012056504E-2</c:v>
                </c:pt>
                <c:pt idx="6961">
                  <c:v>1.8482155729597629E-2</c:v>
                </c:pt>
                <c:pt idx="6962">
                  <c:v>1.6396772504000439E-2</c:v>
                </c:pt>
                <c:pt idx="6963">
                  <c:v>1.2611147808473553E-2</c:v>
                </c:pt>
                <c:pt idx="6964">
                  <c:v>-2.7784252815432092E-2</c:v>
                </c:pt>
                <c:pt idx="6965">
                  <c:v>-3.5075604955409997E-2</c:v>
                </c:pt>
                <c:pt idx="6966">
                  <c:v>-3.2926482342814291E-2</c:v>
                </c:pt>
                <c:pt idx="6967">
                  <c:v>-2.7241240636955998E-2</c:v>
                </c:pt>
                <c:pt idx="6968">
                  <c:v>3.9750629469907713E-2</c:v>
                </c:pt>
                <c:pt idx="6969">
                  <c:v>4.6643463158297697E-2</c:v>
                </c:pt>
                <c:pt idx="6970">
                  <c:v>3.0388564919210648E-2</c:v>
                </c:pt>
                <c:pt idx="6971">
                  <c:v>-2.0211758347502922E-2</c:v>
                </c:pt>
                <c:pt idx="6972">
                  <c:v>2.5181806117519187E-3</c:v>
                </c:pt>
                <c:pt idx="6973">
                  <c:v>2.8146098458274559E-3</c:v>
                </c:pt>
                <c:pt idx="6974">
                  <c:v>-2.4663772970870638E-2</c:v>
                </c:pt>
                <c:pt idx="6975">
                  <c:v>2.5901772329767262E-2</c:v>
                </c:pt>
                <c:pt idx="6976">
                  <c:v>2.663841951034042E-3</c:v>
                </c:pt>
                <c:pt idx="6977">
                  <c:v>1.8445926521270702E-2</c:v>
                </c:pt>
                <c:pt idx="6978">
                  <c:v>7.8590129092368718E-3</c:v>
                </c:pt>
                <c:pt idx="6979">
                  <c:v>-2.41789498338657E-2</c:v>
                </c:pt>
                <c:pt idx="6980">
                  <c:v>-1.6418068716653255E-2</c:v>
                </c:pt>
                <c:pt idx="6981">
                  <c:v>1.7986418833673629E-3</c:v>
                </c:pt>
                <c:pt idx="6982">
                  <c:v>-2.0512029908614539E-2</c:v>
                </c:pt>
                <c:pt idx="6983">
                  <c:v>-2.5257550050896419E-2</c:v>
                </c:pt>
                <c:pt idx="6984">
                  <c:v>-3.2190087166792759E-2</c:v>
                </c:pt>
                <c:pt idx="6985">
                  <c:v>-1.618208730484404E-2</c:v>
                </c:pt>
                <c:pt idx="6986">
                  <c:v>9.0838555376839155E-4</c:v>
                </c:pt>
                <c:pt idx="6987">
                  <c:v>-2.4870269730142133E-3</c:v>
                </c:pt>
                <c:pt idx="6988">
                  <c:v>-1.8113201274059281E-2</c:v>
                </c:pt>
                <c:pt idx="6989">
                  <c:v>-6.9762612388816238E-3</c:v>
                </c:pt>
                <c:pt idx="6990">
                  <c:v>1.3619416440535976E-2</c:v>
                </c:pt>
                <c:pt idx="6991">
                  <c:v>-6.455635490430359E-3</c:v>
                </c:pt>
                <c:pt idx="6992">
                  <c:v>-2.0115910587046562E-3</c:v>
                </c:pt>
                <c:pt idx="6993">
                  <c:v>-2.01965303490221E-2</c:v>
                </c:pt>
                <c:pt idx="6994">
                  <c:v>2.194354054984067E-2</c:v>
                </c:pt>
                <c:pt idx="6995">
                  <c:v>-5.3158818305972903E-3</c:v>
                </c:pt>
                <c:pt idx="6996">
                  <c:v>2.880046707525837E-4</c:v>
                </c:pt>
                <c:pt idx="6997">
                  <c:v>-1.6149797734981926E-2</c:v>
                </c:pt>
                <c:pt idx="6998">
                  <c:v>-1.4975779207898405E-2</c:v>
                </c:pt>
                <c:pt idx="6999">
                  <c:v>1.0332981685506018E-3</c:v>
                </c:pt>
                <c:pt idx="7000">
                  <c:v>-3.7675770772392758E-2</c:v>
                </c:pt>
                <c:pt idx="7001">
                  <c:v>-2.1108536718530507E-2</c:v>
                </c:pt>
                <c:pt idx="7002">
                  <c:v>2.7965992449181309E-2</c:v>
                </c:pt>
                <c:pt idx="7003">
                  <c:v>1.2188152601576014E-2</c:v>
                </c:pt>
                <c:pt idx="7004">
                  <c:v>-4.1171367645786987E-2</c:v>
                </c:pt>
                <c:pt idx="7005">
                  <c:v>2.0970360277583946E-3</c:v>
                </c:pt>
                <c:pt idx="7006">
                  <c:v>-1.5865119326395449E-2</c:v>
                </c:pt>
                <c:pt idx="7007">
                  <c:v>3.494515305708288E-2</c:v>
                </c:pt>
                <c:pt idx="7008">
                  <c:v>1.0630815842319731E-2</c:v>
                </c:pt>
                <c:pt idx="7009">
                  <c:v>-2.6902640393511285E-2</c:v>
                </c:pt>
                <c:pt idx="7010">
                  <c:v>-1.0700093635720718E-2</c:v>
                </c:pt>
                <c:pt idx="7011">
                  <c:v>-2.285069682219824E-2</c:v>
                </c:pt>
                <c:pt idx="7012">
                  <c:v>2.5426956848904714E-2</c:v>
                </c:pt>
                <c:pt idx="7013">
                  <c:v>1.464302425702166E-3</c:v>
                </c:pt>
                <c:pt idx="7014">
                  <c:v>-9.5159350872052045E-3</c:v>
                </c:pt>
                <c:pt idx="7015">
                  <c:v>-4.6245358086673301E-3</c:v>
                </c:pt>
                <c:pt idx="7016">
                  <c:v>3.9567108355567204E-2</c:v>
                </c:pt>
                <c:pt idx="7017">
                  <c:v>-3.0505242959148648E-2</c:v>
                </c:pt>
                <c:pt idx="7018">
                  <c:v>-2.0833767091306164E-2</c:v>
                </c:pt>
                <c:pt idx="7019">
                  <c:v>3.1511538653027894E-2</c:v>
                </c:pt>
                <c:pt idx="7020">
                  <c:v>4.7373424282186806E-2</c:v>
                </c:pt>
                <c:pt idx="7021">
                  <c:v>1.5179944432891843E-2</c:v>
                </c:pt>
                <c:pt idx="7022">
                  <c:v>2.8967697634441465E-2</c:v>
                </c:pt>
                <c:pt idx="7023">
                  <c:v>2.4692485954476796E-2</c:v>
                </c:pt>
                <c:pt idx="7024">
                  <c:v>-2.3061739718673539E-2</c:v>
                </c:pt>
                <c:pt idx="7025">
                  <c:v>3.0751233165150862E-3</c:v>
                </c:pt>
                <c:pt idx="7026">
                  <c:v>2.4744820205400926E-2</c:v>
                </c:pt>
                <c:pt idx="7027">
                  <c:v>-1.6472363197482985E-2</c:v>
                </c:pt>
                <c:pt idx="7028">
                  <c:v>2.9775980819971015E-2</c:v>
                </c:pt>
                <c:pt idx="7029">
                  <c:v>3.5563570463614795E-2</c:v>
                </c:pt>
                <c:pt idx="7030">
                  <c:v>-1.1697986131759767E-3</c:v>
                </c:pt>
                <c:pt idx="7031">
                  <c:v>-1.5618919850054938E-2</c:v>
                </c:pt>
                <c:pt idx="7032">
                  <c:v>5.2974609188866983E-2</c:v>
                </c:pt>
                <c:pt idx="7033">
                  <c:v>-2.1081646724266059E-2</c:v>
                </c:pt>
                <c:pt idx="7034">
                  <c:v>1.1960359532752417E-2</c:v>
                </c:pt>
                <c:pt idx="7035">
                  <c:v>1.4892289835959895E-2</c:v>
                </c:pt>
                <c:pt idx="7036">
                  <c:v>3.4883851630796318E-2</c:v>
                </c:pt>
                <c:pt idx="7037">
                  <c:v>-1.3694758147065667E-2</c:v>
                </c:pt>
                <c:pt idx="7038">
                  <c:v>-1.2499297350054372E-2</c:v>
                </c:pt>
                <c:pt idx="7039">
                  <c:v>1.4721162444561976E-3</c:v>
                </c:pt>
                <c:pt idx="7040">
                  <c:v>2.6414556772847736E-2</c:v>
                </c:pt>
                <c:pt idx="7041">
                  <c:v>1.3858974349322952E-2</c:v>
                </c:pt>
                <c:pt idx="7042">
                  <c:v>-2.217776791522293E-2</c:v>
                </c:pt>
                <c:pt idx="7043">
                  <c:v>1.5097742541119704E-3</c:v>
                </c:pt>
                <c:pt idx="7044">
                  <c:v>1.1765006539586701E-2</c:v>
                </c:pt>
                <c:pt idx="7045">
                  <c:v>-2.3881687171680242E-3</c:v>
                </c:pt>
                <c:pt idx="7046">
                  <c:v>1.0213302634169948E-2</c:v>
                </c:pt>
                <c:pt idx="7047">
                  <c:v>6.4830016529082869E-3</c:v>
                </c:pt>
                <c:pt idx="7048">
                  <c:v>3.3198483263375982E-2</c:v>
                </c:pt>
                <c:pt idx="7049">
                  <c:v>5.6419922683170875E-3</c:v>
                </c:pt>
                <c:pt idx="7050">
                  <c:v>4.5870570571877349E-3</c:v>
                </c:pt>
                <c:pt idx="7051">
                  <c:v>1.0738251089758048E-3</c:v>
                </c:pt>
                <c:pt idx="7052">
                  <c:v>-2.8047144278425373E-2</c:v>
                </c:pt>
                <c:pt idx="7053">
                  <c:v>-3.5790357892981912E-2</c:v>
                </c:pt>
                <c:pt idx="7054">
                  <c:v>6.3944457764226539E-3</c:v>
                </c:pt>
                <c:pt idx="7055">
                  <c:v>1.4658004082250466E-2</c:v>
                </c:pt>
                <c:pt idx="7056">
                  <c:v>-1.0672787928319487E-2</c:v>
                </c:pt>
                <c:pt idx="7057">
                  <c:v>-8.2070717721921468E-3</c:v>
                </c:pt>
                <c:pt idx="7058">
                  <c:v>4.7558915143574396E-2</c:v>
                </c:pt>
                <c:pt idx="7059">
                  <c:v>-1.0453597337522529E-2</c:v>
                </c:pt>
                <c:pt idx="7060">
                  <c:v>-1.4032461529053783E-2</c:v>
                </c:pt>
                <c:pt idx="7061">
                  <c:v>-9.6826819898522855E-3</c:v>
                </c:pt>
                <c:pt idx="7062">
                  <c:v>2.5294743256688672E-2</c:v>
                </c:pt>
                <c:pt idx="7063">
                  <c:v>-1.0641083442706912E-2</c:v>
                </c:pt>
                <c:pt idx="7064">
                  <c:v>2.1428146228464708E-2</c:v>
                </c:pt>
                <c:pt idx="7065">
                  <c:v>-2.6310145795413811E-2</c:v>
                </c:pt>
                <c:pt idx="7066">
                  <c:v>-7.4733136557689261E-2</c:v>
                </c:pt>
                <c:pt idx="7067">
                  <c:v>2.3982299116332977E-2</c:v>
                </c:pt>
                <c:pt idx="7068">
                  <c:v>2.1675810731057364E-2</c:v>
                </c:pt>
                <c:pt idx="7069">
                  <c:v>-3.4714773488189535E-2</c:v>
                </c:pt>
                <c:pt idx="7070">
                  <c:v>-4.5832167204693498E-2</c:v>
                </c:pt>
                <c:pt idx="7071">
                  <c:v>-3.0408314005935733E-2</c:v>
                </c:pt>
                <c:pt idx="7072">
                  <c:v>-5.2633329845326263E-3</c:v>
                </c:pt>
                <c:pt idx="7073">
                  <c:v>2.1256663372164395E-2</c:v>
                </c:pt>
                <c:pt idx="7074">
                  <c:v>-5.7434612898573947E-2</c:v>
                </c:pt>
                <c:pt idx="7075">
                  <c:v>-3.4959273033335576E-2</c:v>
                </c:pt>
                <c:pt idx="7076">
                  <c:v>-3.8811171560619147E-2</c:v>
                </c:pt>
                <c:pt idx="7077">
                  <c:v>8.8261524751297501E-3</c:v>
                </c:pt>
                <c:pt idx="7078">
                  <c:v>4.4804771233086953E-2</c:v>
                </c:pt>
                <c:pt idx="7079">
                  <c:v>-5.1574755244954973E-3</c:v>
                </c:pt>
                <c:pt idx="7080">
                  <c:v>-1.0080928163992512E-2</c:v>
                </c:pt>
                <c:pt idx="7081">
                  <c:v>2.0590379285304987E-3</c:v>
                </c:pt>
                <c:pt idx="7082">
                  <c:v>1.7941317503460102E-3</c:v>
                </c:pt>
                <c:pt idx="7083">
                  <c:v>-2.5272961320286333E-3</c:v>
                </c:pt>
                <c:pt idx="7084">
                  <c:v>2.0927424878616246E-2</c:v>
                </c:pt>
                <c:pt idx="7085">
                  <c:v>2.7065724259185298E-2</c:v>
                </c:pt>
                <c:pt idx="7086">
                  <c:v>9.7660734959289213E-3</c:v>
                </c:pt>
                <c:pt idx="7087">
                  <c:v>-3.2116398959876891E-2</c:v>
                </c:pt>
                <c:pt idx="7088">
                  <c:v>9.6055500767081598E-3</c:v>
                </c:pt>
                <c:pt idx="7089">
                  <c:v>2.1907512151416553E-2</c:v>
                </c:pt>
                <c:pt idx="7090">
                  <c:v>2.5752707581543834E-2</c:v>
                </c:pt>
                <c:pt idx="7091">
                  <c:v>-1.8845664088886174E-2</c:v>
                </c:pt>
                <c:pt idx="7092">
                  <c:v>-3.1533235795179589E-2</c:v>
                </c:pt>
                <c:pt idx="7093">
                  <c:v>-2.2001657861602499E-2</c:v>
                </c:pt>
                <c:pt idx="7094">
                  <c:v>2.2103040111100321E-2</c:v>
                </c:pt>
                <c:pt idx="7095">
                  <c:v>2.4153613657195562E-3</c:v>
                </c:pt>
                <c:pt idx="7096">
                  <c:v>3.7744863452277839E-3</c:v>
                </c:pt>
                <c:pt idx="7097">
                  <c:v>-2.7768137453083042E-2</c:v>
                </c:pt>
                <c:pt idx="7098">
                  <c:v>3.1337608162013406E-2</c:v>
                </c:pt>
                <c:pt idx="7099">
                  <c:v>-1.7539054899868803E-2</c:v>
                </c:pt>
                <c:pt idx="7100">
                  <c:v>-6.3454719123798176E-3</c:v>
                </c:pt>
                <c:pt idx="7101">
                  <c:v>2.8820718934412567E-3</c:v>
                </c:pt>
                <c:pt idx="7102">
                  <c:v>-1.6215567340600895E-2</c:v>
                </c:pt>
                <c:pt idx="7103">
                  <c:v>2.5620208567439112E-2</c:v>
                </c:pt>
                <c:pt idx="7104">
                  <c:v>1.7082378791487135E-2</c:v>
                </c:pt>
                <c:pt idx="7105">
                  <c:v>-2.9854662711666972E-2</c:v>
                </c:pt>
                <c:pt idx="7106">
                  <c:v>-4.4593179484481594E-3</c:v>
                </c:pt>
                <c:pt idx="7107">
                  <c:v>-1.0749622626370754E-2</c:v>
                </c:pt>
                <c:pt idx="7108">
                  <c:v>6.1472150936719757E-3</c:v>
                </c:pt>
                <c:pt idx="7109">
                  <c:v>3.7394297170550456E-2</c:v>
                </c:pt>
                <c:pt idx="7110">
                  <c:v>-3.1659890382785931E-2</c:v>
                </c:pt>
                <c:pt idx="7111">
                  <c:v>3.687462937213281E-2</c:v>
                </c:pt>
                <c:pt idx="7112">
                  <c:v>1.1556275428082578E-2</c:v>
                </c:pt>
                <c:pt idx="7113">
                  <c:v>-8.6760637295361757E-3</c:v>
                </c:pt>
                <c:pt idx="7114">
                  <c:v>4.4582997422538344E-2</c:v>
                </c:pt>
                <c:pt idx="7115">
                  <c:v>2.6803039524959608E-2</c:v>
                </c:pt>
                <c:pt idx="7116">
                  <c:v>1.6401808866637713E-2</c:v>
                </c:pt>
                <c:pt idx="7117">
                  <c:v>-5.4607185040084754E-3</c:v>
                </c:pt>
                <c:pt idx="7118">
                  <c:v>3.082870805664464E-2</c:v>
                </c:pt>
                <c:pt idx="7119">
                  <c:v>-1.7731647229755378E-2</c:v>
                </c:pt>
                <c:pt idx="7120">
                  <c:v>3.4491208155626583E-2</c:v>
                </c:pt>
                <c:pt idx="7121">
                  <c:v>2.6171891967936498E-2</c:v>
                </c:pt>
                <c:pt idx="7122">
                  <c:v>-9.0235116066815137E-3</c:v>
                </c:pt>
                <c:pt idx="7123">
                  <c:v>-7.8965197865264285E-3</c:v>
                </c:pt>
                <c:pt idx="7124">
                  <c:v>-4.586361201346998E-2</c:v>
                </c:pt>
                <c:pt idx="7125">
                  <c:v>2.6143941931256031E-2</c:v>
                </c:pt>
                <c:pt idx="7126">
                  <c:v>4.2033086475446443E-2</c:v>
                </c:pt>
                <c:pt idx="7127">
                  <c:v>4.616055324288406E-3</c:v>
                </c:pt>
                <c:pt idx="7128">
                  <c:v>1.429353093471386E-3</c:v>
                </c:pt>
                <c:pt idx="7129">
                  <c:v>1.773012426642822E-2</c:v>
                </c:pt>
                <c:pt idx="7130">
                  <c:v>-1.5512981471289722E-3</c:v>
                </c:pt>
                <c:pt idx="7131">
                  <c:v>5.0326506195342388E-2</c:v>
                </c:pt>
                <c:pt idx="7132">
                  <c:v>-1.0936623726732195E-2</c:v>
                </c:pt>
                <c:pt idx="7133">
                  <c:v>-2.2437864887437889E-2</c:v>
                </c:pt>
                <c:pt idx="7134">
                  <c:v>-1.4813884053069326E-2</c:v>
                </c:pt>
                <c:pt idx="7135">
                  <c:v>-2.7303014618942746E-3</c:v>
                </c:pt>
                <c:pt idx="7136">
                  <c:v>-1.662077261705228E-2</c:v>
                </c:pt>
                <c:pt idx="7137">
                  <c:v>-1.0217629930491119E-2</c:v>
                </c:pt>
                <c:pt idx="7138">
                  <c:v>-2.9784340130289293E-2</c:v>
                </c:pt>
                <c:pt idx="7139">
                  <c:v>1.1651489163042362E-2</c:v>
                </c:pt>
                <c:pt idx="7140">
                  <c:v>1.4247481308487969E-2</c:v>
                </c:pt>
                <c:pt idx="7141">
                  <c:v>-3.5627226539859107E-2</c:v>
                </c:pt>
                <c:pt idx="7142">
                  <c:v>1.434663886961381E-2</c:v>
                </c:pt>
                <c:pt idx="7143">
                  <c:v>-3.6603905855100718E-2</c:v>
                </c:pt>
                <c:pt idx="7144">
                  <c:v>-2.4429457659176545E-2</c:v>
                </c:pt>
                <c:pt idx="7145">
                  <c:v>5.3684326314368418E-2</c:v>
                </c:pt>
                <c:pt idx="7146">
                  <c:v>4.1946660215879679E-2</c:v>
                </c:pt>
                <c:pt idx="7147">
                  <c:v>-3.4551894635975834E-2</c:v>
                </c:pt>
                <c:pt idx="7148">
                  <c:v>4.2677501667899596E-2</c:v>
                </c:pt>
                <c:pt idx="7149">
                  <c:v>3.3323503495458671E-2</c:v>
                </c:pt>
                <c:pt idx="7150">
                  <c:v>2.4513212927472185E-2</c:v>
                </c:pt>
                <c:pt idx="7151">
                  <c:v>5.6272314105138665E-2</c:v>
                </c:pt>
                <c:pt idx="7152">
                  <c:v>-1.0631679551090409E-2</c:v>
                </c:pt>
                <c:pt idx="7153">
                  <c:v>-5.8652132045696123E-3</c:v>
                </c:pt>
                <c:pt idx="7154">
                  <c:v>-8.5327345092760451E-3</c:v>
                </c:pt>
                <c:pt idx="7155">
                  <c:v>3.4656915519780139E-2</c:v>
                </c:pt>
                <c:pt idx="7156">
                  <c:v>3.8983652128984298E-3</c:v>
                </c:pt>
                <c:pt idx="7157">
                  <c:v>2.8716632398666361E-4</c:v>
                </c:pt>
                <c:pt idx="7158">
                  <c:v>3.8868235666981291E-2</c:v>
                </c:pt>
                <c:pt idx="7159">
                  <c:v>-7.5306437983753225E-3</c:v>
                </c:pt>
                <c:pt idx="7160">
                  <c:v>-7.8601174192309831E-3</c:v>
                </c:pt>
                <c:pt idx="7161">
                  <c:v>3.9299963500226597E-2</c:v>
                </c:pt>
                <c:pt idx="7162">
                  <c:v>-8.9888416805518241E-3</c:v>
                </c:pt>
                <c:pt idx="7163">
                  <c:v>9.3602570997060441E-3</c:v>
                </c:pt>
                <c:pt idx="7164">
                  <c:v>-4.2457051808940702E-2</c:v>
                </c:pt>
                <c:pt idx="7165">
                  <c:v>-2.9401736090001987E-4</c:v>
                </c:pt>
                <c:pt idx="7166">
                  <c:v>1.9385141951090475E-2</c:v>
                </c:pt>
                <c:pt idx="7167">
                  <c:v>3.5418156915076993E-2</c:v>
                </c:pt>
                <c:pt idx="7168">
                  <c:v>-2.5148794585604746E-3</c:v>
                </c:pt>
                <c:pt idx="7169">
                  <c:v>1.6000005615835772E-2</c:v>
                </c:pt>
                <c:pt idx="7170">
                  <c:v>3.8820455989438347E-2</c:v>
                </c:pt>
                <c:pt idx="7171">
                  <c:v>3.578170481387924E-4</c:v>
                </c:pt>
                <c:pt idx="7172">
                  <c:v>4.7742087544629476E-2</c:v>
                </c:pt>
                <c:pt idx="7173">
                  <c:v>5.2046782006845316E-2</c:v>
                </c:pt>
                <c:pt idx="7174">
                  <c:v>1.47707103368411E-2</c:v>
                </c:pt>
                <c:pt idx="7175">
                  <c:v>-1.275106798070849E-2</c:v>
                </c:pt>
                <c:pt idx="7176">
                  <c:v>-4.6327823637767294E-2</c:v>
                </c:pt>
                <c:pt idx="7177">
                  <c:v>3.7627807554003474E-2</c:v>
                </c:pt>
                <c:pt idx="7178">
                  <c:v>-2.7137684224166642E-4</c:v>
                </c:pt>
                <c:pt idx="7179">
                  <c:v>2.1436747163344413E-2</c:v>
                </c:pt>
                <c:pt idx="7180">
                  <c:v>-1.9236217452534121E-2</c:v>
                </c:pt>
                <c:pt idx="7181">
                  <c:v>-1.9688992028867272E-2</c:v>
                </c:pt>
                <c:pt idx="7182">
                  <c:v>-1.3627811977281547E-2</c:v>
                </c:pt>
                <c:pt idx="7183">
                  <c:v>-3.4839595717051391E-2</c:v>
                </c:pt>
                <c:pt idx="7184">
                  <c:v>2.1453465739946092E-2</c:v>
                </c:pt>
                <c:pt idx="7185">
                  <c:v>-1.2990551443280273E-2</c:v>
                </c:pt>
                <c:pt idx="7186">
                  <c:v>-4.7121260484353222E-3</c:v>
                </c:pt>
                <c:pt idx="7187">
                  <c:v>1.6796890440951565E-2</c:v>
                </c:pt>
                <c:pt idx="7188">
                  <c:v>-2.3580457033306683E-2</c:v>
                </c:pt>
                <c:pt idx="7189">
                  <c:v>-3.5288566260068037E-2</c:v>
                </c:pt>
                <c:pt idx="7190">
                  <c:v>-1.1638542247175348E-2</c:v>
                </c:pt>
                <c:pt idx="7191">
                  <c:v>-2.3760924169221983E-2</c:v>
                </c:pt>
                <c:pt idx="7192">
                  <c:v>1.030426105292489E-3</c:v>
                </c:pt>
                <c:pt idx="7193">
                  <c:v>-3.3352274362006885E-3</c:v>
                </c:pt>
                <c:pt idx="7194">
                  <c:v>-3.6915433783109301E-3</c:v>
                </c:pt>
                <c:pt idx="7195">
                  <c:v>-1.6506084263681251E-2</c:v>
                </c:pt>
                <c:pt idx="7196">
                  <c:v>-7.3476452581552262E-3</c:v>
                </c:pt>
                <c:pt idx="7197">
                  <c:v>1.2111330925522957E-2</c:v>
                </c:pt>
                <c:pt idx="7198">
                  <c:v>-1.9335155340839259E-2</c:v>
                </c:pt>
                <c:pt idx="7199">
                  <c:v>5.2900750245561002E-3</c:v>
                </c:pt>
                <c:pt idx="7200">
                  <c:v>4.7894151925196977E-2</c:v>
                </c:pt>
                <c:pt idx="7201">
                  <c:v>9.6479225868257284E-3</c:v>
                </c:pt>
                <c:pt idx="7202">
                  <c:v>-1.5711886275774902E-3</c:v>
                </c:pt>
                <c:pt idx="7203">
                  <c:v>-7.3738519494501373E-3</c:v>
                </c:pt>
                <c:pt idx="7204">
                  <c:v>2.6278915510695666E-2</c:v>
                </c:pt>
                <c:pt idx="7205">
                  <c:v>-3.1827014813867245E-2</c:v>
                </c:pt>
                <c:pt idx="7206">
                  <c:v>-5.0558951722544869E-2</c:v>
                </c:pt>
                <c:pt idx="7207">
                  <c:v>3.9349424163059955E-2</c:v>
                </c:pt>
                <c:pt idx="7208">
                  <c:v>-2.9994350052857079E-2</c:v>
                </c:pt>
                <c:pt idx="7209">
                  <c:v>1.2310907665032419E-2</c:v>
                </c:pt>
                <c:pt idx="7210">
                  <c:v>2.6152363018033892E-2</c:v>
                </c:pt>
                <c:pt idx="7211">
                  <c:v>1.466724646460717E-3</c:v>
                </c:pt>
                <c:pt idx="7212">
                  <c:v>-4.0751190543516468E-2</c:v>
                </c:pt>
                <c:pt idx="7213">
                  <c:v>2.5445582172173003E-2</c:v>
                </c:pt>
                <c:pt idx="7214">
                  <c:v>1.9929582297085476E-2</c:v>
                </c:pt>
                <c:pt idx="7215">
                  <c:v>2.2722037828282509E-2</c:v>
                </c:pt>
                <c:pt idx="7216">
                  <c:v>-2.3044449492284378E-2</c:v>
                </c:pt>
                <c:pt idx="7217">
                  <c:v>3.3113194980153839E-2</c:v>
                </c:pt>
                <c:pt idx="7218">
                  <c:v>6.4652420009814721E-2</c:v>
                </c:pt>
                <c:pt idx="7219">
                  <c:v>-6.7993684702850263E-3</c:v>
                </c:pt>
                <c:pt idx="7220">
                  <c:v>1.1162759652593504E-3</c:v>
                </c:pt>
                <c:pt idx="7221">
                  <c:v>3.2606017311455132E-3</c:v>
                </c:pt>
                <c:pt idx="7222">
                  <c:v>6.5952322397255813E-4</c:v>
                </c:pt>
                <c:pt idx="7223">
                  <c:v>-1.6959731088713355E-2</c:v>
                </c:pt>
                <c:pt idx="7224">
                  <c:v>-5.5815769800327091E-3</c:v>
                </c:pt>
                <c:pt idx="7225">
                  <c:v>9.3385538746024177E-3</c:v>
                </c:pt>
                <c:pt idx="7226">
                  <c:v>-1.2761970176830518E-4</c:v>
                </c:pt>
                <c:pt idx="7227">
                  <c:v>3.5927927792940177E-2</c:v>
                </c:pt>
                <c:pt idx="7228">
                  <c:v>-7.2665171606671724E-3</c:v>
                </c:pt>
                <c:pt idx="7229">
                  <c:v>-1.9330414627779534E-2</c:v>
                </c:pt>
                <c:pt idx="7230">
                  <c:v>-2.1356325615962457E-2</c:v>
                </c:pt>
                <c:pt idx="7231">
                  <c:v>1.1409147953315565E-2</c:v>
                </c:pt>
                <c:pt idx="7232">
                  <c:v>3.0864375235313091E-2</c:v>
                </c:pt>
                <c:pt idx="7233">
                  <c:v>7.3108586604831941E-3</c:v>
                </c:pt>
                <c:pt idx="7234">
                  <c:v>-1.1636797717271049E-3</c:v>
                </c:pt>
                <c:pt idx="7235">
                  <c:v>-6.247388106996361E-3</c:v>
                </c:pt>
                <c:pt idx="7236">
                  <c:v>2.8044573700785523E-2</c:v>
                </c:pt>
                <c:pt idx="7237">
                  <c:v>-2.4663320837214993E-3</c:v>
                </c:pt>
                <c:pt idx="7238">
                  <c:v>1.566730145627435E-2</c:v>
                </c:pt>
                <c:pt idx="7239">
                  <c:v>-3.4865143408523251E-2</c:v>
                </c:pt>
                <c:pt idx="7240">
                  <c:v>5.1626083907116444E-3</c:v>
                </c:pt>
                <c:pt idx="7241">
                  <c:v>-3.9651570424449976E-3</c:v>
                </c:pt>
                <c:pt idx="7242">
                  <c:v>2.4486456588910192E-3</c:v>
                </c:pt>
                <c:pt idx="7243">
                  <c:v>-1.9336660232778351E-2</c:v>
                </c:pt>
                <c:pt idx="7244">
                  <c:v>1.3765097958646447E-2</c:v>
                </c:pt>
                <c:pt idx="7245">
                  <c:v>6.3805347772427964E-3</c:v>
                </c:pt>
                <c:pt idx="7246">
                  <c:v>-3.0363685653019081E-2</c:v>
                </c:pt>
                <c:pt idx="7247">
                  <c:v>2.100830990323688E-2</c:v>
                </c:pt>
                <c:pt idx="7248">
                  <c:v>-4.0296122317243908E-2</c:v>
                </c:pt>
                <c:pt idx="7249">
                  <c:v>3.6510607000080474E-3</c:v>
                </c:pt>
                <c:pt idx="7250">
                  <c:v>-2.6823041941016344E-2</c:v>
                </c:pt>
                <c:pt idx="7251">
                  <c:v>2.6549521188669952E-3</c:v>
                </c:pt>
                <c:pt idx="7252">
                  <c:v>9.8991776200740896E-3</c:v>
                </c:pt>
                <c:pt idx="7253">
                  <c:v>-4.0117158082877778E-3</c:v>
                </c:pt>
                <c:pt idx="7254">
                  <c:v>-1.9631184601802725E-2</c:v>
                </c:pt>
                <c:pt idx="7255">
                  <c:v>-3.1286926646095913E-2</c:v>
                </c:pt>
                <c:pt idx="7256">
                  <c:v>2.2544231093763877E-2</c:v>
                </c:pt>
                <c:pt idx="7257">
                  <c:v>-1.7022463716514203E-3</c:v>
                </c:pt>
                <c:pt idx="7258">
                  <c:v>2.6152338681786624E-3</c:v>
                </c:pt>
                <c:pt idx="7259">
                  <c:v>4.376027666697542E-2</c:v>
                </c:pt>
                <c:pt idx="7260">
                  <c:v>-3.3444787631330526E-2</c:v>
                </c:pt>
                <c:pt idx="7261">
                  <c:v>3.7003251615779012E-2</c:v>
                </c:pt>
                <c:pt idx="7262">
                  <c:v>-1.5200817016172884E-2</c:v>
                </c:pt>
                <c:pt idx="7263">
                  <c:v>1.9796508848222785E-2</c:v>
                </c:pt>
                <c:pt idx="7264">
                  <c:v>3.4431032146005756E-2</c:v>
                </c:pt>
                <c:pt idx="7265">
                  <c:v>3.1210800366663189E-3</c:v>
                </c:pt>
                <c:pt idx="7266">
                  <c:v>2.0777216310513113E-3</c:v>
                </c:pt>
                <c:pt idx="7267">
                  <c:v>-3.8541658160766927E-2</c:v>
                </c:pt>
                <c:pt idx="7268">
                  <c:v>4.1652853358060456E-3</c:v>
                </c:pt>
                <c:pt idx="7269">
                  <c:v>1.9903865721417169E-2</c:v>
                </c:pt>
                <c:pt idx="7270">
                  <c:v>2.3660346889467696E-2</c:v>
                </c:pt>
                <c:pt idx="7271">
                  <c:v>-1.3427028678078818E-2</c:v>
                </c:pt>
                <c:pt idx="7272">
                  <c:v>-3.0506105129690989E-2</c:v>
                </c:pt>
                <c:pt idx="7273">
                  <c:v>-1.7841736024607282E-2</c:v>
                </c:pt>
                <c:pt idx="7274">
                  <c:v>1.541385450439553E-2</c:v>
                </c:pt>
                <c:pt idx="7275">
                  <c:v>-2.3461470771730386E-2</c:v>
                </c:pt>
                <c:pt idx="7276">
                  <c:v>7.5034788572596045E-3</c:v>
                </c:pt>
                <c:pt idx="7277">
                  <c:v>1.7413465152158279E-2</c:v>
                </c:pt>
                <c:pt idx="7278">
                  <c:v>-6.1771408414130445E-3</c:v>
                </c:pt>
                <c:pt idx="7279">
                  <c:v>-2.9962197840060203E-3</c:v>
                </c:pt>
                <c:pt idx="7280">
                  <c:v>-6.7027958303319483E-3</c:v>
                </c:pt>
                <c:pt idx="7281">
                  <c:v>-2.2210586227186198E-2</c:v>
                </c:pt>
                <c:pt idx="7282">
                  <c:v>-3.1228696097093469E-2</c:v>
                </c:pt>
                <c:pt idx="7283">
                  <c:v>-1.4128003752293113E-2</c:v>
                </c:pt>
                <c:pt idx="7284">
                  <c:v>-7.7759658313835359E-3</c:v>
                </c:pt>
                <c:pt idx="7285">
                  <c:v>-3.7497725329019037E-2</c:v>
                </c:pt>
                <c:pt idx="7286">
                  <c:v>4.3567210798217699E-3</c:v>
                </c:pt>
                <c:pt idx="7287">
                  <c:v>9.8675545430609163E-4</c:v>
                </c:pt>
                <c:pt idx="7288">
                  <c:v>2.4854389052445094E-2</c:v>
                </c:pt>
                <c:pt idx="7289">
                  <c:v>1.3493187934132608E-2</c:v>
                </c:pt>
                <c:pt idx="7290">
                  <c:v>-2.5793800104231018E-2</c:v>
                </c:pt>
                <c:pt idx="7291">
                  <c:v>-5.3978558694478471E-3</c:v>
                </c:pt>
                <c:pt idx="7292">
                  <c:v>-3.3579316616283314E-2</c:v>
                </c:pt>
                <c:pt idx="7293">
                  <c:v>-8.8580853638280475E-3</c:v>
                </c:pt>
                <c:pt idx="7294">
                  <c:v>2.4156796714643644E-2</c:v>
                </c:pt>
                <c:pt idx="7295">
                  <c:v>7.3578747526240832E-3</c:v>
                </c:pt>
                <c:pt idx="7296">
                  <c:v>4.1711926987634665E-2</c:v>
                </c:pt>
                <c:pt idx="7297">
                  <c:v>2.4574138654175929E-3</c:v>
                </c:pt>
                <c:pt idx="7298">
                  <c:v>-1.079480458880702E-2</c:v>
                </c:pt>
                <c:pt idx="7299">
                  <c:v>2.8788873208695689E-2</c:v>
                </c:pt>
                <c:pt idx="7300">
                  <c:v>2.4071038694781378E-2</c:v>
                </c:pt>
                <c:pt idx="7301">
                  <c:v>2.08268409589599E-2</c:v>
                </c:pt>
                <c:pt idx="7302">
                  <c:v>-5.702828181910482E-4</c:v>
                </c:pt>
                <c:pt idx="7303">
                  <c:v>-6.6593263366170469E-3</c:v>
                </c:pt>
                <c:pt idx="7304">
                  <c:v>3.467831219946485E-2</c:v>
                </c:pt>
                <c:pt idx="7305">
                  <c:v>2.5995790677214827E-2</c:v>
                </c:pt>
                <c:pt idx="7306">
                  <c:v>1.1971631010771215E-4</c:v>
                </c:pt>
                <c:pt idx="7307">
                  <c:v>1.5160092748390426E-2</c:v>
                </c:pt>
                <c:pt idx="7308">
                  <c:v>1.5517984406646349E-2</c:v>
                </c:pt>
                <c:pt idx="7309">
                  <c:v>1.3106704257241687E-2</c:v>
                </c:pt>
                <c:pt idx="7310">
                  <c:v>2.5951385895334595E-2</c:v>
                </c:pt>
                <c:pt idx="7311">
                  <c:v>6.7421618427866269E-3</c:v>
                </c:pt>
                <c:pt idx="7312">
                  <c:v>1.3711997601132253E-2</c:v>
                </c:pt>
                <c:pt idx="7313">
                  <c:v>-2.2766964130824803E-2</c:v>
                </c:pt>
                <c:pt idx="7314">
                  <c:v>-2.016930123975072E-2</c:v>
                </c:pt>
                <c:pt idx="7315">
                  <c:v>2.2376381728420908E-2</c:v>
                </c:pt>
                <c:pt idx="7316">
                  <c:v>1.3457045737924276E-2</c:v>
                </c:pt>
                <c:pt idx="7317">
                  <c:v>3.7102991663596471E-2</c:v>
                </c:pt>
                <c:pt idx="7318">
                  <c:v>-1.9503658629141978E-2</c:v>
                </c:pt>
                <c:pt idx="7319">
                  <c:v>3.0266993126374802E-2</c:v>
                </c:pt>
                <c:pt idx="7320">
                  <c:v>-1.8377234185856909E-2</c:v>
                </c:pt>
                <c:pt idx="7321">
                  <c:v>-2.7777244124942741E-3</c:v>
                </c:pt>
                <c:pt idx="7322">
                  <c:v>-1.838213327867657E-2</c:v>
                </c:pt>
                <c:pt idx="7323">
                  <c:v>7.7905700259077015E-3</c:v>
                </c:pt>
                <c:pt idx="7324">
                  <c:v>-1.6156823569144694E-2</c:v>
                </c:pt>
                <c:pt idx="7325">
                  <c:v>2.6121355394681054E-2</c:v>
                </c:pt>
                <c:pt idx="7326">
                  <c:v>2.2134774757264421E-2</c:v>
                </c:pt>
                <c:pt idx="7327">
                  <c:v>-2.1089459536261537E-2</c:v>
                </c:pt>
                <c:pt idx="7328">
                  <c:v>-1.2242795590985508E-2</c:v>
                </c:pt>
                <c:pt idx="7329">
                  <c:v>-5.2941003663505536E-3</c:v>
                </c:pt>
                <c:pt idx="7330">
                  <c:v>1.7446568696491079E-2</c:v>
                </c:pt>
                <c:pt idx="7331">
                  <c:v>1.882879910639336E-2</c:v>
                </c:pt>
                <c:pt idx="7332">
                  <c:v>3.2056555833891946E-4</c:v>
                </c:pt>
                <c:pt idx="7333">
                  <c:v>8.8475215988226812E-3</c:v>
                </c:pt>
                <c:pt idx="7334">
                  <c:v>-3.2935345552822765E-2</c:v>
                </c:pt>
                <c:pt idx="7335">
                  <c:v>-3.257223255776874E-2</c:v>
                </c:pt>
                <c:pt idx="7336">
                  <c:v>-8.6923955705811269E-4</c:v>
                </c:pt>
                <c:pt idx="7337">
                  <c:v>-1.6378985964675491E-2</c:v>
                </c:pt>
                <c:pt idx="7338">
                  <c:v>-1.7436157469037164E-2</c:v>
                </c:pt>
                <c:pt idx="7339">
                  <c:v>1.9510623880664189E-2</c:v>
                </c:pt>
                <c:pt idx="7340">
                  <c:v>-3.8675933624005465E-3</c:v>
                </c:pt>
                <c:pt idx="7341">
                  <c:v>1.9023070700873255E-2</c:v>
                </c:pt>
                <c:pt idx="7342">
                  <c:v>1.4017728337071876E-2</c:v>
                </c:pt>
                <c:pt idx="7343">
                  <c:v>-6.50063376716805E-3</c:v>
                </c:pt>
                <c:pt idx="7344">
                  <c:v>-6.9863223651340785E-4</c:v>
                </c:pt>
                <c:pt idx="7345">
                  <c:v>2.5488490621062763E-2</c:v>
                </c:pt>
                <c:pt idx="7346">
                  <c:v>1.7744281608398818E-2</c:v>
                </c:pt>
                <c:pt idx="7347">
                  <c:v>-2.8207970423877815E-3</c:v>
                </c:pt>
                <c:pt idx="7348">
                  <c:v>-2.1109873285248902E-2</c:v>
                </c:pt>
                <c:pt idx="7349">
                  <c:v>5.061219452109798E-3</c:v>
                </c:pt>
                <c:pt idx="7350">
                  <c:v>-2.8312702498395549E-2</c:v>
                </c:pt>
                <c:pt idx="7351">
                  <c:v>1.2755796144914964E-2</c:v>
                </c:pt>
                <c:pt idx="7352">
                  <c:v>-3.0158567079394551E-2</c:v>
                </c:pt>
                <c:pt idx="7353">
                  <c:v>2.5126888540862591E-2</c:v>
                </c:pt>
                <c:pt idx="7354">
                  <c:v>1.1279355428150648E-2</c:v>
                </c:pt>
                <c:pt idx="7355">
                  <c:v>1.2085593143615403E-2</c:v>
                </c:pt>
                <c:pt idx="7356">
                  <c:v>-7.5538229062739517E-3</c:v>
                </c:pt>
                <c:pt idx="7357">
                  <c:v>-4.1226066377111271E-2</c:v>
                </c:pt>
                <c:pt idx="7358">
                  <c:v>2.9124434896037811E-2</c:v>
                </c:pt>
                <c:pt idx="7359">
                  <c:v>-3.7380566947590357E-2</c:v>
                </c:pt>
                <c:pt idx="7360">
                  <c:v>1.786831533198098E-2</c:v>
                </c:pt>
                <c:pt idx="7361">
                  <c:v>-6.4385700795957408E-3</c:v>
                </c:pt>
                <c:pt idx="7362">
                  <c:v>3.0151550857697298E-2</c:v>
                </c:pt>
                <c:pt idx="7363">
                  <c:v>-3.4139078566284829E-3</c:v>
                </c:pt>
                <c:pt idx="7364">
                  <c:v>4.8814376532755957E-3</c:v>
                </c:pt>
                <c:pt idx="7365">
                  <c:v>8.5306738894183939E-3</c:v>
                </c:pt>
                <c:pt idx="7366">
                  <c:v>-5.4345528804966461E-4</c:v>
                </c:pt>
                <c:pt idx="7367">
                  <c:v>1.6791848743405582E-2</c:v>
                </c:pt>
                <c:pt idx="7368">
                  <c:v>2.9776208034373197E-2</c:v>
                </c:pt>
                <c:pt idx="7369">
                  <c:v>-1.5401849941446458E-2</c:v>
                </c:pt>
                <c:pt idx="7370">
                  <c:v>-2.6671528632154248E-3</c:v>
                </c:pt>
                <c:pt idx="7371">
                  <c:v>-1.3717367254968809E-2</c:v>
                </c:pt>
                <c:pt idx="7372">
                  <c:v>-7.7069229714371891E-3</c:v>
                </c:pt>
                <c:pt idx="7373">
                  <c:v>8.6801052836300192E-3</c:v>
                </c:pt>
                <c:pt idx="7374">
                  <c:v>-2.5446114012222121E-2</c:v>
                </c:pt>
                <c:pt idx="7375">
                  <c:v>1.0134066809011607E-2</c:v>
                </c:pt>
                <c:pt idx="7376">
                  <c:v>-1.0049051936305247E-2</c:v>
                </c:pt>
                <c:pt idx="7377">
                  <c:v>1.8740298642376672E-2</c:v>
                </c:pt>
                <c:pt idx="7378">
                  <c:v>-2.8670494777492863E-2</c:v>
                </c:pt>
                <c:pt idx="7379">
                  <c:v>1.2067432580642667E-2</c:v>
                </c:pt>
                <c:pt idx="7380">
                  <c:v>3.8314534721938243E-2</c:v>
                </c:pt>
                <c:pt idx="7381">
                  <c:v>1.2627835414444852E-2</c:v>
                </c:pt>
                <c:pt idx="7382">
                  <c:v>1.3312560413798118E-2</c:v>
                </c:pt>
                <c:pt idx="7383">
                  <c:v>3.3190747491573309E-2</c:v>
                </c:pt>
                <c:pt idx="7384">
                  <c:v>-2.180603389508249E-2</c:v>
                </c:pt>
                <c:pt idx="7385">
                  <c:v>4.0957566754141271E-2</c:v>
                </c:pt>
                <c:pt idx="7386">
                  <c:v>-2.0483184481788791E-2</c:v>
                </c:pt>
                <c:pt idx="7387">
                  <c:v>2.5406407536283156E-4</c:v>
                </c:pt>
                <c:pt idx="7388">
                  <c:v>1.3270693185288817E-2</c:v>
                </c:pt>
                <c:pt idx="7389">
                  <c:v>-1.1542519502637957E-2</c:v>
                </c:pt>
                <c:pt idx="7390">
                  <c:v>1.0609729993090896E-2</c:v>
                </c:pt>
                <c:pt idx="7391">
                  <c:v>-1.7971526252973928E-2</c:v>
                </c:pt>
                <c:pt idx="7392">
                  <c:v>3.6368820697610035E-2</c:v>
                </c:pt>
                <c:pt idx="7393">
                  <c:v>-1.4587539972610182E-2</c:v>
                </c:pt>
                <c:pt idx="7394">
                  <c:v>3.9372353703487274E-2</c:v>
                </c:pt>
                <c:pt idx="7395">
                  <c:v>-2.4514794530548132E-3</c:v>
                </c:pt>
                <c:pt idx="7396">
                  <c:v>-9.4797091840942722E-3</c:v>
                </c:pt>
                <c:pt idx="7397">
                  <c:v>-1.8802085842804031E-2</c:v>
                </c:pt>
                <c:pt idx="7398">
                  <c:v>1.7878709151198241E-2</c:v>
                </c:pt>
                <c:pt idx="7399">
                  <c:v>-1.4374926165111069E-2</c:v>
                </c:pt>
                <c:pt idx="7400">
                  <c:v>2.8597244546934826E-3</c:v>
                </c:pt>
                <c:pt idx="7401">
                  <c:v>2.5729986625880909E-2</c:v>
                </c:pt>
                <c:pt idx="7402">
                  <c:v>-1.3439809939537171E-2</c:v>
                </c:pt>
                <c:pt idx="7403">
                  <c:v>4.3284479145969182E-3</c:v>
                </c:pt>
                <c:pt idx="7404">
                  <c:v>-1.2963592439143265E-2</c:v>
                </c:pt>
                <c:pt idx="7405">
                  <c:v>-2.1044031568692865E-2</c:v>
                </c:pt>
                <c:pt idx="7406">
                  <c:v>-3.1797980559009095E-3</c:v>
                </c:pt>
                <c:pt idx="7407">
                  <c:v>-1.0842220087562582E-2</c:v>
                </c:pt>
                <c:pt idx="7408">
                  <c:v>-1.6682838507749681E-2</c:v>
                </c:pt>
                <c:pt idx="7409">
                  <c:v>6.7610057026308533E-3</c:v>
                </c:pt>
                <c:pt idx="7410">
                  <c:v>-3.6202659318295714E-2</c:v>
                </c:pt>
                <c:pt idx="7411">
                  <c:v>1.2828407891128624E-3</c:v>
                </c:pt>
                <c:pt idx="7412">
                  <c:v>-1.3056300541588026E-2</c:v>
                </c:pt>
                <c:pt idx="7413">
                  <c:v>2.2449783101856677E-2</c:v>
                </c:pt>
                <c:pt idx="7414">
                  <c:v>7.0671310510024669E-3</c:v>
                </c:pt>
                <c:pt idx="7415">
                  <c:v>-1.6233183177878831E-2</c:v>
                </c:pt>
                <c:pt idx="7416">
                  <c:v>-1.1892594184677549E-2</c:v>
                </c:pt>
                <c:pt idx="7417">
                  <c:v>-1.4714682597596517E-2</c:v>
                </c:pt>
                <c:pt idx="7418">
                  <c:v>9.8185753010232614E-3</c:v>
                </c:pt>
                <c:pt idx="7419">
                  <c:v>4.0283436820817267E-2</c:v>
                </c:pt>
                <c:pt idx="7420">
                  <c:v>1.2804589767109723E-2</c:v>
                </c:pt>
                <c:pt idx="7421">
                  <c:v>2.1556692039067619E-2</c:v>
                </c:pt>
                <c:pt idx="7422">
                  <c:v>-5.5466449117532284E-3</c:v>
                </c:pt>
                <c:pt idx="7423">
                  <c:v>3.3850591618132649E-2</c:v>
                </c:pt>
                <c:pt idx="7424">
                  <c:v>2.5192686168115742E-2</c:v>
                </c:pt>
                <c:pt idx="7425">
                  <c:v>-2.4066259866832331E-2</c:v>
                </c:pt>
                <c:pt idx="7426">
                  <c:v>6.8265742789504879E-3</c:v>
                </c:pt>
                <c:pt idx="7427">
                  <c:v>1.2247041315527011E-2</c:v>
                </c:pt>
                <c:pt idx="7428">
                  <c:v>1.7800175271387983E-2</c:v>
                </c:pt>
                <c:pt idx="7429">
                  <c:v>2.7926058993648396E-2</c:v>
                </c:pt>
                <c:pt idx="7430">
                  <c:v>6.1348482569172184E-2</c:v>
                </c:pt>
                <c:pt idx="7431">
                  <c:v>2.6047774553797445E-2</c:v>
                </c:pt>
                <c:pt idx="7432">
                  <c:v>1.1978300705981628E-2</c:v>
                </c:pt>
                <c:pt idx="7433">
                  <c:v>-3.3976927908795557E-2</c:v>
                </c:pt>
                <c:pt idx="7434">
                  <c:v>-7.7295030427499594E-4</c:v>
                </c:pt>
                <c:pt idx="7435">
                  <c:v>1.4505132240835647E-2</c:v>
                </c:pt>
                <c:pt idx="7436">
                  <c:v>3.7781618138393619E-2</c:v>
                </c:pt>
                <c:pt idx="7437">
                  <c:v>2.3095531073568844E-2</c:v>
                </c:pt>
                <c:pt idx="7438">
                  <c:v>5.7479560752397116E-2</c:v>
                </c:pt>
                <c:pt idx="7439">
                  <c:v>8.220653423043249E-2</c:v>
                </c:pt>
                <c:pt idx="7440">
                  <c:v>-3.4084440469939977E-3</c:v>
                </c:pt>
                <c:pt idx="7441">
                  <c:v>-1.2444188043543632E-2</c:v>
                </c:pt>
                <c:pt idx="7442">
                  <c:v>5.797870371072724E-2</c:v>
                </c:pt>
                <c:pt idx="7443">
                  <c:v>-5.1825915887478997E-3</c:v>
                </c:pt>
                <c:pt idx="7444">
                  <c:v>9.2490561258794951E-5</c:v>
                </c:pt>
                <c:pt idx="7445">
                  <c:v>-2.7560695738763588E-2</c:v>
                </c:pt>
                <c:pt idx="7446">
                  <c:v>2.5772383220614779E-2</c:v>
                </c:pt>
                <c:pt idx="7447">
                  <c:v>-3.9316685371813848E-2</c:v>
                </c:pt>
                <c:pt idx="7448">
                  <c:v>1.2933573872784964E-2</c:v>
                </c:pt>
                <c:pt idx="7449">
                  <c:v>-6.2634429407531986E-3</c:v>
                </c:pt>
                <c:pt idx="7450">
                  <c:v>8.1843810627014422E-3</c:v>
                </c:pt>
                <c:pt idx="7451">
                  <c:v>1.8439374141863786E-2</c:v>
                </c:pt>
                <c:pt idx="7452">
                  <c:v>-5.8448691752805253E-3</c:v>
                </c:pt>
                <c:pt idx="7453">
                  <c:v>-3.8797184141917151E-3</c:v>
                </c:pt>
                <c:pt idx="7454">
                  <c:v>2.8346181021170168E-2</c:v>
                </c:pt>
                <c:pt idx="7455">
                  <c:v>-1.0964599172907205E-3</c:v>
                </c:pt>
                <c:pt idx="7456">
                  <c:v>-2.2915105242728207E-2</c:v>
                </c:pt>
                <c:pt idx="7457">
                  <c:v>2.6141861252864159E-2</c:v>
                </c:pt>
                <c:pt idx="7458">
                  <c:v>4.4101313321718034E-3</c:v>
                </c:pt>
                <c:pt idx="7459">
                  <c:v>-2.2697936265502483E-2</c:v>
                </c:pt>
                <c:pt idx="7460">
                  <c:v>-1.2019777046462647E-2</c:v>
                </c:pt>
                <c:pt idx="7461">
                  <c:v>1.6613704920490104E-2</c:v>
                </c:pt>
                <c:pt idx="7462">
                  <c:v>2.2406337682206179E-3</c:v>
                </c:pt>
                <c:pt idx="7463">
                  <c:v>2.4718502111594171E-2</c:v>
                </c:pt>
                <c:pt idx="7464">
                  <c:v>6.0786348813558193E-3</c:v>
                </c:pt>
                <c:pt idx="7465">
                  <c:v>9.1583280792367893E-3</c:v>
                </c:pt>
                <c:pt idx="7466">
                  <c:v>-4.890083304120732E-3</c:v>
                </c:pt>
                <c:pt idx="7467">
                  <c:v>5.0100998866889672E-2</c:v>
                </c:pt>
                <c:pt idx="7468">
                  <c:v>-8.0864866313173772E-3</c:v>
                </c:pt>
                <c:pt idx="7469">
                  <c:v>3.0569361909370124E-3</c:v>
                </c:pt>
                <c:pt idx="7470">
                  <c:v>1.450296885981112E-2</c:v>
                </c:pt>
                <c:pt idx="7471">
                  <c:v>-3.3105009322645811E-2</c:v>
                </c:pt>
                <c:pt idx="7472">
                  <c:v>-3.8930432563172621E-2</c:v>
                </c:pt>
                <c:pt idx="7473">
                  <c:v>-7.570326100202392E-3</c:v>
                </c:pt>
                <c:pt idx="7474">
                  <c:v>3.1774758036716907E-2</c:v>
                </c:pt>
                <c:pt idx="7475">
                  <c:v>1.4054913148831062E-3</c:v>
                </c:pt>
                <c:pt idx="7476">
                  <c:v>-4.3154786278344424E-2</c:v>
                </c:pt>
                <c:pt idx="7477">
                  <c:v>-1.9662990114807589E-2</c:v>
                </c:pt>
                <c:pt idx="7478">
                  <c:v>2.2525658235747505E-2</c:v>
                </c:pt>
                <c:pt idx="7479">
                  <c:v>4.9273597512230795E-2</c:v>
                </c:pt>
                <c:pt idx="7480">
                  <c:v>-1.3381100990972622E-2</c:v>
                </c:pt>
                <c:pt idx="7481">
                  <c:v>2.450863296103269E-2</c:v>
                </c:pt>
                <c:pt idx="7482">
                  <c:v>1.137651602461576E-3</c:v>
                </c:pt>
                <c:pt idx="7483">
                  <c:v>2.9609655792965976E-2</c:v>
                </c:pt>
                <c:pt idx="7484">
                  <c:v>1.194564060699844E-2</c:v>
                </c:pt>
                <c:pt idx="7485">
                  <c:v>-2.8496197728325134E-2</c:v>
                </c:pt>
                <c:pt idx="7486">
                  <c:v>-2.9962697563257427E-2</c:v>
                </c:pt>
                <c:pt idx="7487">
                  <c:v>-3.3757637150496869E-3</c:v>
                </c:pt>
                <c:pt idx="7488">
                  <c:v>-2.6145947504986809E-2</c:v>
                </c:pt>
                <c:pt idx="7489">
                  <c:v>3.0941819366767539E-2</c:v>
                </c:pt>
                <c:pt idx="7490">
                  <c:v>-1.0859436365393899E-2</c:v>
                </c:pt>
                <c:pt idx="7491">
                  <c:v>-1.2988330876128008E-2</c:v>
                </c:pt>
                <c:pt idx="7492">
                  <c:v>-1.6899016652877682E-2</c:v>
                </c:pt>
                <c:pt idx="7493">
                  <c:v>2.556886433355084E-2</c:v>
                </c:pt>
                <c:pt idx="7494">
                  <c:v>3.2703473115201248E-2</c:v>
                </c:pt>
                <c:pt idx="7495">
                  <c:v>-1.5388001097235229E-2</c:v>
                </c:pt>
                <c:pt idx="7496">
                  <c:v>-1.8009496363641821E-2</c:v>
                </c:pt>
                <c:pt idx="7497">
                  <c:v>-1.8099726249977736E-2</c:v>
                </c:pt>
                <c:pt idx="7498">
                  <c:v>-1.1188591552409083E-2</c:v>
                </c:pt>
                <c:pt idx="7499">
                  <c:v>2.7333774758855827E-2</c:v>
                </c:pt>
                <c:pt idx="7500">
                  <c:v>2.1804092186157968E-2</c:v>
                </c:pt>
                <c:pt idx="7501">
                  <c:v>-3.679784632389653E-2</c:v>
                </c:pt>
                <c:pt idx="7502">
                  <c:v>7.2418339441164842E-3</c:v>
                </c:pt>
                <c:pt idx="7503">
                  <c:v>1.985581618501369E-2</c:v>
                </c:pt>
                <c:pt idx="7504">
                  <c:v>1.8805396544522828E-2</c:v>
                </c:pt>
                <c:pt idx="7505">
                  <c:v>2.5163919628777051E-2</c:v>
                </c:pt>
                <c:pt idx="7506">
                  <c:v>-3.2122386231985087E-2</c:v>
                </c:pt>
                <c:pt idx="7507">
                  <c:v>-4.7559999270201124E-2</c:v>
                </c:pt>
                <c:pt idx="7508">
                  <c:v>-1.7763627101996408E-2</c:v>
                </c:pt>
                <c:pt idx="7509">
                  <c:v>-8.2861620163456346E-3</c:v>
                </c:pt>
                <c:pt idx="7510">
                  <c:v>-2.4887538552158465E-2</c:v>
                </c:pt>
                <c:pt idx="7511">
                  <c:v>-7.461759827275892E-3</c:v>
                </c:pt>
                <c:pt idx="7512">
                  <c:v>3.2191727337253444E-2</c:v>
                </c:pt>
                <c:pt idx="7513">
                  <c:v>-2.6365477525131142E-2</c:v>
                </c:pt>
                <c:pt idx="7514">
                  <c:v>-4.6604762640364124E-2</c:v>
                </c:pt>
                <c:pt idx="7515">
                  <c:v>2.8334985115102226E-2</c:v>
                </c:pt>
                <c:pt idx="7516">
                  <c:v>-3.3910042483989225E-2</c:v>
                </c:pt>
                <c:pt idx="7517">
                  <c:v>-1.2019393094855323E-2</c:v>
                </c:pt>
                <c:pt idx="7518">
                  <c:v>-8.3853106300739548E-3</c:v>
                </c:pt>
                <c:pt idx="7519">
                  <c:v>4.9897641613802397E-2</c:v>
                </c:pt>
                <c:pt idx="7520">
                  <c:v>-9.2670156804200814E-3</c:v>
                </c:pt>
                <c:pt idx="7521">
                  <c:v>-1.6097896862780842E-3</c:v>
                </c:pt>
                <c:pt idx="7522">
                  <c:v>-2.2857788170265254E-2</c:v>
                </c:pt>
                <c:pt idx="7523">
                  <c:v>1.0929545634723788E-2</c:v>
                </c:pt>
                <c:pt idx="7524">
                  <c:v>3.2578979287372682E-2</c:v>
                </c:pt>
                <c:pt idx="7525">
                  <c:v>-5.5259115776029766E-2</c:v>
                </c:pt>
                <c:pt idx="7526">
                  <c:v>-6.295675945179182E-3</c:v>
                </c:pt>
                <c:pt idx="7527">
                  <c:v>1.0295975330055546E-2</c:v>
                </c:pt>
                <c:pt idx="7528">
                  <c:v>6.4889803316643679E-3</c:v>
                </c:pt>
                <c:pt idx="7529">
                  <c:v>-5.4541874008051015E-2</c:v>
                </c:pt>
                <c:pt idx="7530">
                  <c:v>-2.6929645633449954E-2</c:v>
                </c:pt>
                <c:pt idx="7531">
                  <c:v>2.8031066611791763E-2</c:v>
                </c:pt>
                <c:pt idx="7532">
                  <c:v>-2.5850429776752164E-2</c:v>
                </c:pt>
                <c:pt idx="7533">
                  <c:v>1.1515002597657939E-2</c:v>
                </c:pt>
                <c:pt idx="7534">
                  <c:v>1.4966511477331525E-2</c:v>
                </c:pt>
                <c:pt idx="7535">
                  <c:v>2.9914325185120194E-3</c:v>
                </c:pt>
                <c:pt idx="7536">
                  <c:v>-5.9976642183737425E-3</c:v>
                </c:pt>
                <c:pt idx="7537">
                  <c:v>-6.2297873174506791E-3</c:v>
                </c:pt>
                <c:pt idx="7538">
                  <c:v>-2.7955489428794555E-2</c:v>
                </c:pt>
                <c:pt idx="7539">
                  <c:v>-7.4585711483334659E-3</c:v>
                </c:pt>
                <c:pt idx="7540">
                  <c:v>-3.5259634039538974E-2</c:v>
                </c:pt>
                <c:pt idx="7541">
                  <c:v>1.1992655826176004E-2</c:v>
                </c:pt>
                <c:pt idx="7542">
                  <c:v>1.1000587849540902E-2</c:v>
                </c:pt>
                <c:pt idx="7543">
                  <c:v>2.3804729031079195E-2</c:v>
                </c:pt>
                <c:pt idx="7544">
                  <c:v>3.2351268760449359E-2</c:v>
                </c:pt>
                <c:pt idx="7545">
                  <c:v>6.3729648139081805E-3</c:v>
                </c:pt>
                <c:pt idx="7546">
                  <c:v>3.9614569517492232E-3</c:v>
                </c:pt>
                <c:pt idx="7547">
                  <c:v>-4.197352821550912E-3</c:v>
                </c:pt>
                <c:pt idx="7548">
                  <c:v>-1.3911866721373484E-2</c:v>
                </c:pt>
                <c:pt idx="7549">
                  <c:v>3.5019966577695349E-2</c:v>
                </c:pt>
                <c:pt idx="7550">
                  <c:v>5.0423076761106286E-3</c:v>
                </c:pt>
                <c:pt idx="7551">
                  <c:v>4.2217858082329002E-2</c:v>
                </c:pt>
                <c:pt idx="7552">
                  <c:v>2.6301619062168973E-3</c:v>
                </c:pt>
                <c:pt idx="7553">
                  <c:v>-8.9186492308725076E-3</c:v>
                </c:pt>
                <c:pt idx="7554">
                  <c:v>-3.1601786833414053E-2</c:v>
                </c:pt>
                <c:pt idx="7555">
                  <c:v>-2.4351696577551386E-3</c:v>
                </c:pt>
                <c:pt idx="7556">
                  <c:v>5.0822516272724548E-4</c:v>
                </c:pt>
                <c:pt idx="7557">
                  <c:v>6.8487173077319309E-3</c:v>
                </c:pt>
                <c:pt idx="7558">
                  <c:v>6.3667921401713672E-3</c:v>
                </c:pt>
                <c:pt idx="7559">
                  <c:v>-2.7861325292215511E-2</c:v>
                </c:pt>
                <c:pt idx="7560">
                  <c:v>-1.8310944160224846E-2</c:v>
                </c:pt>
                <c:pt idx="7561">
                  <c:v>2.2446164791360208E-2</c:v>
                </c:pt>
                <c:pt idx="7562">
                  <c:v>-3.8370242577079818E-3</c:v>
                </c:pt>
                <c:pt idx="7563">
                  <c:v>-1.2160807822303651E-2</c:v>
                </c:pt>
                <c:pt idx="7564">
                  <c:v>-3.6010457199497782E-2</c:v>
                </c:pt>
                <c:pt idx="7565">
                  <c:v>-3.6083591536990374E-2</c:v>
                </c:pt>
                <c:pt idx="7566">
                  <c:v>-1.462290367500888E-2</c:v>
                </c:pt>
                <c:pt idx="7567">
                  <c:v>-1.128611075440402E-3</c:v>
                </c:pt>
                <c:pt idx="7568">
                  <c:v>-2.4284637543080082E-2</c:v>
                </c:pt>
                <c:pt idx="7569">
                  <c:v>1.0241424021344005E-2</c:v>
                </c:pt>
                <c:pt idx="7570">
                  <c:v>5.3505202218548695E-2</c:v>
                </c:pt>
                <c:pt idx="7571">
                  <c:v>-3.1012232177135032E-3</c:v>
                </c:pt>
                <c:pt idx="7572">
                  <c:v>-1.6723467296499803E-2</c:v>
                </c:pt>
                <c:pt idx="7573">
                  <c:v>1.5714028990236467E-2</c:v>
                </c:pt>
                <c:pt idx="7574">
                  <c:v>2.1311932993827679E-2</c:v>
                </c:pt>
                <c:pt idx="7575">
                  <c:v>-1.9290453364737836E-2</c:v>
                </c:pt>
                <c:pt idx="7576">
                  <c:v>7.7227054995415417E-3</c:v>
                </c:pt>
                <c:pt idx="7577">
                  <c:v>-2.3896851626175466E-2</c:v>
                </c:pt>
                <c:pt idx="7578">
                  <c:v>4.1470981959677314E-2</c:v>
                </c:pt>
                <c:pt idx="7579">
                  <c:v>2.6507678243083716E-2</c:v>
                </c:pt>
                <c:pt idx="7580">
                  <c:v>9.484473904049974E-3</c:v>
                </c:pt>
                <c:pt idx="7581">
                  <c:v>1.237924963241286E-2</c:v>
                </c:pt>
                <c:pt idx="7582">
                  <c:v>1.3047885387298534E-2</c:v>
                </c:pt>
                <c:pt idx="7583">
                  <c:v>-6.7500996690787068E-4</c:v>
                </c:pt>
                <c:pt idx="7584">
                  <c:v>2.5539000330087422E-2</c:v>
                </c:pt>
                <c:pt idx="7585">
                  <c:v>-1.9377007741587824E-2</c:v>
                </c:pt>
                <c:pt idx="7586">
                  <c:v>-1.0347226845275951E-2</c:v>
                </c:pt>
                <c:pt idx="7587">
                  <c:v>2.6146705582902455E-2</c:v>
                </c:pt>
                <c:pt idx="7588">
                  <c:v>-3.7399861093160229E-2</c:v>
                </c:pt>
                <c:pt idx="7589">
                  <c:v>1.6638218410992923E-2</c:v>
                </c:pt>
                <c:pt idx="7590">
                  <c:v>2.1755180430924705E-2</c:v>
                </c:pt>
                <c:pt idx="7591">
                  <c:v>-1.2688774037251774E-2</c:v>
                </c:pt>
                <c:pt idx="7592">
                  <c:v>-2.6140325505901039E-2</c:v>
                </c:pt>
                <c:pt idx="7593">
                  <c:v>1.7389063527120024E-2</c:v>
                </c:pt>
                <c:pt idx="7594">
                  <c:v>5.211133772421965E-2</c:v>
                </c:pt>
                <c:pt idx="7595">
                  <c:v>-7.8485815826932048E-3</c:v>
                </c:pt>
                <c:pt idx="7596">
                  <c:v>-1.3178802611073832E-2</c:v>
                </c:pt>
                <c:pt idx="7597">
                  <c:v>-3.1050350462424937E-3</c:v>
                </c:pt>
                <c:pt idx="7598">
                  <c:v>-2.8339655974232023E-2</c:v>
                </c:pt>
                <c:pt idx="7599">
                  <c:v>1.4904348044156402E-2</c:v>
                </c:pt>
                <c:pt idx="7600">
                  <c:v>-1.7822129379250061E-2</c:v>
                </c:pt>
                <c:pt idx="7601">
                  <c:v>-1.0083009120650677E-2</c:v>
                </c:pt>
                <c:pt idx="7602">
                  <c:v>3.745144425739174E-2</c:v>
                </c:pt>
                <c:pt idx="7603">
                  <c:v>-2.3152531514656929E-2</c:v>
                </c:pt>
                <c:pt idx="7604">
                  <c:v>-6.7087000138820064E-3</c:v>
                </c:pt>
                <c:pt idx="7605">
                  <c:v>8.9619639591125289E-3</c:v>
                </c:pt>
                <c:pt idx="7606">
                  <c:v>-8.9578560254424851E-3</c:v>
                </c:pt>
                <c:pt idx="7607">
                  <c:v>4.2049302208672257E-2</c:v>
                </c:pt>
                <c:pt idx="7608">
                  <c:v>-3.7279776801110646E-3</c:v>
                </c:pt>
                <c:pt idx="7609">
                  <c:v>1.9189877100994922E-2</c:v>
                </c:pt>
                <c:pt idx="7610">
                  <c:v>-2.4681885462666968E-2</c:v>
                </c:pt>
                <c:pt idx="7611">
                  <c:v>1.7062633194592055E-2</c:v>
                </c:pt>
                <c:pt idx="7612">
                  <c:v>2.4917726852726921E-2</c:v>
                </c:pt>
                <c:pt idx="7613">
                  <c:v>1.0809442486898708E-2</c:v>
                </c:pt>
                <c:pt idx="7614">
                  <c:v>2.1254076026557017E-2</c:v>
                </c:pt>
                <c:pt idx="7615">
                  <c:v>-4.1985840619289901E-2</c:v>
                </c:pt>
                <c:pt idx="7616">
                  <c:v>1.2844476745027013E-2</c:v>
                </c:pt>
                <c:pt idx="7617">
                  <c:v>-1.212148787908959E-2</c:v>
                </c:pt>
                <c:pt idx="7618">
                  <c:v>1.6996207106698948E-2</c:v>
                </c:pt>
                <c:pt idx="7619">
                  <c:v>3.4114354683930918E-2</c:v>
                </c:pt>
                <c:pt idx="7620">
                  <c:v>2.1756823044445799E-2</c:v>
                </c:pt>
                <c:pt idx="7621">
                  <c:v>-1.1731112279350071E-2</c:v>
                </c:pt>
                <c:pt idx="7622">
                  <c:v>8.9492744315158319E-3</c:v>
                </c:pt>
                <c:pt idx="7623">
                  <c:v>1.6476472900562252E-2</c:v>
                </c:pt>
                <c:pt idx="7624">
                  <c:v>-1.7498276136362564E-2</c:v>
                </c:pt>
                <c:pt idx="7625">
                  <c:v>-3.369362264127624E-2</c:v>
                </c:pt>
                <c:pt idx="7626">
                  <c:v>-4.1186024810059146E-3</c:v>
                </c:pt>
                <c:pt idx="7627">
                  <c:v>-3.4122867269309911E-3</c:v>
                </c:pt>
                <c:pt idx="7628">
                  <c:v>4.5574483937212973E-2</c:v>
                </c:pt>
                <c:pt idx="7629">
                  <c:v>-1.8767248610718545E-2</c:v>
                </c:pt>
                <c:pt idx="7630">
                  <c:v>1.1550190995376184E-2</c:v>
                </c:pt>
                <c:pt idx="7631">
                  <c:v>1.2985042837976254E-3</c:v>
                </c:pt>
                <c:pt idx="7632">
                  <c:v>1.3598887522097184E-2</c:v>
                </c:pt>
                <c:pt idx="7633">
                  <c:v>1.287413777552141E-3</c:v>
                </c:pt>
                <c:pt idx="7634">
                  <c:v>1.6797722250222406E-2</c:v>
                </c:pt>
                <c:pt idx="7635">
                  <c:v>-1.7996311163799541E-2</c:v>
                </c:pt>
                <c:pt idx="7636">
                  <c:v>-1.0484063607617892E-2</c:v>
                </c:pt>
                <c:pt idx="7637">
                  <c:v>7.2351850996795993E-4</c:v>
                </c:pt>
                <c:pt idx="7638">
                  <c:v>-3.3154081979365271E-2</c:v>
                </c:pt>
                <c:pt idx="7639">
                  <c:v>-1.7306117139992753E-2</c:v>
                </c:pt>
                <c:pt idx="7640">
                  <c:v>3.1741631085343461E-2</c:v>
                </c:pt>
                <c:pt idx="7641">
                  <c:v>5.5457086170484553E-2</c:v>
                </c:pt>
                <c:pt idx="7642">
                  <c:v>3.886431518378418E-3</c:v>
                </c:pt>
                <c:pt idx="7643">
                  <c:v>2.1044980186997516E-2</c:v>
                </c:pt>
                <c:pt idx="7644">
                  <c:v>-2.5240919508901463E-2</c:v>
                </c:pt>
                <c:pt idx="7645">
                  <c:v>-2.0333489251515395E-2</c:v>
                </c:pt>
                <c:pt idx="7646">
                  <c:v>-1.9065271091946768E-2</c:v>
                </c:pt>
                <c:pt idx="7647">
                  <c:v>4.8749543916708375E-2</c:v>
                </c:pt>
                <c:pt idx="7648">
                  <c:v>-1.7281938934621627E-2</c:v>
                </c:pt>
                <c:pt idx="7649">
                  <c:v>4.6095047799695329E-3</c:v>
                </c:pt>
                <c:pt idx="7650">
                  <c:v>-2.5258092220259192E-2</c:v>
                </c:pt>
                <c:pt idx="7651">
                  <c:v>3.7205597070623597E-2</c:v>
                </c:pt>
                <c:pt idx="7652">
                  <c:v>3.7572612901936593E-2</c:v>
                </c:pt>
                <c:pt idx="7653">
                  <c:v>5.7438244075757525E-3</c:v>
                </c:pt>
                <c:pt idx="7654">
                  <c:v>4.7817728083025639E-3</c:v>
                </c:pt>
                <c:pt idx="7655">
                  <c:v>-1.8403830778950064E-2</c:v>
                </c:pt>
                <c:pt idx="7656">
                  <c:v>6.2277595223366785E-3</c:v>
                </c:pt>
                <c:pt idx="7657">
                  <c:v>-3.5145123581361577E-2</c:v>
                </c:pt>
                <c:pt idx="7658">
                  <c:v>1.9823609331752735E-2</c:v>
                </c:pt>
                <c:pt idx="7659">
                  <c:v>3.5634268881912574E-2</c:v>
                </c:pt>
                <c:pt idx="7660">
                  <c:v>1.8983815581743106E-2</c:v>
                </c:pt>
                <c:pt idx="7661">
                  <c:v>-2.003627843542588E-2</c:v>
                </c:pt>
                <c:pt idx="7662">
                  <c:v>1.5819927811013504E-2</c:v>
                </c:pt>
                <c:pt idx="7663">
                  <c:v>-6.9442201531941129E-3</c:v>
                </c:pt>
                <c:pt idx="7664">
                  <c:v>-7.6329649481992001E-2</c:v>
                </c:pt>
                <c:pt idx="7665">
                  <c:v>-1.2189338969974805E-2</c:v>
                </c:pt>
                <c:pt idx="7666">
                  <c:v>-4.142340298447262E-2</c:v>
                </c:pt>
                <c:pt idx="7667">
                  <c:v>-4.7260145854309318E-3</c:v>
                </c:pt>
                <c:pt idx="7668">
                  <c:v>-3.7845638382340716E-2</c:v>
                </c:pt>
                <c:pt idx="7669">
                  <c:v>1.8139339004169079E-2</c:v>
                </c:pt>
                <c:pt idx="7670">
                  <c:v>-6.9844089931314565E-3</c:v>
                </c:pt>
                <c:pt idx="7671">
                  <c:v>-6.3969275492854458E-2</c:v>
                </c:pt>
                <c:pt idx="7672">
                  <c:v>1.8903822243513831E-3</c:v>
                </c:pt>
                <c:pt idx="7673">
                  <c:v>1.2295132418612903E-2</c:v>
                </c:pt>
                <c:pt idx="7674">
                  <c:v>5.8360300588231981E-2</c:v>
                </c:pt>
                <c:pt idx="7675">
                  <c:v>2.9207283043173691E-2</c:v>
                </c:pt>
                <c:pt idx="7676">
                  <c:v>-1.3576063743077179E-2</c:v>
                </c:pt>
                <c:pt idx="7677">
                  <c:v>1.4640872640210403E-2</c:v>
                </c:pt>
                <c:pt idx="7678">
                  <c:v>-5.25168965853062E-2</c:v>
                </c:pt>
                <c:pt idx="7679">
                  <c:v>-1.6613792120506515E-3</c:v>
                </c:pt>
                <c:pt idx="7680">
                  <c:v>-1.0183869236191485E-2</c:v>
                </c:pt>
                <c:pt idx="7681">
                  <c:v>4.5982832386200895E-4</c:v>
                </c:pt>
                <c:pt idx="7682">
                  <c:v>-2.6758506845281634E-2</c:v>
                </c:pt>
                <c:pt idx="7683">
                  <c:v>2.4081542484063734E-2</c:v>
                </c:pt>
                <c:pt idx="7684">
                  <c:v>1.0367895615994117E-3</c:v>
                </c:pt>
                <c:pt idx="7685">
                  <c:v>-5.7304847049516633E-2</c:v>
                </c:pt>
                <c:pt idx="7686">
                  <c:v>2.0166482092662235E-2</c:v>
                </c:pt>
                <c:pt idx="7687">
                  <c:v>-4.1132435309349652E-2</c:v>
                </c:pt>
                <c:pt idx="7688">
                  <c:v>3.8011157000942715E-2</c:v>
                </c:pt>
                <c:pt idx="7689">
                  <c:v>1.8718838494849704E-2</c:v>
                </c:pt>
                <c:pt idx="7690">
                  <c:v>-4.3584582042386251E-3</c:v>
                </c:pt>
                <c:pt idx="7691">
                  <c:v>2.7477184572607827E-2</c:v>
                </c:pt>
                <c:pt idx="7692">
                  <c:v>-1.5416896681376486E-2</c:v>
                </c:pt>
                <c:pt idx="7693">
                  <c:v>7.1092150896656259E-3</c:v>
                </c:pt>
                <c:pt idx="7694">
                  <c:v>-3.9549702330972145E-2</c:v>
                </c:pt>
                <c:pt idx="7695">
                  <c:v>5.3595693345101877E-2</c:v>
                </c:pt>
                <c:pt idx="7696">
                  <c:v>6.7666174768110619E-3</c:v>
                </c:pt>
                <c:pt idx="7697">
                  <c:v>-1.8692011381341272E-2</c:v>
                </c:pt>
                <c:pt idx="7698">
                  <c:v>-4.8854634806347746E-2</c:v>
                </c:pt>
                <c:pt idx="7699">
                  <c:v>6.4500664195689273E-3</c:v>
                </c:pt>
                <c:pt idx="7700">
                  <c:v>2.6557089120767758E-3</c:v>
                </c:pt>
                <c:pt idx="7701">
                  <c:v>-1.901701579131242E-2</c:v>
                </c:pt>
                <c:pt idx="7702">
                  <c:v>4.3137829077722359E-2</c:v>
                </c:pt>
                <c:pt idx="7703">
                  <c:v>-1.9500856906363537E-2</c:v>
                </c:pt>
                <c:pt idx="7704">
                  <c:v>1.133623822215123E-2</c:v>
                </c:pt>
                <c:pt idx="7705">
                  <c:v>5.9273413935356598E-3</c:v>
                </c:pt>
                <c:pt idx="7706">
                  <c:v>-1.4622111798175846E-4</c:v>
                </c:pt>
                <c:pt idx="7707">
                  <c:v>-6.8453201729251918E-3</c:v>
                </c:pt>
                <c:pt idx="7708">
                  <c:v>2.782274087339667E-2</c:v>
                </c:pt>
                <c:pt idx="7709">
                  <c:v>-7.9971611047802427E-3</c:v>
                </c:pt>
                <c:pt idx="7710">
                  <c:v>-1.9179664336352129E-2</c:v>
                </c:pt>
                <c:pt idx="7711">
                  <c:v>-2.5812767205091878E-2</c:v>
                </c:pt>
                <c:pt idx="7712">
                  <c:v>-3.3307181342066704E-3</c:v>
                </c:pt>
                <c:pt idx="7713">
                  <c:v>1.4122342404713923E-2</c:v>
                </c:pt>
                <c:pt idx="7714">
                  <c:v>-2.2172504516088633E-2</c:v>
                </c:pt>
                <c:pt idx="7715">
                  <c:v>2.1180226663270196E-2</c:v>
                </c:pt>
                <c:pt idx="7716">
                  <c:v>3.4821397825530745E-2</c:v>
                </c:pt>
                <c:pt idx="7717">
                  <c:v>-3.7918824037395132E-2</c:v>
                </c:pt>
                <c:pt idx="7718">
                  <c:v>-5.7138422478106108E-3</c:v>
                </c:pt>
                <c:pt idx="7719">
                  <c:v>9.4931452084246158E-3</c:v>
                </c:pt>
                <c:pt idx="7720">
                  <c:v>1.9023495384556381E-2</c:v>
                </c:pt>
                <c:pt idx="7721">
                  <c:v>-3.5384619235775982E-3</c:v>
                </c:pt>
                <c:pt idx="7722">
                  <c:v>-1.138464016507691E-2</c:v>
                </c:pt>
                <c:pt idx="7723">
                  <c:v>6.9460179695591557E-3</c:v>
                </c:pt>
                <c:pt idx="7724">
                  <c:v>3.2666020543642163E-2</c:v>
                </c:pt>
                <c:pt idx="7725">
                  <c:v>-4.0990838288529514E-3</c:v>
                </c:pt>
                <c:pt idx="7726">
                  <c:v>4.0667216125047107E-3</c:v>
                </c:pt>
                <c:pt idx="7727">
                  <c:v>-4.9274897824107121E-2</c:v>
                </c:pt>
                <c:pt idx="7728">
                  <c:v>1.5915510351614072E-2</c:v>
                </c:pt>
                <c:pt idx="7729">
                  <c:v>-3.0779827830180278E-2</c:v>
                </c:pt>
                <c:pt idx="7730">
                  <c:v>3.6893814498994428E-4</c:v>
                </c:pt>
                <c:pt idx="7731">
                  <c:v>-5.1644224140423561E-3</c:v>
                </c:pt>
                <c:pt idx="7732">
                  <c:v>1.0820590059234065E-2</c:v>
                </c:pt>
                <c:pt idx="7733">
                  <c:v>5.9485986168814151E-3</c:v>
                </c:pt>
                <c:pt idx="7734">
                  <c:v>1.4204885297348859E-5</c:v>
                </c:pt>
                <c:pt idx="7735">
                  <c:v>-3.9610015367929317E-2</c:v>
                </c:pt>
                <c:pt idx="7736">
                  <c:v>-2.6933853381840806E-2</c:v>
                </c:pt>
                <c:pt idx="7737">
                  <c:v>-1.7270856106743844E-2</c:v>
                </c:pt>
                <c:pt idx="7738">
                  <c:v>-3.9396848656735265E-3</c:v>
                </c:pt>
                <c:pt idx="7739">
                  <c:v>-8.7012587535360807E-3</c:v>
                </c:pt>
                <c:pt idx="7740">
                  <c:v>-2.3639739020262656E-2</c:v>
                </c:pt>
                <c:pt idx="7741">
                  <c:v>2.5499008199318118E-2</c:v>
                </c:pt>
                <c:pt idx="7742">
                  <c:v>1.9530595735243461E-2</c:v>
                </c:pt>
                <c:pt idx="7743">
                  <c:v>-3.8140979706304597E-2</c:v>
                </c:pt>
                <c:pt idx="7744">
                  <c:v>-8.5041359164769355E-3</c:v>
                </c:pt>
                <c:pt idx="7745">
                  <c:v>-6.5353446142345888E-3</c:v>
                </c:pt>
                <c:pt idx="7746">
                  <c:v>-7.1897681161840797E-4</c:v>
                </c:pt>
                <c:pt idx="7747">
                  <c:v>-1.3671470054191434E-3</c:v>
                </c:pt>
                <c:pt idx="7748">
                  <c:v>3.4367459777724013E-2</c:v>
                </c:pt>
                <c:pt idx="7749">
                  <c:v>2.1678104972577019E-2</c:v>
                </c:pt>
                <c:pt idx="7750">
                  <c:v>-1.1991501551223499E-2</c:v>
                </c:pt>
                <c:pt idx="7751">
                  <c:v>-1.1365607605093348E-2</c:v>
                </c:pt>
                <c:pt idx="7752">
                  <c:v>-4.5496582448070477E-2</c:v>
                </c:pt>
                <c:pt idx="7753">
                  <c:v>2.9725888576634745E-3</c:v>
                </c:pt>
                <c:pt idx="7754">
                  <c:v>-1.5924523413497871E-2</c:v>
                </c:pt>
                <c:pt idx="7755">
                  <c:v>2.0346395545571397E-2</c:v>
                </c:pt>
                <c:pt idx="7756">
                  <c:v>-8.0646483597413086E-3</c:v>
                </c:pt>
                <c:pt idx="7757">
                  <c:v>1.1070266475269642E-2</c:v>
                </c:pt>
                <c:pt idx="7758">
                  <c:v>-8.254930067456456E-3</c:v>
                </c:pt>
                <c:pt idx="7759">
                  <c:v>-1.6888549470117482E-2</c:v>
                </c:pt>
                <c:pt idx="7760">
                  <c:v>-1.7425782441622205E-2</c:v>
                </c:pt>
                <c:pt idx="7761">
                  <c:v>-1.5796561846423397E-2</c:v>
                </c:pt>
                <c:pt idx="7762">
                  <c:v>-2.1245188143779459E-3</c:v>
                </c:pt>
                <c:pt idx="7763">
                  <c:v>3.4479210495186562E-2</c:v>
                </c:pt>
                <c:pt idx="7764">
                  <c:v>1.7400051954349498E-2</c:v>
                </c:pt>
                <c:pt idx="7765">
                  <c:v>-2.0731599894221339E-2</c:v>
                </c:pt>
                <c:pt idx="7766">
                  <c:v>8.1906686498399144E-3</c:v>
                </c:pt>
                <c:pt idx="7767">
                  <c:v>2.4430768711500354E-2</c:v>
                </c:pt>
                <c:pt idx="7768">
                  <c:v>-4.1014478029477476E-3</c:v>
                </c:pt>
                <c:pt idx="7769">
                  <c:v>-4.220630124522411E-3</c:v>
                </c:pt>
                <c:pt idx="7770">
                  <c:v>2.610625997306092E-2</c:v>
                </c:pt>
                <c:pt idx="7771">
                  <c:v>1.8961302537254754E-2</c:v>
                </c:pt>
                <c:pt idx="7772">
                  <c:v>-1.1541376015943912E-2</c:v>
                </c:pt>
                <c:pt idx="7773">
                  <c:v>2.184425718784867E-2</c:v>
                </c:pt>
                <c:pt idx="7774">
                  <c:v>2.1440092053465434E-2</c:v>
                </c:pt>
                <c:pt idx="7775">
                  <c:v>-6.0683215876476877E-4</c:v>
                </c:pt>
                <c:pt idx="7776">
                  <c:v>1.346295379604997E-2</c:v>
                </c:pt>
                <c:pt idx="7777">
                  <c:v>-5.2959791482312682E-2</c:v>
                </c:pt>
                <c:pt idx="7778">
                  <c:v>-4.7430332353958146E-3</c:v>
                </c:pt>
                <c:pt idx="7779">
                  <c:v>-7.0937864898260928E-4</c:v>
                </c:pt>
                <c:pt idx="7780">
                  <c:v>-7.5121300595403281E-3</c:v>
                </c:pt>
                <c:pt idx="7781">
                  <c:v>-3.1431509128663159E-3</c:v>
                </c:pt>
                <c:pt idx="7782">
                  <c:v>1.9685527300256789E-2</c:v>
                </c:pt>
                <c:pt idx="7783">
                  <c:v>-1.244180049168761E-2</c:v>
                </c:pt>
                <c:pt idx="7784">
                  <c:v>-3.0301760582459307E-2</c:v>
                </c:pt>
                <c:pt idx="7785">
                  <c:v>1.6047542891839975E-2</c:v>
                </c:pt>
                <c:pt idx="7786">
                  <c:v>5.854772279197934E-2</c:v>
                </c:pt>
                <c:pt idx="7787">
                  <c:v>-4.1463092187172621E-3</c:v>
                </c:pt>
                <c:pt idx="7788">
                  <c:v>9.947816072588208E-3</c:v>
                </c:pt>
                <c:pt idx="7789">
                  <c:v>-1.1284644181104088E-2</c:v>
                </c:pt>
                <c:pt idx="7790">
                  <c:v>-2.5553315217482369E-2</c:v>
                </c:pt>
                <c:pt idx="7791">
                  <c:v>-1.9457117023973406E-2</c:v>
                </c:pt>
                <c:pt idx="7792">
                  <c:v>1.6285407739851772E-2</c:v>
                </c:pt>
                <c:pt idx="7793">
                  <c:v>8.3308452923520817E-3</c:v>
                </c:pt>
                <c:pt idx="7794">
                  <c:v>-1.9254338358913065E-3</c:v>
                </c:pt>
                <c:pt idx="7795">
                  <c:v>-2.8760497929522101E-2</c:v>
                </c:pt>
                <c:pt idx="7796">
                  <c:v>-5.7820737424341788E-3</c:v>
                </c:pt>
                <c:pt idx="7797">
                  <c:v>2.626939187792773E-2</c:v>
                </c:pt>
                <c:pt idx="7798">
                  <c:v>-2.3751960523262141E-2</c:v>
                </c:pt>
                <c:pt idx="7799">
                  <c:v>1.3514050466696395E-2</c:v>
                </c:pt>
                <c:pt idx="7800">
                  <c:v>1.5026054477952546E-2</c:v>
                </c:pt>
                <c:pt idx="7801">
                  <c:v>-1.3147757769941667E-2</c:v>
                </c:pt>
                <c:pt idx="7802">
                  <c:v>1.3796433721471244E-2</c:v>
                </c:pt>
                <c:pt idx="7803">
                  <c:v>-2.1281903184615536E-2</c:v>
                </c:pt>
                <c:pt idx="7804">
                  <c:v>-3.4424576140295621E-2</c:v>
                </c:pt>
                <c:pt idx="7805">
                  <c:v>4.4711559602073486E-2</c:v>
                </c:pt>
                <c:pt idx="7806">
                  <c:v>9.4570303999615343E-3</c:v>
                </c:pt>
                <c:pt idx="7807">
                  <c:v>1.2929371548970364E-2</c:v>
                </c:pt>
                <c:pt idx="7808">
                  <c:v>1.994672074301734E-2</c:v>
                </c:pt>
                <c:pt idx="7809">
                  <c:v>2.755478217567665E-2</c:v>
                </c:pt>
                <c:pt idx="7810">
                  <c:v>-3.0655847772800924E-2</c:v>
                </c:pt>
                <c:pt idx="7811">
                  <c:v>4.0663450645691971E-3</c:v>
                </c:pt>
                <c:pt idx="7812">
                  <c:v>-1.6546222655467391E-2</c:v>
                </c:pt>
                <c:pt idx="7813">
                  <c:v>-3.3629555032690175E-2</c:v>
                </c:pt>
                <c:pt idx="7814">
                  <c:v>-5.8461925151858579E-2</c:v>
                </c:pt>
                <c:pt idx="7815">
                  <c:v>6.4244375007421525E-3</c:v>
                </c:pt>
                <c:pt idx="7816">
                  <c:v>2.2031629960227242E-3</c:v>
                </c:pt>
                <c:pt idx="7817">
                  <c:v>-3.262170517548645E-3</c:v>
                </c:pt>
                <c:pt idx="7818">
                  <c:v>1.4534725093087687E-3</c:v>
                </c:pt>
                <c:pt idx="7819">
                  <c:v>3.5154614769545539E-2</c:v>
                </c:pt>
                <c:pt idx="7820">
                  <c:v>1.9352756116129005E-4</c:v>
                </c:pt>
                <c:pt idx="7821">
                  <c:v>1.9594836320550389E-2</c:v>
                </c:pt>
                <c:pt idx="7822">
                  <c:v>-9.6995550621375957E-3</c:v>
                </c:pt>
                <c:pt idx="7823">
                  <c:v>-5.2076672104141991E-3</c:v>
                </c:pt>
                <c:pt idx="7824">
                  <c:v>4.8674184595885739E-7</c:v>
                </c:pt>
                <c:pt idx="7825">
                  <c:v>1.9596477294290399E-2</c:v>
                </c:pt>
                <c:pt idx="7826">
                  <c:v>-4.4836412898688685E-4</c:v>
                </c:pt>
                <c:pt idx="7827">
                  <c:v>6.235565365315018E-3</c:v>
                </c:pt>
                <c:pt idx="7828">
                  <c:v>-5.5692376249223494E-3</c:v>
                </c:pt>
                <c:pt idx="7829">
                  <c:v>4.5019740224786491E-2</c:v>
                </c:pt>
                <c:pt idx="7830">
                  <c:v>-6.0574262972350416E-3</c:v>
                </c:pt>
                <c:pt idx="7831">
                  <c:v>5.0667378396736996E-2</c:v>
                </c:pt>
                <c:pt idx="7832">
                  <c:v>6.4965260886365346E-3</c:v>
                </c:pt>
                <c:pt idx="7833">
                  <c:v>-5.5475166907967256E-2</c:v>
                </c:pt>
                <c:pt idx="7834">
                  <c:v>5.5092296099652945E-3</c:v>
                </c:pt>
                <c:pt idx="7835">
                  <c:v>1.4750865258417054E-2</c:v>
                </c:pt>
                <c:pt idx="7836">
                  <c:v>1.3305118830837901E-2</c:v>
                </c:pt>
                <c:pt idx="7837">
                  <c:v>-9.5865436320969957E-3</c:v>
                </c:pt>
                <c:pt idx="7838">
                  <c:v>2.8356881944645609E-2</c:v>
                </c:pt>
                <c:pt idx="7839">
                  <c:v>-1.3321437594960706E-2</c:v>
                </c:pt>
                <c:pt idx="7840">
                  <c:v>-1.7304340272580574E-2</c:v>
                </c:pt>
                <c:pt idx="7841">
                  <c:v>-1.1493214721323626E-2</c:v>
                </c:pt>
                <c:pt idx="7842">
                  <c:v>3.9281615507728261E-2</c:v>
                </c:pt>
                <c:pt idx="7843">
                  <c:v>1.6709900884148789E-2</c:v>
                </c:pt>
                <c:pt idx="7844">
                  <c:v>1.642622245775029E-2</c:v>
                </c:pt>
                <c:pt idx="7845">
                  <c:v>-2.082116051640507E-2</c:v>
                </c:pt>
                <c:pt idx="7846">
                  <c:v>-2.8509933384807163E-2</c:v>
                </c:pt>
                <c:pt idx="7847">
                  <c:v>5.689979458702631E-3</c:v>
                </c:pt>
                <c:pt idx="7848">
                  <c:v>-3.8657074017891334E-2</c:v>
                </c:pt>
                <c:pt idx="7849">
                  <c:v>-2.9912583386409834E-2</c:v>
                </c:pt>
                <c:pt idx="7850">
                  <c:v>-6.239443115667908E-2</c:v>
                </c:pt>
                <c:pt idx="7851">
                  <c:v>1.3485094688894476E-2</c:v>
                </c:pt>
                <c:pt idx="7852">
                  <c:v>-1.7976330746514196E-2</c:v>
                </c:pt>
                <c:pt idx="7853">
                  <c:v>3.7558634219476044E-3</c:v>
                </c:pt>
                <c:pt idx="7854">
                  <c:v>-2.050348242056052E-2</c:v>
                </c:pt>
                <c:pt idx="7855">
                  <c:v>-8.6407973645055095E-3</c:v>
                </c:pt>
                <c:pt idx="7856">
                  <c:v>9.6294238158154775E-3</c:v>
                </c:pt>
                <c:pt idx="7857">
                  <c:v>4.3551962689903169E-2</c:v>
                </c:pt>
                <c:pt idx="7858">
                  <c:v>4.576437975936562E-2</c:v>
                </c:pt>
                <c:pt idx="7859">
                  <c:v>-2.2146964412398457E-2</c:v>
                </c:pt>
                <c:pt idx="7860">
                  <c:v>-1.2606464961597045E-2</c:v>
                </c:pt>
                <c:pt idx="7861">
                  <c:v>3.1185744244210754E-2</c:v>
                </c:pt>
                <c:pt idx="7862">
                  <c:v>-2.2608579765590137E-2</c:v>
                </c:pt>
                <c:pt idx="7863">
                  <c:v>5.6139811957226816E-3</c:v>
                </c:pt>
                <c:pt idx="7864">
                  <c:v>-1.3846197670955089E-2</c:v>
                </c:pt>
                <c:pt idx="7865">
                  <c:v>3.2233014722739567E-2</c:v>
                </c:pt>
                <c:pt idx="7866">
                  <c:v>-6.4271105511869587E-3</c:v>
                </c:pt>
                <c:pt idx="7867">
                  <c:v>1.9485868740605886E-2</c:v>
                </c:pt>
                <c:pt idx="7868">
                  <c:v>2.5546605563665628E-2</c:v>
                </c:pt>
                <c:pt idx="7869">
                  <c:v>-2.8223238322843854E-2</c:v>
                </c:pt>
                <c:pt idx="7870">
                  <c:v>-1.2383795022435074E-2</c:v>
                </c:pt>
                <c:pt idx="7871">
                  <c:v>-1.6975280963924779E-2</c:v>
                </c:pt>
                <c:pt idx="7872">
                  <c:v>6.8491359532453763E-2</c:v>
                </c:pt>
                <c:pt idx="7873">
                  <c:v>2.9308446421868192E-2</c:v>
                </c:pt>
                <c:pt idx="7874">
                  <c:v>-3.0303525666791193E-2</c:v>
                </c:pt>
                <c:pt idx="7875">
                  <c:v>3.9564377659657805E-3</c:v>
                </c:pt>
                <c:pt idx="7876">
                  <c:v>2.649525669597543E-3</c:v>
                </c:pt>
                <c:pt idx="7877">
                  <c:v>-3.8302375493530646E-3</c:v>
                </c:pt>
                <c:pt idx="7878">
                  <c:v>3.589611042824719E-2</c:v>
                </c:pt>
                <c:pt idx="7879">
                  <c:v>-6.0234225940982416E-3</c:v>
                </c:pt>
                <c:pt idx="7880">
                  <c:v>3.1417567228805336E-2</c:v>
                </c:pt>
                <c:pt idx="7881">
                  <c:v>2.527630281799978E-2</c:v>
                </c:pt>
                <c:pt idx="7882">
                  <c:v>-2.4775669000458491E-3</c:v>
                </c:pt>
                <c:pt idx="7883">
                  <c:v>2.8542385160642454E-2</c:v>
                </c:pt>
                <c:pt idx="7884">
                  <c:v>-1.7442130665395714E-2</c:v>
                </c:pt>
                <c:pt idx="7885">
                  <c:v>-2.7514392657234533E-2</c:v>
                </c:pt>
                <c:pt idx="7886">
                  <c:v>-3.3004355009825785E-2</c:v>
                </c:pt>
                <c:pt idx="7887">
                  <c:v>-2.5626086809559197E-2</c:v>
                </c:pt>
                <c:pt idx="7888">
                  <c:v>9.7074160624462669E-3</c:v>
                </c:pt>
                <c:pt idx="7889">
                  <c:v>1.7651967809135832E-2</c:v>
                </c:pt>
                <c:pt idx="7890">
                  <c:v>-2.7381054588056675E-2</c:v>
                </c:pt>
                <c:pt idx="7891">
                  <c:v>-2.1671080650053867E-2</c:v>
                </c:pt>
                <c:pt idx="7892">
                  <c:v>-1.1124984483997473E-2</c:v>
                </c:pt>
                <c:pt idx="7893">
                  <c:v>-1.9052086247486839E-2</c:v>
                </c:pt>
                <c:pt idx="7894">
                  <c:v>-2.4562256072845189E-2</c:v>
                </c:pt>
                <c:pt idx="7895">
                  <c:v>-1.9814245549803777E-2</c:v>
                </c:pt>
                <c:pt idx="7896">
                  <c:v>1.802484727288365E-2</c:v>
                </c:pt>
                <c:pt idx="7897">
                  <c:v>5.5377245380157994E-2</c:v>
                </c:pt>
                <c:pt idx="7898">
                  <c:v>2.576068819180111E-2</c:v>
                </c:pt>
                <c:pt idx="7899">
                  <c:v>-3.5847603267081536E-2</c:v>
                </c:pt>
                <c:pt idx="7900">
                  <c:v>4.0209396292520388E-3</c:v>
                </c:pt>
                <c:pt idx="7901">
                  <c:v>-8.7780162065195233E-3</c:v>
                </c:pt>
                <c:pt idx="7902">
                  <c:v>1.5676155608351606E-2</c:v>
                </c:pt>
                <c:pt idx="7903">
                  <c:v>5.0160121951838263E-2</c:v>
                </c:pt>
                <c:pt idx="7904">
                  <c:v>-1.7912910046832924E-2</c:v>
                </c:pt>
                <c:pt idx="7905">
                  <c:v>9.8534899560061701E-3</c:v>
                </c:pt>
                <c:pt idx="7906">
                  <c:v>-2.5839262058173579E-2</c:v>
                </c:pt>
                <c:pt idx="7907">
                  <c:v>3.406049650793367E-2</c:v>
                </c:pt>
                <c:pt idx="7908">
                  <c:v>1.3102363016385184E-2</c:v>
                </c:pt>
                <c:pt idx="7909">
                  <c:v>1.8896349669328318E-2</c:v>
                </c:pt>
                <c:pt idx="7910">
                  <c:v>2.7520720090090028E-2</c:v>
                </c:pt>
                <c:pt idx="7911">
                  <c:v>1.1595285964930657E-2</c:v>
                </c:pt>
                <c:pt idx="7912">
                  <c:v>2.812183196759524E-2</c:v>
                </c:pt>
                <c:pt idx="7913">
                  <c:v>1.3193209710671189E-2</c:v>
                </c:pt>
                <c:pt idx="7914">
                  <c:v>-2.1120378572021547E-2</c:v>
                </c:pt>
                <c:pt idx="7915">
                  <c:v>-6.4568305396476514E-3</c:v>
                </c:pt>
                <c:pt idx="7916">
                  <c:v>3.2502320509723444E-3</c:v>
                </c:pt>
                <c:pt idx="7917">
                  <c:v>2.8312833135930551E-2</c:v>
                </c:pt>
                <c:pt idx="7918">
                  <c:v>1.5422977019497762E-2</c:v>
                </c:pt>
                <c:pt idx="7919">
                  <c:v>4.4378386629583655E-2</c:v>
                </c:pt>
                <c:pt idx="7920">
                  <c:v>-1.6565256144807491E-3</c:v>
                </c:pt>
                <c:pt idx="7921">
                  <c:v>-4.8439784455553116E-2</c:v>
                </c:pt>
                <c:pt idx="7922">
                  <c:v>1.265875594161734E-2</c:v>
                </c:pt>
                <c:pt idx="7923">
                  <c:v>1.9917572467407847E-2</c:v>
                </c:pt>
                <c:pt idx="7924">
                  <c:v>-2.8582422813726315E-2</c:v>
                </c:pt>
                <c:pt idx="7925">
                  <c:v>3.3248355433779199E-3</c:v>
                </c:pt>
                <c:pt idx="7926">
                  <c:v>-2.099237642436442E-3</c:v>
                </c:pt>
                <c:pt idx="7927">
                  <c:v>-2.5649622148168873E-2</c:v>
                </c:pt>
                <c:pt idx="7928">
                  <c:v>-5.2750282681638741E-3</c:v>
                </c:pt>
                <c:pt idx="7929">
                  <c:v>1.7391504368936269E-2</c:v>
                </c:pt>
                <c:pt idx="7930">
                  <c:v>-4.4683637025671005E-2</c:v>
                </c:pt>
                <c:pt idx="7931">
                  <c:v>2.2301548199662156E-2</c:v>
                </c:pt>
                <c:pt idx="7932">
                  <c:v>-1.1370706899572727E-2</c:v>
                </c:pt>
                <c:pt idx="7933">
                  <c:v>3.1963496655404489E-2</c:v>
                </c:pt>
                <c:pt idx="7934">
                  <c:v>1.9374734344024667E-2</c:v>
                </c:pt>
                <c:pt idx="7935">
                  <c:v>-1.4966489096274009E-2</c:v>
                </c:pt>
                <c:pt idx="7936">
                  <c:v>-5.7574221857849706E-4</c:v>
                </c:pt>
                <c:pt idx="7937">
                  <c:v>-2.3229066449921246E-2</c:v>
                </c:pt>
                <c:pt idx="7938">
                  <c:v>1.1342801443271489E-2</c:v>
                </c:pt>
                <c:pt idx="7939">
                  <c:v>-1.0047132371537145E-2</c:v>
                </c:pt>
                <c:pt idx="7940">
                  <c:v>-1.2539896686534758E-2</c:v>
                </c:pt>
                <c:pt idx="7941">
                  <c:v>-1.121340209215292E-2</c:v>
                </c:pt>
                <c:pt idx="7942">
                  <c:v>1.4006397926848877E-2</c:v>
                </c:pt>
                <c:pt idx="7943">
                  <c:v>1.7653773716717676E-2</c:v>
                </c:pt>
                <c:pt idx="7944">
                  <c:v>-1.9373165766381477E-2</c:v>
                </c:pt>
                <c:pt idx="7945">
                  <c:v>-2.691633448520727E-2</c:v>
                </c:pt>
                <c:pt idx="7946">
                  <c:v>1.4479892882775337E-2</c:v>
                </c:pt>
                <c:pt idx="7947">
                  <c:v>5.5039740818159044E-2</c:v>
                </c:pt>
                <c:pt idx="7948">
                  <c:v>2.1855519900566153E-2</c:v>
                </c:pt>
                <c:pt idx="7949">
                  <c:v>8.4834728638130963E-3</c:v>
                </c:pt>
                <c:pt idx="7950">
                  <c:v>7.8120321308004139E-3</c:v>
                </c:pt>
                <c:pt idx="7951">
                  <c:v>1.988521168105177E-2</c:v>
                </c:pt>
                <c:pt idx="7952">
                  <c:v>3.4396365690890808E-2</c:v>
                </c:pt>
                <c:pt idx="7953">
                  <c:v>-1.0566442008366718E-2</c:v>
                </c:pt>
                <c:pt idx="7954">
                  <c:v>-3.1552596883648198E-2</c:v>
                </c:pt>
                <c:pt idx="7955">
                  <c:v>4.4527829790083351E-2</c:v>
                </c:pt>
                <c:pt idx="7956">
                  <c:v>-3.9164687618972113E-3</c:v>
                </c:pt>
                <c:pt idx="7957">
                  <c:v>7.6122565531059911E-3</c:v>
                </c:pt>
                <c:pt idx="7958">
                  <c:v>2.6980009989325477E-3</c:v>
                </c:pt>
                <c:pt idx="7959">
                  <c:v>-8.6951993297164441E-3</c:v>
                </c:pt>
                <c:pt idx="7960">
                  <c:v>-9.7405040673652389E-3</c:v>
                </c:pt>
                <c:pt idx="7961">
                  <c:v>3.1172948657018997E-2</c:v>
                </c:pt>
                <c:pt idx="7962">
                  <c:v>7.5523248101305399E-3</c:v>
                </c:pt>
                <c:pt idx="7963">
                  <c:v>-1.5172695891958753E-2</c:v>
                </c:pt>
                <c:pt idx="7964">
                  <c:v>1.954086584862131E-2</c:v>
                </c:pt>
                <c:pt idx="7965">
                  <c:v>-1.6088786715124301E-2</c:v>
                </c:pt>
                <c:pt idx="7966">
                  <c:v>-3.9296974184471943E-2</c:v>
                </c:pt>
                <c:pt idx="7967">
                  <c:v>-3.5052486790224748E-2</c:v>
                </c:pt>
                <c:pt idx="7968">
                  <c:v>2.6223706229151936E-2</c:v>
                </c:pt>
                <c:pt idx="7969">
                  <c:v>-1.0345028479651649E-2</c:v>
                </c:pt>
                <c:pt idx="7970">
                  <c:v>-5.3102990231555826E-3</c:v>
                </c:pt>
                <c:pt idx="7971">
                  <c:v>5.4484933027759766E-2</c:v>
                </c:pt>
                <c:pt idx="7972">
                  <c:v>-2.255002976971756E-2</c:v>
                </c:pt>
                <c:pt idx="7973">
                  <c:v>1.4409152776329339E-2</c:v>
                </c:pt>
                <c:pt idx="7974">
                  <c:v>4.818732673328668E-3</c:v>
                </c:pt>
                <c:pt idx="7975">
                  <c:v>4.1797748707857033E-2</c:v>
                </c:pt>
                <c:pt idx="7976">
                  <c:v>-1.0131479384259555E-2</c:v>
                </c:pt>
                <c:pt idx="7977">
                  <c:v>-1.2547932547899494E-2</c:v>
                </c:pt>
                <c:pt idx="7978">
                  <c:v>-1.2153921656712558E-3</c:v>
                </c:pt>
                <c:pt idx="7979">
                  <c:v>-2.2932765650233378E-2</c:v>
                </c:pt>
                <c:pt idx="7980">
                  <c:v>-2.1734236272357488E-2</c:v>
                </c:pt>
                <c:pt idx="7981">
                  <c:v>5.9338423696649413E-2</c:v>
                </c:pt>
                <c:pt idx="7982">
                  <c:v>-7.1015830495746224E-2</c:v>
                </c:pt>
                <c:pt idx="7983">
                  <c:v>2.3181171929429235E-2</c:v>
                </c:pt>
                <c:pt idx="7984">
                  <c:v>5.2947536296982525E-2</c:v>
                </c:pt>
                <c:pt idx="7985">
                  <c:v>3.1923761216666288E-3</c:v>
                </c:pt>
                <c:pt idx="7986">
                  <c:v>6.7788011491328858E-3</c:v>
                </c:pt>
                <c:pt idx="7987">
                  <c:v>4.1210564150094907E-2</c:v>
                </c:pt>
                <c:pt idx="7988">
                  <c:v>1.7722118747070057E-2</c:v>
                </c:pt>
                <c:pt idx="7989">
                  <c:v>2.5136884910872462E-2</c:v>
                </c:pt>
                <c:pt idx="7990">
                  <c:v>-3.2393737217039892E-2</c:v>
                </c:pt>
                <c:pt idx="7991">
                  <c:v>-7.1295946567510194E-3</c:v>
                </c:pt>
                <c:pt idx="7992">
                  <c:v>-3.0721157100674596E-2</c:v>
                </c:pt>
                <c:pt idx="7993">
                  <c:v>-1.7785743956814183E-2</c:v>
                </c:pt>
                <c:pt idx="7994">
                  <c:v>1.3718418250719925E-2</c:v>
                </c:pt>
                <c:pt idx="7995">
                  <c:v>3.5405035199268409E-2</c:v>
                </c:pt>
                <c:pt idx="7996">
                  <c:v>2.0601104759193876E-3</c:v>
                </c:pt>
                <c:pt idx="7997">
                  <c:v>1.2764054429098511E-2</c:v>
                </c:pt>
                <c:pt idx="7998">
                  <c:v>9.9919858644518227E-3</c:v>
                </c:pt>
                <c:pt idx="7999">
                  <c:v>-1.3073557907489161E-2</c:v>
                </c:pt>
                <c:pt idx="8000">
                  <c:v>-2.4501662380176065E-2</c:v>
                </c:pt>
                <c:pt idx="8001">
                  <c:v>-2.6042280839738075E-2</c:v>
                </c:pt>
                <c:pt idx="8002">
                  <c:v>4.7014179450082523E-2</c:v>
                </c:pt>
                <c:pt idx="8003">
                  <c:v>-1.9854904609753827E-2</c:v>
                </c:pt>
                <c:pt idx="8004">
                  <c:v>2.0225189610789288E-2</c:v>
                </c:pt>
                <c:pt idx="8005">
                  <c:v>1.1276966394286301E-2</c:v>
                </c:pt>
                <c:pt idx="8006">
                  <c:v>4.9411827985390237E-3</c:v>
                </c:pt>
                <c:pt idx="8007">
                  <c:v>5.6648867997320662E-3</c:v>
                </c:pt>
                <c:pt idx="8008">
                  <c:v>-2.779619199737376E-3</c:v>
                </c:pt>
                <c:pt idx="8009">
                  <c:v>5.170990999689748E-3</c:v>
                </c:pt>
                <c:pt idx="8010">
                  <c:v>1.1502524117983989E-2</c:v>
                </c:pt>
                <c:pt idx="8011">
                  <c:v>1.6104171340980081E-2</c:v>
                </c:pt>
                <c:pt idx="8012">
                  <c:v>2.826408739277516E-2</c:v>
                </c:pt>
                <c:pt idx="8013">
                  <c:v>6.3744754722414917E-3</c:v>
                </c:pt>
                <c:pt idx="8014">
                  <c:v>2.1691518942468409E-2</c:v>
                </c:pt>
                <c:pt idx="8015">
                  <c:v>6.2686661897866664E-3</c:v>
                </c:pt>
                <c:pt idx="8016">
                  <c:v>-9.9381485637518759E-3</c:v>
                </c:pt>
                <c:pt idx="8017">
                  <c:v>-4.5850118730083479E-3</c:v>
                </c:pt>
                <c:pt idx="8018">
                  <c:v>1.0978042578822463E-3</c:v>
                </c:pt>
                <c:pt idx="8019">
                  <c:v>6.5652200777482801E-3</c:v>
                </c:pt>
                <c:pt idx="8020">
                  <c:v>-3.1892361707591597E-2</c:v>
                </c:pt>
                <c:pt idx="8021">
                  <c:v>8.0543995634169314E-3</c:v>
                </c:pt>
                <c:pt idx="8022">
                  <c:v>-1.804045406105223E-3</c:v>
                </c:pt>
                <c:pt idx="8023">
                  <c:v>2.8962092722838974E-2</c:v>
                </c:pt>
                <c:pt idx="8024">
                  <c:v>-3.217995351954657E-2</c:v>
                </c:pt>
                <c:pt idx="8025">
                  <c:v>1.5744315378946404E-2</c:v>
                </c:pt>
                <c:pt idx="8026">
                  <c:v>1.019130245882046E-2</c:v>
                </c:pt>
                <c:pt idx="8027">
                  <c:v>-1.3934068653972034E-3</c:v>
                </c:pt>
                <c:pt idx="8028">
                  <c:v>6.0278029615266869E-3</c:v>
                </c:pt>
                <c:pt idx="8029">
                  <c:v>2.7480345755598684E-2</c:v>
                </c:pt>
                <c:pt idx="8030">
                  <c:v>3.3102174953837077E-2</c:v>
                </c:pt>
                <c:pt idx="8031">
                  <c:v>9.5558762156457977E-3</c:v>
                </c:pt>
                <c:pt idx="8032">
                  <c:v>-2.8334096445234234E-2</c:v>
                </c:pt>
                <c:pt idx="8033">
                  <c:v>-3.2033121808329117E-2</c:v>
                </c:pt>
                <c:pt idx="8034">
                  <c:v>-2.0896317677119483E-2</c:v>
                </c:pt>
                <c:pt idx="8035">
                  <c:v>1.3833083915975134E-2</c:v>
                </c:pt>
                <c:pt idx="8036">
                  <c:v>2.4577618835768346E-2</c:v>
                </c:pt>
                <c:pt idx="8037">
                  <c:v>8.0500198468400654E-3</c:v>
                </c:pt>
                <c:pt idx="8038">
                  <c:v>1.542011828001575E-2</c:v>
                </c:pt>
                <c:pt idx="8039">
                  <c:v>1.8213449175593883E-2</c:v>
                </c:pt>
                <c:pt idx="8040">
                  <c:v>-2.5176074774985593E-2</c:v>
                </c:pt>
                <c:pt idx="8041">
                  <c:v>-1.0376252568016503E-2</c:v>
                </c:pt>
                <c:pt idx="8042">
                  <c:v>4.3513122320566451E-5</c:v>
                </c:pt>
                <c:pt idx="8043">
                  <c:v>-2.3050418510720146E-2</c:v>
                </c:pt>
                <c:pt idx="8044">
                  <c:v>2.6555631524438706E-3</c:v>
                </c:pt>
                <c:pt idx="8045">
                  <c:v>-7.6145189767677316E-3</c:v>
                </c:pt>
                <c:pt idx="8046">
                  <c:v>-1.6748704056176664E-2</c:v>
                </c:pt>
                <c:pt idx="8047">
                  <c:v>1.55701142978617E-2</c:v>
                </c:pt>
                <c:pt idx="8048">
                  <c:v>2.2593903332815631E-2</c:v>
                </c:pt>
                <c:pt idx="8049">
                  <c:v>-3.7436507968112764E-2</c:v>
                </c:pt>
                <c:pt idx="8050">
                  <c:v>-5.8635217735570674E-3</c:v>
                </c:pt>
                <c:pt idx="8051">
                  <c:v>-2.4895726084305774E-2</c:v>
                </c:pt>
                <c:pt idx="8052">
                  <c:v>-3.0397034233285374E-2</c:v>
                </c:pt>
                <c:pt idx="8053">
                  <c:v>5.017512048082777E-2</c:v>
                </c:pt>
                <c:pt idx="8054">
                  <c:v>-2.0659744743972766E-2</c:v>
                </c:pt>
                <c:pt idx="8055">
                  <c:v>-4.9592419164639651E-3</c:v>
                </c:pt>
                <c:pt idx="8056">
                  <c:v>-3.508809120553204E-3</c:v>
                </c:pt>
                <c:pt idx="8057">
                  <c:v>-6.3066669855861707E-3</c:v>
                </c:pt>
                <c:pt idx="8058">
                  <c:v>1.4007182251458269E-2</c:v>
                </c:pt>
                <c:pt idx="8059">
                  <c:v>8.8737276498096365E-4</c:v>
                </c:pt>
                <c:pt idx="8060">
                  <c:v>-1.1538559574314242E-2</c:v>
                </c:pt>
                <c:pt idx="8061">
                  <c:v>-3.4920260036989746E-2</c:v>
                </c:pt>
                <c:pt idx="8062">
                  <c:v>-2.7697092074553068E-2</c:v>
                </c:pt>
                <c:pt idx="8063">
                  <c:v>-1.6402504770847089E-2</c:v>
                </c:pt>
                <c:pt idx="8064">
                  <c:v>-2.396471410421459E-2</c:v>
                </c:pt>
                <c:pt idx="8065">
                  <c:v>2.2344911221129058E-2</c:v>
                </c:pt>
                <c:pt idx="8066">
                  <c:v>-3.7646507728463049E-2</c:v>
                </c:pt>
                <c:pt idx="8067">
                  <c:v>-1.3085316924248898E-2</c:v>
                </c:pt>
                <c:pt idx="8068">
                  <c:v>-2.3792970337859858E-2</c:v>
                </c:pt>
                <c:pt idx="8069">
                  <c:v>-1.0400657928226361E-3</c:v>
                </c:pt>
                <c:pt idx="8070">
                  <c:v>1.5880998932695799E-2</c:v>
                </c:pt>
                <c:pt idx="8071">
                  <c:v>-5.3687403025674492E-2</c:v>
                </c:pt>
                <c:pt idx="8072">
                  <c:v>-1.6312816739821262E-3</c:v>
                </c:pt>
                <c:pt idx="8073">
                  <c:v>9.4632628908109819E-4</c:v>
                </c:pt>
                <c:pt idx="8074">
                  <c:v>4.9558968172417686E-2</c:v>
                </c:pt>
                <c:pt idx="8075">
                  <c:v>-1.2481820667898026E-2</c:v>
                </c:pt>
                <c:pt idx="8076">
                  <c:v>2.4192028584793579E-2</c:v>
                </c:pt>
                <c:pt idx="8077">
                  <c:v>-3.7856420212755607E-2</c:v>
                </c:pt>
                <c:pt idx="8078">
                  <c:v>-1.0033501468301034E-2</c:v>
                </c:pt>
                <c:pt idx="8079">
                  <c:v>-2.0599760519398401E-2</c:v>
                </c:pt>
                <c:pt idx="8080">
                  <c:v>-1.0998182239465014E-2</c:v>
                </c:pt>
                <c:pt idx="8081">
                  <c:v>1.1511487526024506E-2</c:v>
                </c:pt>
                <c:pt idx="8082">
                  <c:v>-2.1377364256179511E-2</c:v>
                </c:pt>
                <c:pt idx="8083">
                  <c:v>-4.7881318338541028E-2</c:v>
                </c:pt>
                <c:pt idx="8084">
                  <c:v>-1.633029364836234E-3</c:v>
                </c:pt>
                <c:pt idx="8085">
                  <c:v>-3.5705012660737001E-2</c:v>
                </c:pt>
                <c:pt idx="8086">
                  <c:v>-1.1553227942547682E-2</c:v>
                </c:pt>
                <c:pt idx="8087">
                  <c:v>-2.4094535271377959E-2</c:v>
                </c:pt>
                <c:pt idx="8088">
                  <c:v>-4.1825518749751206E-4</c:v>
                </c:pt>
                <c:pt idx="8089">
                  <c:v>1.7216620109980041E-2</c:v>
                </c:pt>
                <c:pt idx="8090">
                  <c:v>9.2262688923183695E-3</c:v>
                </c:pt>
                <c:pt idx="8091">
                  <c:v>3.761848659473415E-2</c:v>
                </c:pt>
                <c:pt idx="8092">
                  <c:v>-1.4309176871663932E-2</c:v>
                </c:pt>
                <c:pt idx="8093">
                  <c:v>5.1509835348638129E-2</c:v>
                </c:pt>
                <c:pt idx="8094">
                  <c:v>-1.0987874874882326E-2</c:v>
                </c:pt>
                <c:pt idx="8095">
                  <c:v>1.4470117091563182E-2</c:v>
                </c:pt>
                <c:pt idx="8096">
                  <c:v>8.4597971953609893E-3</c:v>
                </c:pt>
                <c:pt idx="8097">
                  <c:v>1.3358616755020827E-2</c:v>
                </c:pt>
                <c:pt idx="8098">
                  <c:v>8.1898544215987419E-3</c:v>
                </c:pt>
                <c:pt idx="8099">
                  <c:v>1.039839625850991E-2</c:v>
                </c:pt>
                <c:pt idx="8100">
                  <c:v>2.674871576298677E-2</c:v>
                </c:pt>
                <c:pt idx="8101">
                  <c:v>-3.3780467001098026E-2</c:v>
                </c:pt>
                <c:pt idx="8102">
                  <c:v>1.4388405382316158E-2</c:v>
                </c:pt>
                <c:pt idx="8103">
                  <c:v>2.3890999713206593E-3</c:v>
                </c:pt>
                <c:pt idx="8104">
                  <c:v>-5.5920359944614639E-2</c:v>
                </c:pt>
                <c:pt idx="8105">
                  <c:v>-1.4917876619940072E-2</c:v>
                </c:pt>
                <c:pt idx="8106">
                  <c:v>1.5157992775861068E-2</c:v>
                </c:pt>
                <c:pt idx="8107">
                  <c:v>-4.7666485907824786E-3</c:v>
                </c:pt>
                <c:pt idx="8108">
                  <c:v>-3.6997717380087627E-2</c:v>
                </c:pt>
                <c:pt idx="8109">
                  <c:v>-2.4639755032495051E-2</c:v>
                </c:pt>
                <c:pt idx="8110">
                  <c:v>-3.3619488339732183E-2</c:v>
                </c:pt>
                <c:pt idx="8111">
                  <c:v>2.0699996008876231E-2</c:v>
                </c:pt>
                <c:pt idx="8112">
                  <c:v>6.2124914974931965E-3</c:v>
                </c:pt>
                <c:pt idx="8113">
                  <c:v>-2.9063941177241082E-2</c:v>
                </c:pt>
                <c:pt idx="8114">
                  <c:v>-5.1214849338038861E-2</c:v>
                </c:pt>
                <c:pt idx="8115">
                  <c:v>1.8192912148747967E-2</c:v>
                </c:pt>
                <c:pt idx="8116">
                  <c:v>1.0770524397073196E-2</c:v>
                </c:pt>
                <c:pt idx="8117">
                  <c:v>8.2840040120965713E-3</c:v>
                </c:pt>
                <c:pt idx="8118">
                  <c:v>-7.0309004454536389E-3</c:v>
                </c:pt>
                <c:pt idx="8119">
                  <c:v>2.7483194307310523E-2</c:v>
                </c:pt>
                <c:pt idx="8120">
                  <c:v>1.6616057488432926E-2</c:v>
                </c:pt>
                <c:pt idx="8121">
                  <c:v>1.2299835206148904E-2</c:v>
                </c:pt>
                <c:pt idx="8122">
                  <c:v>-1.9021048019147054E-2</c:v>
                </c:pt>
                <c:pt idx="8123">
                  <c:v>-7.3598894267824285E-3</c:v>
                </c:pt>
                <c:pt idx="8124">
                  <c:v>-9.6138772071977102E-3</c:v>
                </c:pt>
                <c:pt idx="8125">
                  <c:v>-7.3301069292557915E-3</c:v>
                </c:pt>
                <c:pt idx="8126">
                  <c:v>1.3636438033872912E-2</c:v>
                </c:pt>
                <c:pt idx="8127">
                  <c:v>7.1278656929307498E-3</c:v>
                </c:pt>
                <c:pt idx="8128">
                  <c:v>-4.0846311978711795E-3</c:v>
                </c:pt>
                <c:pt idx="8129">
                  <c:v>1.2251284073378929E-2</c:v>
                </c:pt>
                <c:pt idx="8130">
                  <c:v>1.5922843268976371E-2</c:v>
                </c:pt>
                <c:pt idx="8131">
                  <c:v>-2.6322160344023648E-3</c:v>
                </c:pt>
                <c:pt idx="8132">
                  <c:v>2.2802429297219658E-2</c:v>
                </c:pt>
                <c:pt idx="8133">
                  <c:v>4.3283145580998557E-2</c:v>
                </c:pt>
                <c:pt idx="8134">
                  <c:v>9.3395711907427736E-4</c:v>
                </c:pt>
                <c:pt idx="8135">
                  <c:v>-1.5304402098610854E-2</c:v>
                </c:pt>
                <c:pt idx="8136">
                  <c:v>-2.316554196411837E-2</c:v>
                </c:pt>
                <c:pt idx="8137">
                  <c:v>-8.6639552497640854E-5</c:v>
                </c:pt>
                <c:pt idx="8138">
                  <c:v>4.1533714449456555E-2</c:v>
                </c:pt>
                <c:pt idx="8139">
                  <c:v>-2.4414579989450784E-2</c:v>
                </c:pt>
                <c:pt idx="8140">
                  <c:v>4.7543839927178116E-2</c:v>
                </c:pt>
                <c:pt idx="8141">
                  <c:v>1.8283536419740416E-2</c:v>
                </c:pt>
                <c:pt idx="8142">
                  <c:v>-1.0562693805104592E-2</c:v>
                </c:pt>
                <c:pt idx="8143">
                  <c:v>-2.4351733201715665E-3</c:v>
                </c:pt>
                <c:pt idx="8144">
                  <c:v>1.9020310509292919E-2</c:v>
                </c:pt>
                <c:pt idx="8145">
                  <c:v>-2.7795977182600885E-2</c:v>
                </c:pt>
                <c:pt idx="8146">
                  <c:v>2.7015457813884935E-2</c:v>
                </c:pt>
                <c:pt idx="8147">
                  <c:v>2.091087364719903E-2</c:v>
                </c:pt>
                <c:pt idx="8148">
                  <c:v>-3.2584249746105912E-4</c:v>
                </c:pt>
                <c:pt idx="8149">
                  <c:v>-2.1241006368815481E-2</c:v>
                </c:pt>
                <c:pt idx="8150">
                  <c:v>2.812246523417878E-2</c:v>
                </c:pt>
                <c:pt idx="8151">
                  <c:v>-2.7580321044007088E-2</c:v>
                </c:pt>
                <c:pt idx="8152">
                  <c:v>2.9992041042002281E-2</c:v>
                </c:pt>
                <c:pt idx="8153">
                  <c:v>-3.0274067093502507E-3</c:v>
                </c:pt>
                <c:pt idx="8154">
                  <c:v>1.5698338927731242E-2</c:v>
                </c:pt>
                <c:pt idx="8155">
                  <c:v>-3.0778017061325515E-2</c:v>
                </c:pt>
                <c:pt idx="8156">
                  <c:v>-1.4110941600682578E-2</c:v>
                </c:pt>
                <c:pt idx="8157">
                  <c:v>-8.530359832479413E-3</c:v>
                </c:pt>
                <c:pt idx="8158">
                  <c:v>-2.276325437412521E-2</c:v>
                </c:pt>
                <c:pt idx="8159">
                  <c:v>-2.0235582892217118E-2</c:v>
                </c:pt>
                <c:pt idx="8160">
                  <c:v>-3.1497715509486192E-2</c:v>
                </c:pt>
                <c:pt idx="8161">
                  <c:v>-2.5926547979489775E-2</c:v>
                </c:pt>
                <c:pt idx="8162">
                  <c:v>2.42434803801162E-2</c:v>
                </c:pt>
                <c:pt idx="8163">
                  <c:v>1.3095299826713234E-2</c:v>
                </c:pt>
                <c:pt idx="8164">
                  <c:v>-2.0581693525743072E-2</c:v>
                </c:pt>
                <c:pt idx="8165">
                  <c:v>5.0608816448522047E-2</c:v>
                </c:pt>
                <c:pt idx="8166">
                  <c:v>3.3598012925128713E-4</c:v>
                </c:pt>
                <c:pt idx="8167">
                  <c:v>-1.0670588155046675E-2</c:v>
                </c:pt>
                <c:pt idx="8168">
                  <c:v>-2.5365748748530384E-2</c:v>
                </c:pt>
                <c:pt idx="8169">
                  <c:v>-6.3949600345002671E-3</c:v>
                </c:pt>
                <c:pt idx="8170">
                  <c:v>-3.7721202931724415E-2</c:v>
                </c:pt>
                <c:pt idx="8171">
                  <c:v>-4.0616756682840469E-3</c:v>
                </c:pt>
                <c:pt idx="8172">
                  <c:v>-1.266259309948309E-2</c:v>
                </c:pt>
                <c:pt idx="8173">
                  <c:v>-3.284852482415182E-2</c:v>
                </c:pt>
                <c:pt idx="8174">
                  <c:v>3.1354994565238957E-2</c:v>
                </c:pt>
                <c:pt idx="8175">
                  <c:v>2.300283373865061E-2</c:v>
                </c:pt>
                <c:pt idx="8176">
                  <c:v>-4.0257220675567078E-2</c:v>
                </c:pt>
                <c:pt idx="8177">
                  <c:v>-2.2108471206796561E-3</c:v>
                </c:pt>
                <c:pt idx="8178">
                  <c:v>-1.4109044293545727E-2</c:v>
                </c:pt>
                <c:pt idx="8179">
                  <c:v>-1.5012868800874716E-2</c:v>
                </c:pt>
                <c:pt idx="8180">
                  <c:v>1.3484881405593102E-3</c:v>
                </c:pt>
                <c:pt idx="8181">
                  <c:v>4.1047422691679651E-2</c:v>
                </c:pt>
                <c:pt idx="8182">
                  <c:v>-1.1540721221143113E-2</c:v>
                </c:pt>
                <c:pt idx="8183">
                  <c:v>-1.5443225050063292E-2</c:v>
                </c:pt>
                <c:pt idx="8184">
                  <c:v>1.8802177773358533E-2</c:v>
                </c:pt>
                <c:pt idx="8185">
                  <c:v>-5.2470593934614299E-2</c:v>
                </c:pt>
                <c:pt idx="8186">
                  <c:v>2.6571208252452617E-2</c:v>
                </c:pt>
                <c:pt idx="8187">
                  <c:v>3.6713173692068542E-3</c:v>
                </c:pt>
                <c:pt idx="8188">
                  <c:v>-2.25158211211967E-2</c:v>
                </c:pt>
                <c:pt idx="8189">
                  <c:v>1.6638654550283946E-2</c:v>
                </c:pt>
                <c:pt idx="8190">
                  <c:v>2.9241381331696958E-2</c:v>
                </c:pt>
                <c:pt idx="8191">
                  <c:v>3.2555644835419333E-2</c:v>
                </c:pt>
                <c:pt idx="8192">
                  <c:v>1.804612099327476E-2</c:v>
                </c:pt>
                <c:pt idx="8193">
                  <c:v>-1.4992722104886801E-3</c:v>
                </c:pt>
                <c:pt idx="8194">
                  <c:v>-6.0492313835889919E-2</c:v>
                </c:pt>
                <c:pt idx="8195">
                  <c:v>2.6417090141165967E-3</c:v>
                </c:pt>
                <c:pt idx="8196">
                  <c:v>1.9992069834036457E-3</c:v>
                </c:pt>
                <c:pt idx="8197">
                  <c:v>-1.3828318779025205E-2</c:v>
                </c:pt>
                <c:pt idx="8198">
                  <c:v>-1.9684828850688223E-2</c:v>
                </c:pt>
                <c:pt idx="8199">
                  <c:v>1.2757319938671005E-2</c:v>
                </c:pt>
                <c:pt idx="8200">
                  <c:v>2.2439514140313178E-2</c:v>
                </c:pt>
                <c:pt idx="8201">
                  <c:v>3.1509130461182346E-2</c:v>
                </c:pt>
                <c:pt idx="8202">
                  <c:v>1.073267787637895E-2</c:v>
                </c:pt>
                <c:pt idx="8203">
                  <c:v>2.1138339579330152E-2</c:v>
                </c:pt>
                <c:pt idx="8204">
                  <c:v>-1.7153305475353767E-2</c:v>
                </c:pt>
                <c:pt idx="8205">
                  <c:v>-3.8595895445047421E-2</c:v>
                </c:pt>
                <c:pt idx="8206">
                  <c:v>-1.1648030235048646E-2</c:v>
                </c:pt>
                <c:pt idx="8207">
                  <c:v>7.2846567771902744E-3</c:v>
                </c:pt>
                <c:pt idx="8208">
                  <c:v>2.128157131359629E-2</c:v>
                </c:pt>
                <c:pt idx="8209">
                  <c:v>1.4595703098330476E-2</c:v>
                </c:pt>
                <c:pt idx="8210">
                  <c:v>1.4717339989133441E-2</c:v>
                </c:pt>
                <c:pt idx="8211">
                  <c:v>-2.2270260860240466E-2</c:v>
                </c:pt>
                <c:pt idx="8212">
                  <c:v>2.3806547241268971E-2</c:v>
                </c:pt>
                <c:pt idx="8213">
                  <c:v>5.6673822267928955E-2</c:v>
                </c:pt>
                <c:pt idx="8214">
                  <c:v>-2.1078788156831868E-2</c:v>
                </c:pt>
                <c:pt idx="8215">
                  <c:v>-2.0143629967103654E-2</c:v>
                </c:pt>
                <c:pt idx="8216">
                  <c:v>-3.8166301369110076E-2</c:v>
                </c:pt>
                <c:pt idx="8217">
                  <c:v>1.3042187746931215E-2</c:v>
                </c:pt>
                <c:pt idx="8218">
                  <c:v>-2.6537665997126508E-2</c:v>
                </c:pt>
                <c:pt idx="8219">
                  <c:v>1.826167526801125E-2</c:v>
                </c:pt>
                <c:pt idx="8220">
                  <c:v>-2.2440873329118094E-2</c:v>
                </c:pt>
                <c:pt idx="8221">
                  <c:v>8.1786078830846619E-3</c:v>
                </c:pt>
                <c:pt idx="8222">
                  <c:v>-1.7387106215833746E-2</c:v>
                </c:pt>
                <c:pt idx="8223">
                  <c:v>2.7442872835282676E-2</c:v>
                </c:pt>
                <c:pt idx="8224">
                  <c:v>-1.0907934115101551E-2</c:v>
                </c:pt>
                <c:pt idx="8225">
                  <c:v>1.572133683487922E-2</c:v>
                </c:pt>
                <c:pt idx="8226">
                  <c:v>7.0606775633843544E-3</c:v>
                </c:pt>
                <c:pt idx="8227">
                  <c:v>-3.4745746361631471E-3</c:v>
                </c:pt>
                <c:pt idx="8228">
                  <c:v>1.9160061513852178E-3</c:v>
                </c:pt>
                <c:pt idx="8229">
                  <c:v>-4.1760782137692729E-3</c:v>
                </c:pt>
                <c:pt idx="8230">
                  <c:v>1.9115340852469867E-2</c:v>
                </c:pt>
                <c:pt idx="8231">
                  <c:v>-2.9315738709128045E-2</c:v>
                </c:pt>
                <c:pt idx="8232">
                  <c:v>-2.2706961980805383E-2</c:v>
                </c:pt>
                <c:pt idx="8233">
                  <c:v>-4.8508582837513397E-3</c:v>
                </c:pt>
                <c:pt idx="8234">
                  <c:v>3.3196800066787442E-2</c:v>
                </c:pt>
                <c:pt idx="8235">
                  <c:v>-1.9696233485513481E-3</c:v>
                </c:pt>
                <c:pt idx="8236">
                  <c:v>-2.2449221283512139E-2</c:v>
                </c:pt>
                <c:pt idx="8237">
                  <c:v>-1.3613544783278061E-3</c:v>
                </c:pt>
                <c:pt idx="8238">
                  <c:v>-2.3242365611666423E-2</c:v>
                </c:pt>
                <c:pt idx="8239">
                  <c:v>1.7074954068614284E-2</c:v>
                </c:pt>
                <c:pt idx="8240">
                  <c:v>-1.2595373188956144E-2</c:v>
                </c:pt>
                <c:pt idx="8241">
                  <c:v>2.9793949938861964E-2</c:v>
                </c:pt>
                <c:pt idx="8242">
                  <c:v>-3.9495144736994506E-3</c:v>
                </c:pt>
                <c:pt idx="8243">
                  <c:v>-2.4521322198289997E-2</c:v>
                </c:pt>
                <c:pt idx="8244">
                  <c:v>3.9261104781511003E-3</c:v>
                </c:pt>
                <c:pt idx="8245">
                  <c:v>-1.4787358672777987E-2</c:v>
                </c:pt>
                <c:pt idx="8246">
                  <c:v>-2.3925998766064702E-3</c:v>
                </c:pt>
                <c:pt idx="8247">
                  <c:v>2.3650401763772558E-3</c:v>
                </c:pt>
                <c:pt idx="8248">
                  <c:v>-1.8093879632687569E-2</c:v>
                </c:pt>
                <c:pt idx="8249">
                  <c:v>-1.8406910902888079E-2</c:v>
                </c:pt>
                <c:pt idx="8250">
                  <c:v>-2.309578807440359E-3</c:v>
                </c:pt>
                <c:pt idx="8251">
                  <c:v>-8.821773194533129E-3</c:v>
                </c:pt>
                <c:pt idx="8252">
                  <c:v>4.8840218852454556E-3</c:v>
                </c:pt>
                <c:pt idx="8253">
                  <c:v>2.4757367364819455E-2</c:v>
                </c:pt>
                <c:pt idx="8254">
                  <c:v>-6.3138824096344762E-2</c:v>
                </c:pt>
                <c:pt idx="8255">
                  <c:v>-4.1692537711633143E-2</c:v>
                </c:pt>
                <c:pt idx="8256">
                  <c:v>2.2285452793471146E-3</c:v>
                </c:pt>
                <c:pt idx="8257">
                  <c:v>5.226264026652664E-3</c:v>
                </c:pt>
                <c:pt idx="8258">
                  <c:v>-1.9422213583937746E-2</c:v>
                </c:pt>
                <c:pt idx="8259">
                  <c:v>-4.8724932728388907E-3</c:v>
                </c:pt>
                <c:pt idx="8260">
                  <c:v>8.3017675375353026E-3</c:v>
                </c:pt>
                <c:pt idx="8261">
                  <c:v>-1.5684367476785886E-2</c:v>
                </c:pt>
                <c:pt idx="8262">
                  <c:v>-4.0513298850922988E-2</c:v>
                </c:pt>
                <c:pt idx="8263">
                  <c:v>3.5304826833486791E-2</c:v>
                </c:pt>
                <c:pt idx="8264">
                  <c:v>5.834271367443692E-3</c:v>
                </c:pt>
                <c:pt idx="8265">
                  <c:v>-7.1443316115811541E-3</c:v>
                </c:pt>
                <c:pt idx="8266">
                  <c:v>5.6335142528849004E-2</c:v>
                </c:pt>
                <c:pt idx="8267">
                  <c:v>2.950426057137227E-2</c:v>
                </c:pt>
                <c:pt idx="8268">
                  <c:v>5.2018974026709311E-2</c:v>
                </c:pt>
                <c:pt idx="8269">
                  <c:v>-2.728710795140403E-2</c:v>
                </c:pt>
                <c:pt idx="8270">
                  <c:v>-7.0324521076542031E-3</c:v>
                </c:pt>
                <c:pt idx="8271">
                  <c:v>-6.082605875524694E-3</c:v>
                </c:pt>
                <c:pt idx="8272">
                  <c:v>1.235717324423773E-2</c:v>
                </c:pt>
                <c:pt idx="8273">
                  <c:v>-1.1937798648506484E-3</c:v>
                </c:pt>
                <c:pt idx="8274">
                  <c:v>2.7160026243339724E-2</c:v>
                </c:pt>
                <c:pt idx="8275">
                  <c:v>1.2300683923874357E-2</c:v>
                </c:pt>
                <c:pt idx="8276">
                  <c:v>4.834248870525247E-2</c:v>
                </c:pt>
                <c:pt idx="8277">
                  <c:v>3.9039816516189931E-3</c:v>
                </c:pt>
                <c:pt idx="8278">
                  <c:v>-3.9222840319376034E-2</c:v>
                </c:pt>
                <c:pt idx="8279">
                  <c:v>2.4725320268394672E-3</c:v>
                </c:pt>
                <c:pt idx="8280">
                  <c:v>-6.0339870606619231E-2</c:v>
                </c:pt>
                <c:pt idx="8281">
                  <c:v>7.6879461836921181E-3</c:v>
                </c:pt>
                <c:pt idx="8282">
                  <c:v>-5.8292443127858036E-2</c:v>
                </c:pt>
                <c:pt idx="8283">
                  <c:v>-3.2828773694946439E-2</c:v>
                </c:pt>
                <c:pt idx="8284">
                  <c:v>3.6230382354808563E-2</c:v>
                </c:pt>
                <c:pt idx="8285">
                  <c:v>8.8598401849299593E-3</c:v>
                </c:pt>
                <c:pt idx="8286">
                  <c:v>1.5629823588326437E-2</c:v>
                </c:pt>
                <c:pt idx="8287">
                  <c:v>-5.0210233295051726E-3</c:v>
                </c:pt>
                <c:pt idx="8288">
                  <c:v>-3.653493626341299E-2</c:v>
                </c:pt>
                <c:pt idx="8289">
                  <c:v>2.0044519434958948E-2</c:v>
                </c:pt>
                <c:pt idx="8290">
                  <c:v>3.1836820998517652E-2</c:v>
                </c:pt>
                <c:pt idx="8291">
                  <c:v>-1.5822862502681296E-2</c:v>
                </c:pt>
                <c:pt idx="8292">
                  <c:v>1.1517736225224062E-2</c:v>
                </c:pt>
                <c:pt idx="8293">
                  <c:v>-2.772306525241237E-2</c:v>
                </c:pt>
                <c:pt idx="8294">
                  <c:v>1.5964875926327973E-2</c:v>
                </c:pt>
                <c:pt idx="8295">
                  <c:v>-4.9242298927760931E-3</c:v>
                </c:pt>
                <c:pt idx="8296">
                  <c:v>-1.4868714537355165E-2</c:v>
                </c:pt>
                <c:pt idx="8297">
                  <c:v>-2.8403071855866605E-2</c:v>
                </c:pt>
                <c:pt idx="8298">
                  <c:v>-2.9584627009055037E-2</c:v>
                </c:pt>
                <c:pt idx="8299">
                  <c:v>1.8123346503817743E-2</c:v>
                </c:pt>
                <c:pt idx="8300">
                  <c:v>-6.6588555291727455E-2</c:v>
                </c:pt>
                <c:pt idx="8301">
                  <c:v>1.7124154853713713E-3</c:v>
                </c:pt>
                <c:pt idx="8302">
                  <c:v>-4.038994213228347E-3</c:v>
                </c:pt>
                <c:pt idx="8303">
                  <c:v>-1.6297639133405581E-2</c:v>
                </c:pt>
                <c:pt idx="8304">
                  <c:v>-4.7246383434005751E-3</c:v>
                </c:pt>
                <c:pt idx="8305">
                  <c:v>3.3593156359600737E-2</c:v>
                </c:pt>
                <c:pt idx="8306">
                  <c:v>3.3364903301590906E-2</c:v>
                </c:pt>
                <c:pt idx="8307">
                  <c:v>-1.3382989389473287E-2</c:v>
                </c:pt>
                <c:pt idx="8308">
                  <c:v>-1.6912290171383709E-2</c:v>
                </c:pt>
                <c:pt idx="8309">
                  <c:v>1.8468166166809026E-2</c:v>
                </c:pt>
                <c:pt idx="8310">
                  <c:v>1.6680859826312792E-2</c:v>
                </c:pt>
                <c:pt idx="8311">
                  <c:v>-8.0214347435370488E-3</c:v>
                </c:pt>
                <c:pt idx="8312">
                  <c:v>1.339953299625456E-2</c:v>
                </c:pt>
                <c:pt idx="8313">
                  <c:v>-3.0943599681524906E-3</c:v>
                </c:pt>
                <c:pt idx="8314">
                  <c:v>-1.8124851011381733E-2</c:v>
                </c:pt>
                <c:pt idx="8315">
                  <c:v>-2.7917594645065914E-2</c:v>
                </c:pt>
                <c:pt idx="8316">
                  <c:v>-7.2615849431274335E-3</c:v>
                </c:pt>
                <c:pt idx="8317">
                  <c:v>4.516341505287412E-2</c:v>
                </c:pt>
                <c:pt idx="8318">
                  <c:v>-2.8825282627284281E-2</c:v>
                </c:pt>
                <c:pt idx="8319">
                  <c:v>7.2883366801435173E-3</c:v>
                </c:pt>
                <c:pt idx="8320">
                  <c:v>2.8400137348333826E-2</c:v>
                </c:pt>
                <c:pt idx="8321">
                  <c:v>-2.1153562993975125E-2</c:v>
                </c:pt>
                <c:pt idx="8322">
                  <c:v>-4.9205890799109232E-2</c:v>
                </c:pt>
                <c:pt idx="8323">
                  <c:v>3.0671926374880145E-5</c:v>
                </c:pt>
                <c:pt idx="8324">
                  <c:v>4.5110432426637141E-2</c:v>
                </c:pt>
                <c:pt idx="8325">
                  <c:v>-4.6077099809453022E-3</c:v>
                </c:pt>
                <c:pt idx="8326">
                  <c:v>-1.9882762278578413E-3</c:v>
                </c:pt>
                <c:pt idx="8327">
                  <c:v>2.7008182776051461E-2</c:v>
                </c:pt>
                <c:pt idx="8328">
                  <c:v>-5.1365737366924832E-2</c:v>
                </c:pt>
                <c:pt idx="8329">
                  <c:v>2.1083154439587401E-2</c:v>
                </c:pt>
                <c:pt idx="8330">
                  <c:v>-2.0678897440517235E-2</c:v>
                </c:pt>
                <c:pt idx="8331">
                  <c:v>-2.3762756099594347E-3</c:v>
                </c:pt>
                <c:pt idx="8332">
                  <c:v>-1.3365506617779533E-3</c:v>
                </c:pt>
                <c:pt idx="8333">
                  <c:v>-3.6521732662750814E-2</c:v>
                </c:pt>
                <c:pt idx="8334">
                  <c:v>5.2058660851685666E-3</c:v>
                </c:pt>
                <c:pt idx="8335">
                  <c:v>7.803978170622115E-3</c:v>
                </c:pt>
                <c:pt idx="8336">
                  <c:v>2.2428380486964439E-2</c:v>
                </c:pt>
                <c:pt idx="8337">
                  <c:v>6.8459397190488939E-3</c:v>
                </c:pt>
                <c:pt idx="8338">
                  <c:v>-4.3932390495703487E-2</c:v>
                </c:pt>
                <c:pt idx="8339">
                  <c:v>-1.8650226057963088E-2</c:v>
                </c:pt>
                <c:pt idx="8340">
                  <c:v>8.8438288550141721E-3</c:v>
                </c:pt>
                <c:pt idx="8341">
                  <c:v>2.097265406209972E-3</c:v>
                </c:pt>
                <c:pt idx="8342">
                  <c:v>-1.0904775039810447E-4</c:v>
                </c:pt>
                <c:pt idx="8343">
                  <c:v>-2.4435126903190926E-2</c:v>
                </c:pt>
                <c:pt idx="8344">
                  <c:v>1.9831502512461959E-2</c:v>
                </c:pt>
                <c:pt idx="8345">
                  <c:v>4.5122331694418677E-2</c:v>
                </c:pt>
                <c:pt idx="8346">
                  <c:v>-2.5301914599569344E-2</c:v>
                </c:pt>
                <c:pt idx="8347">
                  <c:v>-3.364099296677654E-3</c:v>
                </c:pt>
                <c:pt idx="8348">
                  <c:v>-1.4725278600185602E-2</c:v>
                </c:pt>
                <c:pt idx="8349">
                  <c:v>-2.8034613704909159E-2</c:v>
                </c:pt>
                <c:pt idx="8350">
                  <c:v>6.8306337749448973E-3</c:v>
                </c:pt>
                <c:pt idx="8351">
                  <c:v>2.2159911681644785E-3</c:v>
                </c:pt>
                <c:pt idx="8352">
                  <c:v>1.3342756049660388E-2</c:v>
                </c:pt>
                <c:pt idx="8353">
                  <c:v>5.7378789459089148E-2</c:v>
                </c:pt>
                <c:pt idx="8354">
                  <c:v>6.1533424295889139E-3</c:v>
                </c:pt>
                <c:pt idx="8355">
                  <c:v>-5.0586682102878436E-2</c:v>
                </c:pt>
                <c:pt idx="8356">
                  <c:v>1.3104235976606844E-3</c:v>
                </c:pt>
                <c:pt idx="8357">
                  <c:v>-3.9719956055255211E-3</c:v>
                </c:pt>
                <c:pt idx="8358">
                  <c:v>3.5514117541862607E-3</c:v>
                </c:pt>
                <c:pt idx="8359">
                  <c:v>3.0387208868641817E-2</c:v>
                </c:pt>
                <c:pt idx="8360">
                  <c:v>-2.5298763868006197E-3</c:v>
                </c:pt>
                <c:pt idx="8361">
                  <c:v>-5.9330383166447336E-2</c:v>
                </c:pt>
                <c:pt idx="8362">
                  <c:v>2.5677359810999303E-2</c:v>
                </c:pt>
                <c:pt idx="8363">
                  <c:v>-1.0850009688995811E-2</c:v>
                </c:pt>
                <c:pt idx="8364">
                  <c:v>1.03765970283039E-2</c:v>
                </c:pt>
                <c:pt idx="8365">
                  <c:v>3.105910653464156E-2</c:v>
                </c:pt>
                <c:pt idx="8366">
                  <c:v>1.9554233387951384E-2</c:v>
                </c:pt>
                <c:pt idx="8367">
                  <c:v>3.481314648538518E-2</c:v>
                </c:pt>
                <c:pt idx="8368">
                  <c:v>-2.2968404861546853E-2</c:v>
                </c:pt>
                <c:pt idx="8369">
                  <c:v>5.1775224314920074E-3</c:v>
                </c:pt>
                <c:pt idx="8370">
                  <c:v>-2.5048751223426324E-2</c:v>
                </c:pt>
                <c:pt idx="8371">
                  <c:v>2.9204475780426277E-3</c:v>
                </c:pt>
                <c:pt idx="8372">
                  <c:v>-2.0063072590200157E-2</c:v>
                </c:pt>
                <c:pt idx="8373">
                  <c:v>5.9638663146738356E-3</c:v>
                </c:pt>
                <c:pt idx="8374">
                  <c:v>-1.4083804483484752E-2</c:v>
                </c:pt>
                <c:pt idx="8375">
                  <c:v>3.4545229214240351E-2</c:v>
                </c:pt>
                <c:pt idx="8376">
                  <c:v>-9.7244785385531256E-3</c:v>
                </c:pt>
                <c:pt idx="8377">
                  <c:v>1.0783385260024108E-2</c:v>
                </c:pt>
                <c:pt idx="8378">
                  <c:v>2.9702778014252952E-2</c:v>
                </c:pt>
                <c:pt idx="8379">
                  <c:v>-1.9801539539659761E-2</c:v>
                </c:pt>
                <c:pt idx="8380">
                  <c:v>2.2591346745994348E-3</c:v>
                </c:pt>
                <c:pt idx="8381">
                  <c:v>4.6989864156137838E-2</c:v>
                </c:pt>
                <c:pt idx="8382">
                  <c:v>1.443042554393349E-2</c:v>
                </c:pt>
                <c:pt idx="8383">
                  <c:v>-1.9151837842638207E-2</c:v>
                </c:pt>
                <c:pt idx="8384">
                  <c:v>2.8021906325904431E-3</c:v>
                </c:pt>
                <c:pt idx="8385">
                  <c:v>2.8830027088447088E-2</c:v>
                </c:pt>
                <c:pt idx="8386">
                  <c:v>1.4661238760760958E-2</c:v>
                </c:pt>
                <c:pt idx="8387">
                  <c:v>1.0247866474407072E-2</c:v>
                </c:pt>
                <c:pt idx="8388">
                  <c:v>5.0978056096069452E-3</c:v>
                </c:pt>
                <c:pt idx="8389">
                  <c:v>1.4289275091252161E-2</c:v>
                </c:pt>
                <c:pt idx="8390">
                  <c:v>-4.0570473865910103E-3</c:v>
                </c:pt>
                <c:pt idx="8391">
                  <c:v>2.6134064265189168E-2</c:v>
                </c:pt>
                <c:pt idx="8392">
                  <c:v>1.967061219148733E-2</c:v>
                </c:pt>
                <c:pt idx="8393">
                  <c:v>2.2684815422089402E-2</c:v>
                </c:pt>
                <c:pt idx="8394">
                  <c:v>2.0954565803414201E-2</c:v>
                </c:pt>
                <c:pt idx="8395">
                  <c:v>-3.1470543976851617E-2</c:v>
                </c:pt>
                <c:pt idx="8396">
                  <c:v>2.5476911611437929E-2</c:v>
                </c:pt>
                <c:pt idx="8397">
                  <c:v>1.5383208454211905E-2</c:v>
                </c:pt>
                <c:pt idx="8398">
                  <c:v>5.7275755210631067E-4</c:v>
                </c:pt>
                <c:pt idx="8399">
                  <c:v>-2.0513057127170487E-2</c:v>
                </c:pt>
                <c:pt idx="8400">
                  <c:v>8.4281205623340982E-4</c:v>
                </c:pt>
                <c:pt idx="8401">
                  <c:v>6.1486865128250204E-2</c:v>
                </c:pt>
                <c:pt idx="8402">
                  <c:v>-5.6526788755110798E-3</c:v>
                </c:pt>
                <c:pt idx="8403">
                  <c:v>-1.6202732938747692E-2</c:v>
                </c:pt>
                <c:pt idx="8404">
                  <c:v>1.378011173868918E-2</c:v>
                </c:pt>
                <c:pt idx="8405">
                  <c:v>-1.7889262050244128E-2</c:v>
                </c:pt>
                <c:pt idx="8406">
                  <c:v>-9.5766677400375595E-3</c:v>
                </c:pt>
                <c:pt idx="8407">
                  <c:v>-3.1414921234588424E-2</c:v>
                </c:pt>
                <c:pt idx="8408">
                  <c:v>1.2017495783749171E-2</c:v>
                </c:pt>
                <c:pt idx="8409">
                  <c:v>2.807618400288741E-2</c:v>
                </c:pt>
                <c:pt idx="8410">
                  <c:v>-1.7836644640675546E-2</c:v>
                </c:pt>
                <c:pt idx="8411">
                  <c:v>4.0158844433272056E-2</c:v>
                </c:pt>
                <c:pt idx="8412">
                  <c:v>2.0944220161086439E-2</c:v>
                </c:pt>
                <c:pt idx="8413">
                  <c:v>-1.1542506728636122E-4</c:v>
                </c:pt>
                <c:pt idx="8414">
                  <c:v>4.1820042249922675E-2</c:v>
                </c:pt>
                <c:pt idx="8415">
                  <c:v>-2.0696902123764067E-3</c:v>
                </c:pt>
                <c:pt idx="8416">
                  <c:v>2.3583950871546938E-2</c:v>
                </c:pt>
                <c:pt idx="8417">
                  <c:v>-2.3853770305812542E-2</c:v>
                </c:pt>
                <c:pt idx="8418">
                  <c:v>-4.778473677376301E-3</c:v>
                </c:pt>
                <c:pt idx="8419">
                  <c:v>2.7463795556167708E-2</c:v>
                </c:pt>
                <c:pt idx="8420">
                  <c:v>-1.9595364072566772E-3</c:v>
                </c:pt>
                <c:pt idx="8421">
                  <c:v>-4.9766921312474292E-3</c:v>
                </c:pt>
                <c:pt idx="8422">
                  <c:v>2.8851361705527427E-2</c:v>
                </c:pt>
                <c:pt idx="8423">
                  <c:v>1.0707652068995582E-2</c:v>
                </c:pt>
                <c:pt idx="8424">
                  <c:v>-5.189814496729811E-2</c:v>
                </c:pt>
                <c:pt idx="8425">
                  <c:v>4.8935932282578302E-2</c:v>
                </c:pt>
                <c:pt idx="8426">
                  <c:v>4.8765828308112557E-3</c:v>
                </c:pt>
                <c:pt idx="8427">
                  <c:v>-1.2478245287716272E-2</c:v>
                </c:pt>
                <c:pt idx="8428">
                  <c:v>-2.7666538515831743E-2</c:v>
                </c:pt>
                <c:pt idx="8429">
                  <c:v>4.2273519631610627E-2</c:v>
                </c:pt>
                <c:pt idx="8430">
                  <c:v>-2.1016275829769931E-2</c:v>
                </c:pt>
                <c:pt idx="8431">
                  <c:v>4.4081360366538761E-3</c:v>
                </c:pt>
                <c:pt idx="8432">
                  <c:v>-2.2386755898262993E-2</c:v>
                </c:pt>
                <c:pt idx="8433">
                  <c:v>-3.8256389726255995E-2</c:v>
                </c:pt>
                <c:pt idx="8434">
                  <c:v>1.9232771697995449E-2</c:v>
                </c:pt>
                <c:pt idx="8435">
                  <c:v>1.2926476941027987E-2</c:v>
                </c:pt>
                <c:pt idx="8436">
                  <c:v>1.3754182488078281E-2</c:v>
                </c:pt>
                <c:pt idx="8437">
                  <c:v>-5.659268545862961E-3</c:v>
                </c:pt>
                <c:pt idx="8438">
                  <c:v>1.075480232039148E-2</c:v>
                </c:pt>
                <c:pt idx="8439">
                  <c:v>-3.5335507545214966E-2</c:v>
                </c:pt>
                <c:pt idx="8440">
                  <c:v>2.5677965149807206E-3</c:v>
                </c:pt>
                <c:pt idx="8441">
                  <c:v>2.2323484773563915E-2</c:v>
                </c:pt>
                <c:pt idx="8442">
                  <c:v>-7.4585898176831901E-3</c:v>
                </c:pt>
                <c:pt idx="8443">
                  <c:v>-9.1750011523118952E-4</c:v>
                </c:pt>
                <c:pt idx="8444">
                  <c:v>3.6901317757136093E-2</c:v>
                </c:pt>
                <c:pt idx="8445">
                  <c:v>-3.119159434740287E-2</c:v>
                </c:pt>
                <c:pt idx="8446">
                  <c:v>3.3866023750117866E-2</c:v>
                </c:pt>
                <c:pt idx="8447">
                  <c:v>7.3742386326797783E-3</c:v>
                </c:pt>
                <c:pt idx="8448">
                  <c:v>2.5096067422508871E-2</c:v>
                </c:pt>
                <c:pt idx="8449">
                  <c:v>-1.6009671364845351E-3</c:v>
                </c:pt>
                <c:pt idx="8450">
                  <c:v>4.1079000936100923E-2</c:v>
                </c:pt>
                <c:pt idx="8451">
                  <c:v>2.3458492316974274E-2</c:v>
                </c:pt>
                <c:pt idx="8452">
                  <c:v>-1.7029701864802883E-2</c:v>
                </c:pt>
                <c:pt idx="8453">
                  <c:v>-1.2479045604162707E-2</c:v>
                </c:pt>
                <c:pt idx="8454">
                  <c:v>4.0459167683696326E-2</c:v>
                </c:pt>
                <c:pt idx="8455">
                  <c:v>-3.6781264038146272E-2</c:v>
                </c:pt>
                <c:pt idx="8456">
                  <c:v>2.9994953605559684E-3</c:v>
                </c:pt>
                <c:pt idx="8457">
                  <c:v>-4.3125745904246853E-4</c:v>
                </c:pt>
                <c:pt idx="8458">
                  <c:v>-1.9873865193154823E-2</c:v>
                </c:pt>
                <c:pt idx="8459">
                  <c:v>-3.8745223259905752E-2</c:v>
                </c:pt>
                <c:pt idx="8460">
                  <c:v>-4.9373731754030967E-2</c:v>
                </c:pt>
                <c:pt idx="8461">
                  <c:v>-1.2610971414778956E-2</c:v>
                </c:pt>
                <c:pt idx="8462">
                  <c:v>-1.2097815478202376E-3</c:v>
                </c:pt>
                <c:pt idx="8463">
                  <c:v>2.251038272142792E-2</c:v>
                </c:pt>
                <c:pt idx="8464">
                  <c:v>-4.2432458793184573E-2</c:v>
                </c:pt>
                <c:pt idx="8465">
                  <c:v>-2.1442482989596612E-2</c:v>
                </c:pt>
                <c:pt idx="8466">
                  <c:v>1.1021963036974008E-2</c:v>
                </c:pt>
                <c:pt idx="8467">
                  <c:v>-1.4814361820142136E-2</c:v>
                </c:pt>
                <c:pt idx="8468">
                  <c:v>2.3775327863545422E-2</c:v>
                </c:pt>
                <c:pt idx="8469">
                  <c:v>-2.9331221234228808E-2</c:v>
                </c:pt>
                <c:pt idx="8470">
                  <c:v>-5.2291164400721252E-3</c:v>
                </c:pt>
                <c:pt idx="8471">
                  <c:v>4.080198598395212E-2</c:v>
                </c:pt>
                <c:pt idx="8472">
                  <c:v>2.6772576645467779E-2</c:v>
                </c:pt>
                <c:pt idx="8473">
                  <c:v>3.602956121339701E-2</c:v>
                </c:pt>
                <c:pt idx="8474">
                  <c:v>1.4182162707947021E-3</c:v>
                </c:pt>
                <c:pt idx="8475">
                  <c:v>1.1560862975429836E-2</c:v>
                </c:pt>
                <c:pt idx="8476">
                  <c:v>-2.7082036326455401E-2</c:v>
                </c:pt>
                <c:pt idx="8477">
                  <c:v>3.8927907934627477E-2</c:v>
                </c:pt>
                <c:pt idx="8478">
                  <c:v>-4.0729927600745286E-2</c:v>
                </c:pt>
                <c:pt idx="8479">
                  <c:v>3.9069521275679094E-2</c:v>
                </c:pt>
                <c:pt idx="8480">
                  <c:v>1.3292575774999702E-2</c:v>
                </c:pt>
                <c:pt idx="8481">
                  <c:v>-3.6234646913075728E-2</c:v>
                </c:pt>
                <c:pt idx="8482">
                  <c:v>-1.4060125059457586E-2</c:v>
                </c:pt>
                <c:pt idx="8483">
                  <c:v>2.7557617579992186E-2</c:v>
                </c:pt>
                <c:pt idx="8484">
                  <c:v>5.7359748087301224E-2</c:v>
                </c:pt>
                <c:pt idx="8485">
                  <c:v>5.3637077231585138E-2</c:v>
                </c:pt>
                <c:pt idx="8486">
                  <c:v>1.1613899511459615E-2</c:v>
                </c:pt>
                <c:pt idx="8487">
                  <c:v>-9.4467063235314608E-4</c:v>
                </c:pt>
                <c:pt idx="8488">
                  <c:v>-3.0228609592783805E-2</c:v>
                </c:pt>
                <c:pt idx="8489">
                  <c:v>-1.0243307868103276E-3</c:v>
                </c:pt>
                <c:pt idx="8490">
                  <c:v>3.3303311645650403E-2</c:v>
                </c:pt>
                <c:pt idx="8491">
                  <c:v>5.8472301488013863E-3</c:v>
                </c:pt>
                <c:pt idx="8492">
                  <c:v>-1.4742344161690936E-3</c:v>
                </c:pt>
                <c:pt idx="8493">
                  <c:v>3.9704512823223424E-3</c:v>
                </c:pt>
                <c:pt idx="8494">
                  <c:v>-1.963814809059061E-3</c:v>
                </c:pt>
                <c:pt idx="8495">
                  <c:v>-7.9836495956649312E-3</c:v>
                </c:pt>
                <c:pt idx="8496">
                  <c:v>3.8309290374059415E-3</c:v>
                </c:pt>
                <c:pt idx="8497">
                  <c:v>1.2393102628090376E-2</c:v>
                </c:pt>
                <c:pt idx="8498">
                  <c:v>1.1535920307803005E-2</c:v>
                </c:pt>
                <c:pt idx="8499">
                  <c:v>-1.4874933226639648E-2</c:v>
                </c:pt>
                <c:pt idx="8500">
                  <c:v>3.3344835944910271E-2</c:v>
                </c:pt>
                <c:pt idx="8501">
                  <c:v>-3.0058880097712872E-2</c:v>
                </c:pt>
                <c:pt idx="8502">
                  <c:v>2.2906606576784803E-2</c:v>
                </c:pt>
                <c:pt idx="8503">
                  <c:v>-5.2472222223293397E-2</c:v>
                </c:pt>
                <c:pt idx="8504">
                  <c:v>2.8209371786131497E-2</c:v>
                </c:pt>
                <c:pt idx="8505">
                  <c:v>2.230605001493002E-2</c:v>
                </c:pt>
                <c:pt idx="8506">
                  <c:v>1.851052202443056E-2</c:v>
                </c:pt>
                <c:pt idx="8507">
                  <c:v>1.3645854659509881E-2</c:v>
                </c:pt>
                <c:pt idx="8508">
                  <c:v>-1.6495448516671445E-2</c:v>
                </c:pt>
                <c:pt idx="8509">
                  <c:v>-2.7524548651906382E-2</c:v>
                </c:pt>
                <c:pt idx="8510">
                  <c:v>1.3010316463763147E-2</c:v>
                </c:pt>
                <c:pt idx="8511">
                  <c:v>-1.080466468196771E-2</c:v>
                </c:pt>
                <c:pt idx="8512">
                  <c:v>-3.669835235766656E-2</c:v>
                </c:pt>
                <c:pt idx="8513">
                  <c:v>1.3762855339529297E-3</c:v>
                </c:pt>
                <c:pt idx="8514">
                  <c:v>2.4095382247605164E-2</c:v>
                </c:pt>
                <c:pt idx="8515">
                  <c:v>1.2713607182656402E-2</c:v>
                </c:pt>
                <c:pt idx="8516">
                  <c:v>2.2142500094208997E-2</c:v>
                </c:pt>
                <c:pt idx="8517">
                  <c:v>7.6855072430750682E-3</c:v>
                </c:pt>
                <c:pt idx="8518">
                  <c:v>9.3230312500137795E-3</c:v>
                </c:pt>
                <c:pt idx="8519">
                  <c:v>7.9420279422792259E-3</c:v>
                </c:pt>
                <c:pt idx="8520">
                  <c:v>-5.3971089378474866E-3</c:v>
                </c:pt>
                <c:pt idx="8521">
                  <c:v>1.6602760457559519E-2</c:v>
                </c:pt>
                <c:pt idx="8522">
                  <c:v>2.691448213657141E-2</c:v>
                </c:pt>
                <c:pt idx="8523">
                  <c:v>6.8060427342928331E-2</c:v>
                </c:pt>
                <c:pt idx="8524">
                  <c:v>1.1523366844080504E-2</c:v>
                </c:pt>
                <c:pt idx="8525">
                  <c:v>2.5219186529489086E-2</c:v>
                </c:pt>
                <c:pt idx="8526">
                  <c:v>-2.2462855900064679E-2</c:v>
                </c:pt>
                <c:pt idx="8527">
                  <c:v>-3.19851134935622E-3</c:v>
                </c:pt>
                <c:pt idx="8528">
                  <c:v>-1.6334632118647212E-2</c:v>
                </c:pt>
                <c:pt idx="8529">
                  <c:v>1.4208296272656119E-2</c:v>
                </c:pt>
                <c:pt idx="8530">
                  <c:v>2.6949115500428156E-2</c:v>
                </c:pt>
                <c:pt idx="8531">
                  <c:v>-1.8045856897471905E-2</c:v>
                </c:pt>
                <c:pt idx="8532">
                  <c:v>-1.8296697135520575E-2</c:v>
                </c:pt>
                <c:pt idx="8533">
                  <c:v>-4.5028163624743558E-3</c:v>
                </c:pt>
                <c:pt idx="8534">
                  <c:v>-4.5285821054629038E-3</c:v>
                </c:pt>
                <c:pt idx="8535">
                  <c:v>-1.0213598335088666E-2</c:v>
                </c:pt>
                <c:pt idx="8536">
                  <c:v>1.1002657607838372E-2</c:v>
                </c:pt>
                <c:pt idx="8537">
                  <c:v>7.6259789784761294E-4</c:v>
                </c:pt>
                <c:pt idx="8538">
                  <c:v>1.864014243777723E-2</c:v>
                </c:pt>
                <c:pt idx="8539">
                  <c:v>1.8475372699277358E-3</c:v>
                </c:pt>
                <c:pt idx="8540">
                  <c:v>-5.0769520609412082E-2</c:v>
                </c:pt>
                <c:pt idx="8541">
                  <c:v>-2.8791191195442125E-2</c:v>
                </c:pt>
                <c:pt idx="8542">
                  <c:v>2.5142331317219976E-2</c:v>
                </c:pt>
                <c:pt idx="8543">
                  <c:v>1.3619939288870783E-2</c:v>
                </c:pt>
                <c:pt idx="8544">
                  <c:v>2.1990554649487862E-2</c:v>
                </c:pt>
                <c:pt idx="8545">
                  <c:v>2.8070096664744613E-2</c:v>
                </c:pt>
                <c:pt idx="8546">
                  <c:v>-1.8537061297706638E-2</c:v>
                </c:pt>
                <c:pt idx="8547">
                  <c:v>-1.7039083814585496E-2</c:v>
                </c:pt>
                <c:pt idx="8548">
                  <c:v>-1.5354683989623179E-3</c:v>
                </c:pt>
                <c:pt idx="8549">
                  <c:v>2.7217690098791505E-2</c:v>
                </c:pt>
                <c:pt idx="8550">
                  <c:v>5.5116960558733181E-3</c:v>
                </c:pt>
                <c:pt idx="8551">
                  <c:v>-2.587009177452855E-2</c:v>
                </c:pt>
                <c:pt idx="8552">
                  <c:v>4.4887674876408303E-2</c:v>
                </c:pt>
                <c:pt idx="8553">
                  <c:v>5.2105042522544182E-3</c:v>
                </c:pt>
                <c:pt idx="8554">
                  <c:v>-1.0282074554759201E-2</c:v>
                </c:pt>
                <c:pt idx="8555">
                  <c:v>2.3161461124893189E-3</c:v>
                </c:pt>
                <c:pt idx="8556">
                  <c:v>1.4303256316612964E-2</c:v>
                </c:pt>
                <c:pt idx="8557">
                  <c:v>-2.2351928787751928E-3</c:v>
                </c:pt>
                <c:pt idx="8558">
                  <c:v>-1.4696142066270646E-2</c:v>
                </c:pt>
                <c:pt idx="8559">
                  <c:v>-4.4663748799014316E-3</c:v>
                </c:pt>
                <c:pt idx="8560">
                  <c:v>7.4959021273748264E-3</c:v>
                </c:pt>
                <c:pt idx="8561">
                  <c:v>-3.4198398422957112E-2</c:v>
                </c:pt>
                <c:pt idx="8562">
                  <c:v>-2.2897049791609517E-2</c:v>
                </c:pt>
                <c:pt idx="8563">
                  <c:v>3.8602235940439121E-2</c:v>
                </c:pt>
                <c:pt idx="8564">
                  <c:v>-4.0060788201774472E-2</c:v>
                </c:pt>
                <c:pt idx="8565">
                  <c:v>-4.1262987813717542E-3</c:v>
                </c:pt>
                <c:pt idx="8566">
                  <c:v>-1.5858671531630914E-2</c:v>
                </c:pt>
                <c:pt idx="8567">
                  <c:v>1.5209711780745825E-3</c:v>
                </c:pt>
                <c:pt idx="8568">
                  <c:v>3.100955682970595E-2</c:v>
                </c:pt>
                <c:pt idx="8569">
                  <c:v>6.8150854813224769E-3</c:v>
                </c:pt>
                <c:pt idx="8570">
                  <c:v>-2.8022855728658681E-2</c:v>
                </c:pt>
                <c:pt idx="8571">
                  <c:v>7.2201565258808217E-3</c:v>
                </c:pt>
                <c:pt idx="8572">
                  <c:v>-2.0246235040226299E-2</c:v>
                </c:pt>
                <c:pt idx="8573">
                  <c:v>-3.1105397889207607E-2</c:v>
                </c:pt>
                <c:pt idx="8574">
                  <c:v>3.8772324476459084E-2</c:v>
                </c:pt>
                <c:pt idx="8575">
                  <c:v>4.0676913492518431E-2</c:v>
                </c:pt>
                <c:pt idx="8576">
                  <c:v>-2.9231338748614888E-2</c:v>
                </c:pt>
                <c:pt idx="8577">
                  <c:v>-3.2629127186917725E-2</c:v>
                </c:pt>
                <c:pt idx="8578">
                  <c:v>-2.3605312886888455E-2</c:v>
                </c:pt>
                <c:pt idx="8579">
                  <c:v>2.2901867692258996E-2</c:v>
                </c:pt>
                <c:pt idx="8580">
                  <c:v>1.2515914845592982E-2</c:v>
                </c:pt>
                <c:pt idx="8581">
                  <c:v>-2.8449732359747869E-2</c:v>
                </c:pt>
                <c:pt idx="8582">
                  <c:v>1.0400784581213525E-3</c:v>
                </c:pt>
                <c:pt idx="8583">
                  <c:v>2.1607154566682524E-2</c:v>
                </c:pt>
                <c:pt idx="8584">
                  <c:v>-2.6731379268209499E-2</c:v>
                </c:pt>
                <c:pt idx="8585">
                  <c:v>1.0341001413841554E-2</c:v>
                </c:pt>
                <c:pt idx="8586">
                  <c:v>2.5779151486419473E-3</c:v>
                </c:pt>
                <c:pt idx="8587">
                  <c:v>1.2087147931976397E-2</c:v>
                </c:pt>
                <c:pt idx="8588">
                  <c:v>1.0579794695379178E-2</c:v>
                </c:pt>
                <c:pt idx="8589">
                  <c:v>9.6824585165257004E-3</c:v>
                </c:pt>
                <c:pt idx="8590">
                  <c:v>9.4489373508574708E-3</c:v>
                </c:pt>
                <c:pt idx="8591">
                  <c:v>3.625136718183123E-2</c:v>
                </c:pt>
                <c:pt idx="8592">
                  <c:v>2.4999816531541378E-2</c:v>
                </c:pt>
                <c:pt idx="8593">
                  <c:v>8.3777876837482276E-3</c:v>
                </c:pt>
                <c:pt idx="8594">
                  <c:v>-1.8002002414990212E-2</c:v>
                </c:pt>
                <c:pt idx="8595">
                  <c:v>-1.4960920729406187E-2</c:v>
                </c:pt>
                <c:pt idx="8596">
                  <c:v>8.8755422916622986E-3</c:v>
                </c:pt>
                <c:pt idx="8597">
                  <c:v>-1.417844418894466E-2</c:v>
                </c:pt>
                <c:pt idx="8598">
                  <c:v>9.8297687427299557E-4</c:v>
                </c:pt>
                <c:pt idx="8599">
                  <c:v>2.5676438332958174E-3</c:v>
                </c:pt>
                <c:pt idx="8600">
                  <c:v>-1.0792259362869313E-3</c:v>
                </c:pt>
                <c:pt idx="8601">
                  <c:v>1.9381265999033899E-2</c:v>
                </c:pt>
                <c:pt idx="8602">
                  <c:v>-1.91213547470124E-2</c:v>
                </c:pt>
                <c:pt idx="8603">
                  <c:v>-6.3780551172633565E-2</c:v>
                </c:pt>
                <c:pt idx="8604">
                  <c:v>-9.6432416939686138E-3</c:v>
                </c:pt>
                <c:pt idx="8605">
                  <c:v>2.5340637365929265E-2</c:v>
                </c:pt>
                <c:pt idx="8606">
                  <c:v>2.0264779257270389E-2</c:v>
                </c:pt>
                <c:pt idx="8607">
                  <c:v>-3.3241310018475843E-3</c:v>
                </c:pt>
                <c:pt idx="8608">
                  <c:v>1.9534458145258463E-2</c:v>
                </c:pt>
                <c:pt idx="8609">
                  <c:v>-3.5516650236804025E-2</c:v>
                </c:pt>
                <c:pt idx="8610">
                  <c:v>-4.8271875067883135E-2</c:v>
                </c:pt>
                <c:pt idx="8611">
                  <c:v>-2.2922413228882471E-2</c:v>
                </c:pt>
                <c:pt idx="8612">
                  <c:v>-1.467405085069202E-2</c:v>
                </c:pt>
                <c:pt idx="8613">
                  <c:v>-3.6869325394778686E-3</c:v>
                </c:pt>
                <c:pt idx="8614">
                  <c:v>-3.3788035706608592E-2</c:v>
                </c:pt>
                <c:pt idx="8615">
                  <c:v>2.9391483688605145E-2</c:v>
                </c:pt>
                <c:pt idx="8616">
                  <c:v>-6.5217684913329022E-2</c:v>
                </c:pt>
                <c:pt idx="8617">
                  <c:v>5.1482428219365717E-3</c:v>
                </c:pt>
                <c:pt idx="8618">
                  <c:v>-8.781790232298416E-3</c:v>
                </c:pt>
                <c:pt idx="8619">
                  <c:v>9.6533183826936157E-3</c:v>
                </c:pt>
                <c:pt idx="8620">
                  <c:v>-1.0732317425839031E-2</c:v>
                </c:pt>
                <c:pt idx="8621">
                  <c:v>-3.8430024813616852E-3</c:v>
                </c:pt>
                <c:pt idx="8622">
                  <c:v>5.314651774487206E-4</c:v>
                </c:pt>
                <c:pt idx="8623">
                  <c:v>1.1774026213442375E-2</c:v>
                </c:pt>
                <c:pt idx="8624">
                  <c:v>-1.5000586240729436E-2</c:v>
                </c:pt>
                <c:pt idx="8625">
                  <c:v>1.0848148023292989E-2</c:v>
                </c:pt>
                <c:pt idx="8626">
                  <c:v>8.8184870038259481E-3</c:v>
                </c:pt>
                <c:pt idx="8627">
                  <c:v>4.9433597572330935E-3</c:v>
                </c:pt>
                <c:pt idx="8628">
                  <c:v>-5.8520766929323013E-3</c:v>
                </c:pt>
                <c:pt idx="8629">
                  <c:v>-2.126774939594479E-2</c:v>
                </c:pt>
                <c:pt idx="8630">
                  <c:v>2.3675022276668192E-2</c:v>
                </c:pt>
                <c:pt idx="8631">
                  <c:v>-3.7293432395565977E-2</c:v>
                </c:pt>
                <c:pt idx="8632">
                  <c:v>2.9204927105608666E-2</c:v>
                </c:pt>
                <c:pt idx="8633">
                  <c:v>3.8247652600558617E-2</c:v>
                </c:pt>
                <c:pt idx="8634">
                  <c:v>-1.3148543327152045E-2</c:v>
                </c:pt>
                <c:pt idx="8635">
                  <c:v>2.4852719008260526E-2</c:v>
                </c:pt>
                <c:pt idx="8636">
                  <c:v>1.7585500359860163E-2</c:v>
                </c:pt>
                <c:pt idx="8637">
                  <c:v>1.2929827780882696E-3</c:v>
                </c:pt>
                <c:pt idx="8638">
                  <c:v>-1.5170996871234407E-3</c:v>
                </c:pt>
                <c:pt idx="8639">
                  <c:v>1.1302889929780511E-2</c:v>
                </c:pt>
                <c:pt idx="8640">
                  <c:v>2.6484902176362235E-2</c:v>
                </c:pt>
                <c:pt idx="8641">
                  <c:v>2.8164810286941212E-2</c:v>
                </c:pt>
                <c:pt idx="8642">
                  <c:v>-1.8959299857248143E-2</c:v>
                </c:pt>
                <c:pt idx="8643">
                  <c:v>9.7227415256852055E-3</c:v>
                </c:pt>
                <c:pt idx="8644">
                  <c:v>1.591887103928499E-2</c:v>
                </c:pt>
                <c:pt idx="8645">
                  <c:v>3.7088626665262692E-2</c:v>
                </c:pt>
                <c:pt idx="8646">
                  <c:v>1.187576770169667E-2</c:v>
                </c:pt>
                <c:pt idx="8647">
                  <c:v>1.6621445364726182E-2</c:v>
                </c:pt>
                <c:pt idx="8648">
                  <c:v>1.3966120925616584E-2</c:v>
                </c:pt>
                <c:pt idx="8649">
                  <c:v>5.519221250546864E-3</c:v>
                </c:pt>
                <c:pt idx="8650">
                  <c:v>2.4712062742192828E-2</c:v>
                </c:pt>
                <c:pt idx="8651">
                  <c:v>-2.0389867079686499E-2</c:v>
                </c:pt>
                <c:pt idx="8652">
                  <c:v>-2.6872045828858646E-2</c:v>
                </c:pt>
                <c:pt idx="8653">
                  <c:v>-8.0357061021412452E-3</c:v>
                </c:pt>
                <c:pt idx="8654">
                  <c:v>1.402958096668047E-2</c:v>
                </c:pt>
                <c:pt idx="8655">
                  <c:v>3.6649032234657812E-2</c:v>
                </c:pt>
                <c:pt idx="8656">
                  <c:v>-2.6808072660919565E-3</c:v>
                </c:pt>
                <c:pt idx="8657">
                  <c:v>2.2228401779023341E-2</c:v>
                </c:pt>
                <c:pt idx="8658">
                  <c:v>-3.2777527723812178E-2</c:v>
                </c:pt>
                <c:pt idx="8659">
                  <c:v>4.2582865347539522E-2</c:v>
                </c:pt>
                <c:pt idx="8660">
                  <c:v>-4.1351937185605207E-3</c:v>
                </c:pt>
                <c:pt idx="8661">
                  <c:v>4.0767187765789699E-2</c:v>
                </c:pt>
                <c:pt idx="8662">
                  <c:v>2.4498986715098859E-2</c:v>
                </c:pt>
                <c:pt idx="8663">
                  <c:v>-8.6099279447179339E-3</c:v>
                </c:pt>
                <c:pt idx="8664">
                  <c:v>3.3364242811341017E-2</c:v>
                </c:pt>
                <c:pt idx="8665">
                  <c:v>2.9999755988278511E-2</c:v>
                </c:pt>
                <c:pt idx="8666">
                  <c:v>6.6807403894469115E-3</c:v>
                </c:pt>
                <c:pt idx="8667">
                  <c:v>-6.1817074170305089E-3</c:v>
                </c:pt>
                <c:pt idx="8668">
                  <c:v>-3.0317354742385613E-2</c:v>
                </c:pt>
                <c:pt idx="8669">
                  <c:v>-2.9650750736237696E-2</c:v>
                </c:pt>
                <c:pt idx="8670">
                  <c:v>-3.2917941408154586E-2</c:v>
                </c:pt>
                <c:pt idx="8671">
                  <c:v>-5.7618881077966724E-3</c:v>
                </c:pt>
                <c:pt idx="8672">
                  <c:v>-2.4074778867843368E-4</c:v>
                </c:pt>
                <c:pt idx="8673">
                  <c:v>1.5546958729109429E-2</c:v>
                </c:pt>
                <c:pt idx="8674">
                  <c:v>2.6551936133511252E-3</c:v>
                </c:pt>
                <c:pt idx="8675">
                  <c:v>-3.2504940372734339E-2</c:v>
                </c:pt>
                <c:pt idx="8676">
                  <c:v>9.5711503783740617E-3</c:v>
                </c:pt>
                <c:pt idx="8677">
                  <c:v>-3.4476089861226471E-3</c:v>
                </c:pt>
                <c:pt idx="8678">
                  <c:v>2.8196490746784566E-2</c:v>
                </c:pt>
                <c:pt idx="8679">
                  <c:v>-1.486354604731591E-2</c:v>
                </c:pt>
                <c:pt idx="8680">
                  <c:v>-4.9114073894348964E-2</c:v>
                </c:pt>
                <c:pt idx="8681">
                  <c:v>2.2562207616709459E-2</c:v>
                </c:pt>
                <c:pt idx="8682">
                  <c:v>-1.0274970793532049E-2</c:v>
                </c:pt>
                <c:pt idx="8683">
                  <c:v>4.032920000997791E-3</c:v>
                </c:pt>
                <c:pt idx="8684">
                  <c:v>-5.2986886961707818E-3</c:v>
                </c:pt>
                <c:pt idx="8685">
                  <c:v>1.375259429394458E-2</c:v>
                </c:pt>
                <c:pt idx="8686">
                  <c:v>-2.1625384788087773E-2</c:v>
                </c:pt>
                <c:pt idx="8687">
                  <c:v>-2.8453540670459607E-2</c:v>
                </c:pt>
                <c:pt idx="8688">
                  <c:v>2.949873880254575E-4</c:v>
                </c:pt>
                <c:pt idx="8689">
                  <c:v>3.1434932001002986E-3</c:v>
                </c:pt>
                <c:pt idx="8690">
                  <c:v>-1.1417664890687001E-2</c:v>
                </c:pt>
                <c:pt idx="8691">
                  <c:v>1.7506325716224368E-2</c:v>
                </c:pt>
                <c:pt idx="8692">
                  <c:v>-2.1139162831823061E-2</c:v>
                </c:pt>
                <c:pt idx="8693">
                  <c:v>4.4386548450237526E-2</c:v>
                </c:pt>
                <c:pt idx="8694">
                  <c:v>-1.8511138101961977E-2</c:v>
                </c:pt>
                <c:pt idx="8695">
                  <c:v>1.0589910646367532E-2</c:v>
                </c:pt>
                <c:pt idx="8696">
                  <c:v>1.22447116835927E-2</c:v>
                </c:pt>
                <c:pt idx="8697">
                  <c:v>9.2965615883825355E-3</c:v>
                </c:pt>
                <c:pt idx="8698">
                  <c:v>-2.8720346950179616E-2</c:v>
                </c:pt>
                <c:pt idx="8699">
                  <c:v>2.9649484130035323E-2</c:v>
                </c:pt>
                <c:pt idx="8700">
                  <c:v>9.1054326637827442E-3</c:v>
                </c:pt>
                <c:pt idx="8701">
                  <c:v>1.5111369771759616E-2</c:v>
                </c:pt>
                <c:pt idx="8702">
                  <c:v>-6.0282591302456209E-3</c:v>
                </c:pt>
                <c:pt idx="8703">
                  <c:v>-1.3100719836831859E-2</c:v>
                </c:pt>
                <c:pt idx="8704">
                  <c:v>6.7406906281339632E-4</c:v>
                </c:pt>
                <c:pt idx="8705">
                  <c:v>1.1255161950939336E-2</c:v>
                </c:pt>
                <c:pt idx="8706">
                  <c:v>2.8461146621937255E-3</c:v>
                </c:pt>
                <c:pt idx="8707">
                  <c:v>-4.5990805296086117E-2</c:v>
                </c:pt>
                <c:pt idx="8708">
                  <c:v>1.17943034303315E-3</c:v>
                </c:pt>
                <c:pt idx="8709">
                  <c:v>-1.2386825432283406E-2</c:v>
                </c:pt>
                <c:pt idx="8710">
                  <c:v>-6.7235238220743126E-4</c:v>
                </c:pt>
                <c:pt idx="8711">
                  <c:v>1.8154616225669825E-2</c:v>
                </c:pt>
                <c:pt idx="8712">
                  <c:v>-1.0783101344508142E-2</c:v>
                </c:pt>
                <c:pt idx="8713">
                  <c:v>3.1593510886065226E-2</c:v>
                </c:pt>
                <c:pt idx="8714">
                  <c:v>6.8450760394003288E-3</c:v>
                </c:pt>
                <c:pt idx="8715">
                  <c:v>4.5878220720390874E-3</c:v>
                </c:pt>
                <c:pt idx="8716">
                  <c:v>-1.57976422437026E-2</c:v>
                </c:pt>
                <c:pt idx="8717">
                  <c:v>-4.2487348501433833E-3</c:v>
                </c:pt>
                <c:pt idx="8718">
                  <c:v>3.173936494342772E-3</c:v>
                </c:pt>
                <c:pt idx="8719">
                  <c:v>1.881295835250266E-2</c:v>
                </c:pt>
                <c:pt idx="8720">
                  <c:v>1.4230963129912714E-3</c:v>
                </c:pt>
                <c:pt idx="8721">
                  <c:v>-3.8499413352031046E-2</c:v>
                </c:pt>
                <c:pt idx="8722">
                  <c:v>-2.5067925803566218E-2</c:v>
                </c:pt>
                <c:pt idx="8723">
                  <c:v>-5.6308470837625906E-4</c:v>
                </c:pt>
                <c:pt idx="8724">
                  <c:v>-2.6211497447452554E-2</c:v>
                </c:pt>
                <c:pt idx="8725">
                  <c:v>9.9065841779790529E-3</c:v>
                </c:pt>
                <c:pt idx="8726">
                  <c:v>9.7921435205368338E-3</c:v>
                </c:pt>
                <c:pt idx="8727">
                  <c:v>-8.3676328782179253E-3</c:v>
                </c:pt>
                <c:pt idx="8728">
                  <c:v>2.1533690505086068E-2</c:v>
                </c:pt>
                <c:pt idx="8729">
                  <c:v>-2.3710471826791223E-2</c:v>
                </c:pt>
                <c:pt idx="8730">
                  <c:v>-9.7793441266859227E-3</c:v>
                </c:pt>
                <c:pt idx="8731">
                  <c:v>-1.4958067300919083E-2</c:v>
                </c:pt>
                <c:pt idx="8732">
                  <c:v>-3.6106616898468093E-2</c:v>
                </c:pt>
                <c:pt idx="8733">
                  <c:v>1.9799105294311971E-2</c:v>
                </c:pt>
                <c:pt idx="8734">
                  <c:v>1.1972810053450498E-2</c:v>
                </c:pt>
                <c:pt idx="8735">
                  <c:v>2.3920593814399427E-2</c:v>
                </c:pt>
                <c:pt idx="8736">
                  <c:v>2.2154526643530518E-2</c:v>
                </c:pt>
                <c:pt idx="8737">
                  <c:v>3.66056852366025E-3</c:v>
                </c:pt>
                <c:pt idx="8738">
                  <c:v>8.5906435103513604E-3</c:v>
                </c:pt>
                <c:pt idx="8739">
                  <c:v>2.5609039335239475E-2</c:v>
                </c:pt>
                <c:pt idx="8740">
                  <c:v>6.4673060364925754E-3</c:v>
                </c:pt>
                <c:pt idx="8741">
                  <c:v>-1.6129225136811854E-2</c:v>
                </c:pt>
                <c:pt idx="8742">
                  <c:v>3.1780924238519824E-2</c:v>
                </c:pt>
                <c:pt idx="8743">
                  <c:v>4.4079107912698527E-2</c:v>
                </c:pt>
                <c:pt idx="8744">
                  <c:v>-2.8877454717826215E-2</c:v>
                </c:pt>
                <c:pt idx="8745">
                  <c:v>1.3146614613246782E-2</c:v>
                </c:pt>
                <c:pt idx="8746">
                  <c:v>-4.9318251238918351E-3</c:v>
                </c:pt>
                <c:pt idx="8747">
                  <c:v>2.31181159900621E-2</c:v>
                </c:pt>
                <c:pt idx="8748">
                  <c:v>-1.4394585457084339E-2</c:v>
                </c:pt>
                <c:pt idx="8749">
                  <c:v>1.0253295406797362E-2</c:v>
                </c:pt>
                <c:pt idx="8750">
                  <c:v>3.3934667430554452E-3</c:v>
                </c:pt>
                <c:pt idx="8751">
                  <c:v>-1.8264739514746903E-2</c:v>
                </c:pt>
                <c:pt idx="8752">
                  <c:v>2.5603305820628943E-2</c:v>
                </c:pt>
                <c:pt idx="8753">
                  <c:v>-1.4681505074182633E-4</c:v>
                </c:pt>
                <c:pt idx="8754">
                  <c:v>-4.6207146326485357E-3</c:v>
                </c:pt>
                <c:pt idx="8755">
                  <c:v>-1.3046195302892673E-2</c:v>
                </c:pt>
                <c:pt idx="8756">
                  <c:v>-1.2207725286597445E-2</c:v>
                </c:pt>
                <c:pt idx="8757">
                  <c:v>-1.1076793655946599E-2</c:v>
                </c:pt>
                <c:pt idx="8758">
                  <c:v>1.0151616510751353E-2</c:v>
                </c:pt>
                <c:pt idx="8759">
                  <c:v>2.7361515049074667E-2</c:v>
                </c:pt>
                <c:pt idx="8760">
                  <c:v>2.1867042235362948E-3</c:v>
                </c:pt>
                <c:pt idx="8761">
                  <c:v>2.7364656625005573E-2</c:v>
                </c:pt>
                <c:pt idx="8762">
                  <c:v>2.8273614142126945E-2</c:v>
                </c:pt>
                <c:pt idx="8763">
                  <c:v>9.3754366420560654E-3</c:v>
                </c:pt>
                <c:pt idx="8764">
                  <c:v>8.7869292940692453E-3</c:v>
                </c:pt>
                <c:pt idx="8765">
                  <c:v>2.3935046063202067E-2</c:v>
                </c:pt>
                <c:pt idx="8766">
                  <c:v>1.8765982003789237E-2</c:v>
                </c:pt>
                <c:pt idx="8767">
                  <c:v>-1.5728124927564775E-2</c:v>
                </c:pt>
                <c:pt idx="8768">
                  <c:v>1.8764600144416364E-2</c:v>
                </c:pt>
                <c:pt idx="8769">
                  <c:v>-6.9805811900442993E-3</c:v>
                </c:pt>
                <c:pt idx="8770">
                  <c:v>1.0138654339882501E-2</c:v>
                </c:pt>
                <c:pt idx="8771">
                  <c:v>7.6731559698750111E-3</c:v>
                </c:pt>
                <c:pt idx="8772">
                  <c:v>-4.7574663713972995E-2</c:v>
                </c:pt>
                <c:pt idx="8773">
                  <c:v>-9.588750446796664E-3</c:v>
                </c:pt>
                <c:pt idx="8774">
                  <c:v>5.2664121958222194E-3</c:v>
                </c:pt>
                <c:pt idx="8775">
                  <c:v>1.9475470862253041E-2</c:v>
                </c:pt>
                <c:pt idx="8776">
                  <c:v>8.0467405041106301E-3</c:v>
                </c:pt>
                <c:pt idx="8777">
                  <c:v>1.6881287943055386E-2</c:v>
                </c:pt>
                <c:pt idx="8778">
                  <c:v>-9.4883623448777203E-3</c:v>
                </c:pt>
                <c:pt idx="8779">
                  <c:v>-5.1009659773139128E-3</c:v>
                </c:pt>
                <c:pt idx="8780">
                  <c:v>5.4733291315091553E-2</c:v>
                </c:pt>
                <c:pt idx="8781">
                  <c:v>-1.7055061624198065E-2</c:v>
                </c:pt>
                <c:pt idx="8782">
                  <c:v>-7.9899699442959708E-3</c:v>
                </c:pt>
                <c:pt idx="8783">
                  <c:v>3.9512329902004734E-2</c:v>
                </c:pt>
                <c:pt idx="8784">
                  <c:v>-3.5091842997675052E-2</c:v>
                </c:pt>
                <c:pt idx="8785">
                  <c:v>1.7460408046251819E-2</c:v>
                </c:pt>
                <c:pt idx="8786">
                  <c:v>-1.548283324636553E-2</c:v>
                </c:pt>
                <c:pt idx="8787">
                  <c:v>-4.5445309519018488E-3</c:v>
                </c:pt>
                <c:pt idx="8788">
                  <c:v>3.7517973401384054E-2</c:v>
                </c:pt>
                <c:pt idx="8789">
                  <c:v>9.0988756733522969E-3</c:v>
                </c:pt>
                <c:pt idx="8790">
                  <c:v>2.4451979137242921E-2</c:v>
                </c:pt>
                <c:pt idx="8791">
                  <c:v>4.2459109672517686E-3</c:v>
                </c:pt>
                <c:pt idx="8792">
                  <c:v>3.0939478136106129E-2</c:v>
                </c:pt>
                <c:pt idx="8793">
                  <c:v>1.2179336286531818E-2</c:v>
                </c:pt>
                <c:pt idx="8794">
                  <c:v>-3.1018991998126143E-2</c:v>
                </c:pt>
                <c:pt idx="8795">
                  <c:v>1.3436994584500617E-2</c:v>
                </c:pt>
                <c:pt idx="8796">
                  <c:v>-3.0999011993651595E-2</c:v>
                </c:pt>
                <c:pt idx="8797">
                  <c:v>3.099327856434702E-3</c:v>
                </c:pt>
                <c:pt idx="8798">
                  <c:v>-2.602033718478643E-2</c:v>
                </c:pt>
                <c:pt idx="8799">
                  <c:v>3.4704757831288624E-2</c:v>
                </c:pt>
                <c:pt idx="8800">
                  <c:v>3.568305037341582E-2</c:v>
                </c:pt>
                <c:pt idx="8801">
                  <c:v>4.7076639632566017E-2</c:v>
                </c:pt>
                <c:pt idx="8802">
                  <c:v>-2.6215357072388049E-2</c:v>
                </c:pt>
                <c:pt idx="8803">
                  <c:v>3.4372361989984043E-2</c:v>
                </c:pt>
                <c:pt idx="8804">
                  <c:v>6.9960297695010568E-2</c:v>
                </c:pt>
                <c:pt idx="8805">
                  <c:v>-4.5998290377758568E-3</c:v>
                </c:pt>
                <c:pt idx="8806">
                  <c:v>1.529194264979983E-3</c:v>
                </c:pt>
                <c:pt idx="8807">
                  <c:v>4.973125124003374E-2</c:v>
                </c:pt>
                <c:pt idx="8808">
                  <c:v>-3.1544335479772194E-2</c:v>
                </c:pt>
                <c:pt idx="8809">
                  <c:v>6.4986605377461343E-2</c:v>
                </c:pt>
                <c:pt idx="8810">
                  <c:v>1.4318720180326473E-2</c:v>
                </c:pt>
                <c:pt idx="8811">
                  <c:v>4.2369593735876045E-2</c:v>
                </c:pt>
                <c:pt idx="8812">
                  <c:v>5.0722565890308855E-3</c:v>
                </c:pt>
                <c:pt idx="8813">
                  <c:v>2.9397746132399146E-2</c:v>
                </c:pt>
                <c:pt idx="8814">
                  <c:v>4.5506910567307208E-3</c:v>
                </c:pt>
                <c:pt idx="8815">
                  <c:v>-1.3962782452630481E-3</c:v>
                </c:pt>
                <c:pt idx="8816">
                  <c:v>3.0243600060144999E-2</c:v>
                </c:pt>
                <c:pt idx="8817">
                  <c:v>1.9438773342415734E-2</c:v>
                </c:pt>
                <c:pt idx="8818">
                  <c:v>-8.2990407578231763E-3</c:v>
                </c:pt>
                <c:pt idx="8819">
                  <c:v>7.7593720043109618E-3</c:v>
                </c:pt>
                <c:pt idx="8820">
                  <c:v>-2.9728003947325724E-3</c:v>
                </c:pt>
                <c:pt idx="8821">
                  <c:v>-1.7993515940451753E-3</c:v>
                </c:pt>
                <c:pt idx="8822">
                  <c:v>2.2161437843855197E-2</c:v>
                </c:pt>
                <c:pt idx="8823">
                  <c:v>6.0750350856322612E-2</c:v>
                </c:pt>
                <c:pt idx="8824">
                  <c:v>2.0989529067490902E-2</c:v>
                </c:pt>
                <c:pt idx="8825">
                  <c:v>-2.9780376457996523E-3</c:v>
                </c:pt>
                <c:pt idx="8826">
                  <c:v>8.6306588523404268E-3</c:v>
                </c:pt>
                <c:pt idx="8827">
                  <c:v>-2.7430025031413136E-2</c:v>
                </c:pt>
                <c:pt idx="8828">
                  <c:v>6.7935776174108415E-3</c:v>
                </c:pt>
                <c:pt idx="8829">
                  <c:v>-3.6037781109278708E-3</c:v>
                </c:pt>
                <c:pt idx="8830">
                  <c:v>-1.0210464106053143E-2</c:v>
                </c:pt>
                <c:pt idx="8831">
                  <c:v>7.8565138048098948E-3</c:v>
                </c:pt>
                <c:pt idx="8832">
                  <c:v>1.4029199473742716E-2</c:v>
                </c:pt>
                <c:pt idx="8833">
                  <c:v>-3.0416685625619267E-3</c:v>
                </c:pt>
                <c:pt idx="8834">
                  <c:v>1.0638949295920254E-2</c:v>
                </c:pt>
                <c:pt idx="8835">
                  <c:v>-2.3317586747501375E-2</c:v>
                </c:pt>
                <c:pt idx="8836">
                  <c:v>5.3741479970113837E-4</c:v>
                </c:pt>
                <c:pt idx="8837">
                  <c:v>-3.3616970494585258E-2</c:v>
                </c:pt>
                <c:pt idx="8838">
                  <c:v>2.4478489020834455E-2</c:v>
                </c:pt>
                <c:pt idx="8839">
                  <c:v>9.3569503989317346E-4</c:v>
                </c:pt>
                <c:pt idx="8840">
                  <c:v>-9.7478584693565899E-3</c:v>
                </c:pt>
                <c:pt idx="8841">
                  <c:v>1.9386666461297739E-3</c:v>
                </c:pt>
                <c:pt idx="8842">
                  <c:v>3.5763949885326621E-2</c:v>
                </c:pt>
                <c:pt idx="8843">
                  <c:v>3.1547713787509146E-2</c:v>
                </c:pt>
                <c:pt idx="8844">
                  <c:v>-2.2732336671322902E-2</c:v>
                </c:pt>
                <c:pt idx="8845">
                  <c:v>2.4421764252751985E-2</c:v>
                </c:pt>
                <c:pt idx="8846">
                  <c:v>1.6543366009923979E-3</c:v>
                </c:pt>
                <c:pt idx="8847">
                  <c:v>5.8486993658560336E-4</c:v>
                </c:pt>
                <c:pt idx="8848">
                  <c:v>8.9749944482312195E-3</c:v>
                </c:pt>
                <c:pt idx="8849">
                  <c:v>-2.9517122176160242E-2</c:v>
                </c:pt>
                <c:pt idx="8850">
                  <c:v>-2.6768118608870056E-2</c:v>
                </c:pt>
                <c:pt idx="8851">
                  <c:v>6.9114761853083691E-3</c:v>
                </c:pt>
                <c:pt idx="8852">
                  <c:v>3.7090026736574917E-2</c:v>
                </c:pt>
                <c:pt idx="8853">
                  <c:v>4.5139370980571025E-2</c:v>
                </c:pt>
                <c:pt idx="8854">
                  <c:v>3.1358756952593214E-2</c:v>
                </c:pt>
                <c:pt idx="8855">
                  <c:v>1.9538820112683992E-2</c:v>
                </c:pt>
                <c:pt idx="8856">
                  <c:v>-7.8057021212523479E-3</c:v>
                </c:pt>
                <c:pt idx="8857">
                  <c:v>2.0709211301649611E-3</c:v>
                </c:pt>
                <c:pt idx="8858">
                  <c:v>1.3626717965152376E-2</c:v>
                </c:pt>
                <c:pt idx="8859">
                  <c:v>-1.4458004502815173E-2</c:v>
                </c:pt>
                <c:pt idx="8860">
                  <c:v>-2.0148005883983664E-2</c:v>
                </c:pt>
                <c:pt idx="8861">
                  <c:v>1.5314220278244859E-2</c:v>
                </c:pt>
                <c:pt idx="8862">
                  <c:v>-1.8254133833679579E-2</c:v>
                </c:pt>
                <c:pt idx="8863">
                  <c:v>-1.0401945884417311E-2</c:v>
                </c:pt>
                <c:pt idx="8864">
                  <c:v>4.6762489481506006E-2</c:v>
                </c:pt>
                <c:pt idx="8865">
                  <c:v>2.8646814207966904E-2</c:v>
                </c:pt>
                <c:pt idx="8866">
                  <c:v>-2.1101891311773334E-2</c:v>
                </c:pt>
                <c:pt idx="8867">
                  <c:v>-5.3489481227873899E-2</c:v>
                </c:pt>
                <c:pt idx="8868">
                  <c:v>-9.7585616042268342E-3</c:v>
                </c:pt>
                <c:pt idx="8869">
                  <c:v>-4.5094768701087577E-3</c:v>
                </c:pt>
                <c:pt idx="8870">
                  <c:v>-1.4177649316512268E-2</c:v>
                </c:pt>
                <c:pt idx="8871">
                  <c:v>8.1524620691259386E-3</c:v>
                </c:pt>
                <c:pt idx="8872">
                  <c:v>1.8240475182820293E-2</c:v>
                </c:pt>
                <c:pt idx="8873">
                  <c:v>3.2359197189810937E-2</c:v>
                </c:pt>
                <c:pt idx="8874">
                  <c:v>-8.4373669648617339E-3</c:v>
                </c:pt>
                <c:pt idx="8875">
                  <c:v>-1.9491552272065307E-3</c:v>
                </c:pt>
                <c:pt idx="8876">
                  <c:v>2.8522579619424272E-2</c:v>
                </c:pt>
                <c:pt idx="8877">
                  <c:v>1.1348569478110375E-2</c:v>
                </c:pt>
                <c:pt idx="8878">
                  <c:v>-1.2649842278404762E-2</c:v>
                </c:pt>
                <c:pt idx="8879">
                  <c:v>-1.1153110554566949E-2</c:v>
                </c:pt>
                <c:pt idx="8880">
                  <c:v>4.3553291188875097E-2</c:v>
                </c:pt>
                <c:pt idx="8881">
                  <c:v>3.7421551140071528E-2</c:v>
                </c:pt>
                <c:pt idx="8882">
                  <c:v>6.3870446106359339E-3</c:v>
                </c:pt>
                <c:pt idx="8883">
                  <c:v>1.533488948538193E-2</c:v>
                </c:pt>
                <c:pt idx="8884">
                  <c:v>-4.7974849322542628E-3</c:v>
                </c:pt>
                <c:pt idx="8885">
                  <c:v>9.5172196566314475E-3</c:v>
                </c:pt>
                <c:pt idx="8886">
                  <c:v>1.633939491996592E-2</c:v>
                </c:pt>
                <c:pt idx="8887">
                  <c:v>-3.5705640990327289E-2</c:v>
                </c:pt>
                <c:pt idx="8888">
                  <c:v>-1.2246371550518338E-2</c:v>
                </c:pt>
                <c:pt idx="8889">
                  <c:v>1.9959033813915354E-4</c:v>
                </c:pt>
                <c:pt idx="8890">
                  <c:v>-5.0896597553619631E-2</c:v>
                </c:pt>
                <c:pt idx="8891">
                  <c:v>5.5782868140585015E-2</c:v>
                </c:pt>
                <c:pt idx="8892">
                  <c:v>-1.1228621328791236E-3</c:v>
                </c:pt>
                <c:pt idx="8893">
                  <c:v>-1.9553286088230069E-2</c:v>
                </c:pt>
                <c:pt idx="8894">
                  <c:v>6.2497280434388645E-2</c:v>
                </c:pt>
                <c:pt idx="8895">
                  <c:v>-2.7539144961453137E-2</c:v>
                </c:pt>
                <c:pt idx="8896">
                  <c:v>2.9178025125577147E-3</c:v>
                </c:pt>
                <c:pt idx="8897">
                  <c:v>2.6133072430648912E-3</c:v>
                </c:pt>
                <c:pt idx="8898">
                  <c:v>-1.4540775265847444E-3</c:v>
                </c:pt>
                <c:pt idx="8899">
                  <c:v>-8.7046070216632663E-3</c:v>
                </c:pt>
                <c:pt idx="8900">
                  <c:v>1.0452558009004102E-2</c:v>
                </c:pt>
                <c:pt idx="8901">
                  <c:v>-2.0499007463795935E-2</c:v>
                </c:pt>
                <c:pt idx="8902">
                  <c:v>-6.2233062645359934E-3</c:v>
                </c:pt>
                <c:pt idx="8903">
                  <c:v>-8.0792709617193126E-4</c:v>
                </c:pt>
                <c:pt idx="8904">
                  <c:v>-1.0113956640872911E-2</c:v>
                </c:pt>
                <c:pt idx="8905">
                  <c:v>-1.5541501495392154E-2</c:v>
                </c:pt>
                <c:pt idx="8906">
                  <c:v>-8.4330697669001975E-3</c:v>
                </c:pt>
                <c:pt idx="8907">
                  <c:v>2.2703669239113249E-2</c:v>
                </c:pt>
                <c:pt idx="8908">
                  <c:v>4.5608042881172352E-2</c:v>
                </c:pt>
                <c:pt idx="8909">
                  <c:v>-4.2548010880636034E-2</c:v>
                </c:pt>
                <c:pt idx="8910">
                  <c:v>-4.3504330543087284E-3</c:v>
                </c:pt>
                <c:pt idx="8911">
                  <c:v>-3.868694481441369E-2</c:v>
                </c:pt>
                <c:pt idx="8912">
                  <c:v>1.4743336369683788E-2</c:v>
                </c:pt>
                <c:pt idx="8913">
                  <c:v>3.5249466516532608E-2</c:v>
                </c:pt>
                <c:pt idx="8914">
                  <c:v>-1.2818447348550642E-2</c:v>
                </c:pt>
                <c:pt idx="8915">
                  <c:v>3.3443084725453308E-3</c:v>
                </c:pt>
                <c:pt idx="8916">
                  <c:v>7.9557738399578769E-3</c:v>
                </c:pt>
                <c:pt idx="8917">
                  <c:v>6.6560099959772964E-3</c:v>
                </c:pt>
                <c:pt idx="8918">
                  <c:v>-7.7156673406266526E-3</c:v>
                </c:pt>
                <c:pt idx="8919">
                  <c:v>3.3448604213836351E-2</c:v>
                </c:pt>
                <c:pt idx="8920">
                  <c:v>2.3274155496049009E-2</c:v>
                </c:pt>
                <c:pt idx="8921">
                  <c:v>1.0881450879269347E-2</c:v>
                </c:pt>
                <c:pt idx="8922">
                  <c:v>-9.0744516845539872E-3</c:v>
                </c:pt>
                <c:pt idx="8923">
                  <c:v>1.2718901011812989E-3</c:v>
                </c:pt>
                <c:pt idx="8924">
                  <c:v>3.6877280249959808E-2</c:v>
                </c:pt>
                <c:pt idx="8925">
                  <c:v>-2.1010076575226567E-2</c:v>
                </c:pt>
                <c:pt idx="8926">
                  <c:v>-4.2959862770979868E-3</c:v>
                </c:pt>
                <c:pt idx="8927">
                  <c:v>5.5861476177872255E-3</c:v>
                </c:pt>
                <c:pt idx="8928">
                  <c:v>1.6380391720098191E-2</c:v>
                </c:pt>
                <c:pt idx="8929">
                  <c:v>-6.7871705889511347E-3</c:v>
                </c:pt>
                <c:pt idx="8930">
                  <c:v>5.5762979426898143E-3</c:v>
                </c:pt>
                <c:pt idx="8931">
                  <c:v>-2.9501873974590559E-2</c:v>
                </c:pt>
                <c:pt idx="8932">
                  <c:v>-3.7173627274492096E-2</c:v>
                </c:pt>
                <c:pt idx="8933">
                  <c:v>-1.1862346355499615E-2</c:v>
                </c:pt>
                <c:pt idx="8934">
                  <c:v>1.7695861522330034E-2</c:v>
                </c:pt>
                <c:pt idx="8935">
                  <c:v>2.2029217525311784E-2</c:v>
                </c:pt>
                <c:pt idx="8936">
                  <c:v>-4.9434683327193092E-2</c:v>
                </c:pt>
                <c:pt idx="8937">
                  <c:v>-1.7976520747232633E-2</c:v>
                </c:pt>
                <c:pt idx="8938">
                  <c:v>-1.2718656761118012E-2</c:v>
                </c:pt>
                <c:pt idx="8939">
                  <c:v>2.9874557432167409E-2</c:v>
                </c:pt>
                <c:pt idx="8940">
                  <c:v>1.822817497043305E-2</c:v>
                </c:pt>
                <c:pt idx="8941">
                  <c:v>-2.8091712249719038E-2</c:v>
                </c:pt>
                <c:pt idx="8942">
                  <c:v>-6.4369990936910537E-3</c:v>
                </c:pt>
                <c:pt idx="8943">
                  <c:v>1.4278997141371515E-2</c:v>
                </c:pt>
                <c:pt idx="8944">
                  <c:v>-1.3466271522729115E-2</c:v>
                </c:pt>
                <c:pt idx="8945">
                  <c:v>-5.4287993596890856E-3</c:v>
                </c:pt>
                <c:pt idx="8946">
                  <c:v>3.4153586762950563E-3</c:v>
                </c:pt>
                <c:pt idx="8947">
                  <c:v>-2.5668925680482218E-2</c:v>
                </c:pt>
                <c:pt idx="8948">
                  <c:v>2.7641807249255647E-3</c:v>
                </c:pt>
                <c:pt idx="8949">
                  <c:v>1.1295655618177605E-2</c:v>
                </c:pt>
                <c:pt idx="8950">
                  <c:v>-1.5043875766260862E-2</c:v>
                </c:pt>
                <c:pt idx="8951">
                  <c:v>3.5363073551979429E-2</c:v>
                </c:pt>
                <c:pt idx="8952">
                  <c:v>6.6321960393363206E-3</c:v>
                </c:pt>
                <c:pt idx="8953">
                  <c:v>5.8467145523227477E-3</c:v>
                </c:pt>
                <c:pt idx="8954">
                  <c:v>2.8591346407385917E-2</c:v>
                </c:pt>
                <c:pt idx="8955">
                  <c:v>2.6687992883266315E-2</c:v>
                </c:pt>
                <c:pt idx="8956">
                  <c:v>-2.1669713716250491E-3</c:v>
                </c:pt>
                <c:pt idx="8957">
                  <c:v>-5.4729723285430847E-3</c:v>
                </c:pt>
                <c:pt idx="8958">
                  <c:v>1.2926968504588351E-2</c:v>
                </c:pt>
                <c:pt idx="8959">
                  <c:v>-3.1801063030363515E-2</c:v>
                </c:pt>
                <c:pt idx="8960">
                  <c:v>2.7041372285669281E-2</c:v>
                </c:pt>
                <c:pt idx="8961">
                  <c:v>-2.3887751781998329E-2</c:v>
                </c:pt>
                <c:pt idx="8962">
                  <c:v>-5.3278548659527365E-3</c:v>
                </c:pt>
                <c:pt idx="8963">
                  <c:v>-1.3676219710965561E-2</c:v>
                </c:pt>
                <c:pt idx="8964">
                  <c:v>-4.8721967538947045E-2</c:v>
                </c:pt>
                <c:pt idx="8965">
                  <c:v>2.6462910762496406E-2</c:v>
                </c:pt>
                <c:pt idx="8966">
                  <c:v>-1.6185943129880362E-3</c:v>
                </c:pt>
                <c:pt idx="8967">
                  <c:v>5.4318927254241034E-2</c:v>
                </c:pt>
                <c:pt idx="8968">
                  <c:v>6.8082951001511814E-3</c:v>
                </c:pt>
                <c:pt idx="8969">
                  <c:v>-2.9674263750384063E-2</c:v>
                </c:pt>
                <c:pt idx="8970">
                  <c:v>-3.7807553438861581E-3</c:v>
                </c:pt>
                <c:pt idx="8971">
                  <c:v>1.3321328433952064E-2</c:v>
                </c:pt>
                <c:pt idx="8972">
                  <c:v>-2.1946985194481437E-2</c:v>
                </c:pt>
                <c:pt idx="8973">
                  <c:v>1.4451561934486771E-2</c:v>
                </c:pt>
                <c:pt idx="8974">
                  <c:v>1.2543032272594422E-2</c:v>
                </c:pt>
                <c:pt idx="8975">
                  <c:v>1.5480242359817051E-2</c:v>
                </c:pt>
                <c:pt idx="8976">
                  <c:v>1.9046770972244859E-2</c:v>
                </c:pt>
                <c:pt idx="8977">
                  <c:v>-9.8717984515765819E-4</c:v>
                </c:pt>
                <c:pt idx="8978">
                  <c:v>-1.5931303546612048E-2</c:v>
                </c:pt>
                <c:pt idx="8979">
                  <c:v>1.9331747099150337E-2</c:v>
                </c:pt>
                <c:pt idx="8980">
                  <c:v>4.5697883234176902E-2</c:v>
                </c:pt>
                <c:pt idx="8981">
                  <c:v>4.5514114303405913E-2</c:v>
                </c:pt>
                <c:pt idx="8982">
                  <c:v>1.4084014518336744E-2</c:v>
                </c:pt>
                <c:pt idx="8983">
                  <c:v>-6.1975156654310061E-3</c:v>
                </c:pt>
                <c:pt idx="8984">
                  <c:v>5.6881898969145719E-3</c:v>
                </c:pt>
                <c:pt idx="8985">
                  <c:v>-9.0775858912368491E-3</c:v>
                </c:pt>
                <c:pt idx="8986">
                  <c:v>1.600704803592631E-2</c:v>
                </c:pt>
                <c:pt idx="8987">
                  <c:v>-2.0355616883848286E-2</c:v>
                </c:pt>
                <c:pt idx="8988">
                  <c:v>9.5416202799853149E-4</c:v>
                </c:pt>
                <c:pt idx="8989">
                  <c:v>-3.1166584407891568E-2</c:v>
                </c:pt>
                <c:pt idx="8990">
                  <c:v>1.1198805655653088E-2</c:v>
                </c:pt>
                <c:pt idx="8991">
                  <c:v>-4.1568015705653903E-2</c:v>
                </c:pt>
                <c:pt idx="8992">
                  <c:v>2.7750134932113809E-2</c:v>
                </c:pt>
                <c:pt idx="8993">
                  <c:v>-4.6502623444332359E-3</c:v>
                </c:pt>
                <c:pt idx="8994">
                  <c:v>1.7002069705230331E-2</c:v>
                </c:pt>
                <c:pt idx="8995">
                  <c:v>-4.0190668207491329E-2</c:v>
                </c:pt>
                <c:pt idx="8996">
                  <c:v>7.2670859240716174E-3</c:v>
                </c:pt>
                <c:pt idx="8997">
                  <c:v>1.2324981175092042E-2</c:v>
                </c:pt>
                <c:pt idx="8998">
                  <c:v>8.2144552623348421E-3</c:v>
                </c:pt>
                <c:pt idx="8999">
                  <c:v>1.1048583163360272E-2</c:v>
                </c:pt>
                <c:pt idx="9000">
                  <c:v>3.0912658878485905E-2</c:v>
                </c:pt>
                <c:pt idx="9001">
                  <c:v>-4.7157037648632869E-2</c:v>
                </c:pt>
                <c:pt idx="9002">
                  <c:v>-8.2943064140443079E-4</c:v>
                </c:pt>
                <c:pt idx="9003">
                  <c:v>-2.3174463350433745E-3</c:v>
                </c:pt>
                <c:pt idx="9004">
                  <c:v>4.8511193537452597E-3</c:v>
                </c:pt>
                <c:pt idx="9005">
                  <c:v>-3.5611427663577899E-3</c:v>
                </c:pt>
                <c:pt idx="9006">
                  <c:v>1.1062983164145224E-2</c:v>
                </c:pt>
                <c:pt idx="9007">
                  <c:v>1.4540551382018667E-2</c:v>
                </c:pt>
                <c:pt idx="9008">
                  <c:v>1.4914410977737599E-2</c:v>
                </c:pt>
                <c:pt idx="9009">
                  <c:v>-3.9251970585804714E-2</c:v>
                </c:pt>
                <c:pt idx="9010">
                  <c:v>-2.3208636349919317E-2</c:v>
                </c:pt>
                <c:pt idx="9011">
                  <c:v>-2.0037545343571301E-3</c:v>
                </c:pt>
                <c:pt idx="9012">
                  <c:v>-5.4820183282479912E-3</c:v>
                </c:pt>
                <c:pt idx="9013">
                  <c:v>-1.9178054659625007E-2</c:v>
                </c:pt>
                <c:pt idx="9014">
                  <c:v>2.9579086655585948E-2</c:v>
                </c:pt>
                <c:pt idx="9015">
                  <c:v>7.855304219019919E-3</c:v>
                </c:pt>
                <c:pt idx="9016">
                  <c:v>-2.4246739340045023E-2</c:v>
                </c:pt>
                <c:pt idx="9017">
                  <c:v>3.7859460140460093E-2</c:v>
                </c:pt>
                <c:pt idx="9018">
                  <c:v>2.7816124663127339E-2</c:v>
                </c:pt>
                <c:pt idx="9019">
                  <c:v>6.4669128204118687E-3</c:v>
                </c:pt>
                <c:pt idx="9020">
                  <c:v>8.1066578786454374E-3</c:v>
                </c:pt>
                <c:pt idx="9021">
                  <c:v>-7.3997238702731179E-3</c:v>
                </c:pt>
                <c:pt idx="9022">
                  <c:v>-2.5137235351609201E-2</c:v>
                </c:pt>
                <c:pt idx="9023">
                  <c:v>-8.2092962502765838E-3</c:v>
                </c:pt>
                <c:pt idx="9024">
                  <c:v>9.7165539553957896E-3</c:v>
                </c:pt>
                <c:pt idx="9025">
                  <c:v>1.318423747587452E-2</c:v>
                </c:pt>
                <c:pt idx="9026">
                  <c:v>2.830416790520977E-2</c:v>
                </c:pt>
                <c:pt idx="9027">
                  <c:v>-1.6056057919291475E-2</c:v>
                </c:pt>
                <c:pt idx="9028">
                  <c:v>-8.7730555596682216E-3</c:v>
                </c:pt>
                <c:pt idx="9029">
                  <c:v>6.6535163993905119E-3</c:v>
                </c:pt>
                <c:pt idx="9030">
                  <c:v>3.2915990897866967E-2</c:v>
                </c:pt>
                <c:pt idx="9031">
                  <c:v>2.5237302895526639E-2</c:v>
                </c:pt>
                <c:pt idx="9032">
                  <c:v>5.2747409981063701E-3</c:v>
                </c:pt>
                <c:pt idx="9033">
                  <c:v>2.5236792410604135E-2</c:v>
                </c:pt>
                <c:pt idx="9034">
                  <c:v>2.8181317795508549E-2</c:v>
                </c:pt>
                <c:pt idx="9035">
                  <c:v>-1.6340955315941607E-2</c:v>
                </c:pt>
                <c:pt idx="9036">
                  <c:v>-2.9119258599353791E-2</c:v>
                </c:pt>
                <c:pt idx="9037">
                  <c:v>5.0159735851935054E-2</c:v>
                </c:pt>
                <c:pt idx="9038">
                  <c:v>-3.4103890532736783E-2</c:v>
                </c:pt>
                <c:pt idx="9039">
                  <c:v>8.1387956691857215E-3</c:v>
                </c:pt>
                <c:pt idx="9040">
                  <c:v>3.2341217153915094E-3</c:v>
                </c:pt>
                <c:pt idx="9041">
                  <c:v>4.6833196166251562E-2</c:v>
                </c:pt>
                <c:pt idx="9042">
                  <c:v>1.2945983278996681E-2</c:v>
                </c:pt>
                <c:pt idx="9043">
                  <c:v>-6.5073667268876183E-3</c:v>
                </c:pt>
                <c:pt idx="9044">
                  <c:v>1.4917071158309422E-4</c:v>
                </c:pt>
                <c:pt idx="9045">
                  <c:v>-1.4178012162304618E-2</c:v>
                </c:pt>
                <c:pt idx="9046">
                  <c:v>1.3957405762037221E-2</c:v>
                </c:pt>
                <c:pt idx="9047">
                  <c:v>-4.9842363654184492E-2</c:v>
                </c:pt>
                <c:pt idx="9048">
                  <c:v>3.603489379997403E-3</c:v>
                </c:pt>
                <c:pt idx="9049">
                  <c:v>1.8621031357940056E-2</c:v>
                </c:pt>
                <c:pt idx="9050">
                  <c:v>1.8125476839136848E-2</c:v>
                </c:pt>
                <c:pt idx="9051">
                  <c:v>-1.0635598383182308E-2</c:v>
                </c:pt>
                <c:pt idx="9052">
                  <c:v>-4.697304362380984E-3</c:v>
                </c:pt>
                <c:pt idx="9053">
                  <c:v>4.3119696700019583E-2</c:v>
                </c:pt>
                <c:pt idx="9054">
                  <c:v>6.0919287710558441E-3</c:v>
                </c:pt>
                <c:pt idx="9055">
                  <c:v>-9.5141482976613297E-3</c:v>
                </c:pt>
                <c:pt idx="9056">
                  <c:v>9.4639143027451425E-2</c:v>
                </c:pt>
                <c:pt idx="9057">
                  <c:v>1.7193154690916375E-2</c:v>
                </c:pt>
                <c:pt idx="9058">
                  <c:v>3.3042402358581614E-2</c:v>
                </c:pt>
                <c:pt idx="9059">
                  <c:v>1.0837978896402511E-2</c:v>
                </c:pt>
                <c:pt idx="9060">
                  <c:v>-2.629276931908452E-2</c:v>
                </c:pt>
                <c:pt idx="9061">
                  <c:v>-6.5131645295316995E-2</c:v>
                </c:pt>
                <c:pt idx="9062">
                  <c:v>-2.7670867587922562E-3</c:v>
                </c:pt>
                <c:pt idx="9063">
                  <c:v>-1.0560115345775016E-2</c:v>
                </c:pt>
                <c:pt idx="9064">
                  <c:v>2.9921206157876957E-2</c:v>
                </c:pt>
                <c:pt idx="9065">
                  <c:v>4.263065916315447E-2</c:v>
                </c:pt>
                <c:pt idx="9066">
                  <c:v>1.1031585070256967E-3</c:v>
                </c:pt>
                <c:pt idx="9067">
                  <c:v>2.9427720040664306E-2</c:v>
                </c:pt>
                <c:pt idx="9068">
                  <c:v>1.1592376279044388E-2</c:v>
                </c:pt>
                <c:pt idx="9069">
                  <c:v>-1.7655177945574186E-2</c:v>
                </c:pt>
                <c:pt idx="9070">
                  <c:v>4.612309937328038E-2</c:v>
                </c:pt>
                <c:pt idx="9071">
                  <c:v>1.4860020385026661E-3</c:v>
                </c:pt>
                <c:pt idx="9072">
                  <c:v>-1.9227915008536111E-2</c:v>
                </c:pt>
                <c:pt idx="9073">
                  <c:v>-2.0901430941166189E-2</c:v>
                </c:pt>
                <c:pt idx="9074">
                  <c:v>-1.5574477580893669E-3</c:v>
                </c:pt>
                <c:pt idx="9075">
                  <c:v>8.7765873410358668E-3</c:v>
                </c:pt>
                <c:pt idx="9076">
                  <c:v>3.3726083065796955E-2</c:v>
                </c:pt>
                <c:pt idx="9077">
                  <c:v>-1.0773550453368218E-2</c:v>
                </c:pt>
                <c:pt idx="9078">
                  <c:v>-1.9858347213358558E-2</c:v>
                </c:pt>
                <c:pt idx="9079">
                  <c:v>-5.547245970914912E-3</c:v>
                </c:pt>
                <c:pt idx="9080">
                  <c:v>-1.9236159594118965E-2</c:v>
                </c:pt>
                <c:pt idx="9081">
                  <c:v>6.579026086810498E-3</c:v>
                </c:pt>
                <c:pt idx="9082">
                  <c:v>2.9719925938570001E-2</c:v>
                </c:pt>
                <c:pt idx="9083">
                  <c:v>5.8221358088444298E-3</c:v>
                </c:pt>
                <c:pt idx="9084">
                  <c:v>1.6039116960695661E-2</c:v>
                </c:pt>
                <c:pt idx="9085">
                  <c:v>-3.4069917012710761E-2</c:v>
                </c:pt>
                <c:pt idx="9086">
                  <c:v>-2.153782109546307E-2</c:v>
                </c:pt>
                <c:pt idx="9087">
                  <c:v>-9.1114139039016172E-3</c:v>
                </c:pt>
                <c:pt idx="9088">
                  <c:v>2.1902170247818297E-3</c:v>
                </c:pt>
                <c:pt idx="9089">
                  <c:v>3.1994166362522482E-2</c:v>
                </c:pt>
                <c:pt idx="9090">
                  <c:v>2.4179126305830636E-3</c:v>
                </c:pt>
                <c:pt idx="9091">
                  <c:v>1.1334132511409982E-2</c:v>
                </c:pt>
                <c:pt idx="9092">
                  <c:v>4.7127619981807062E-2</c:v>
                </c:pt>
                <c:pt idx="9093">
                  <c:v>4.7196546781825312E-3</c:v>
                </c:pt>
                <c:pt idx="9094">
                  <c:v>-2.105980540981317E-3</c:v>
                </c:pt>
                <c:pt idx="9095">
                  <c:v>-1.2943978496591594E-2</c:v>
                </c:pt>
                <c:pt idx="9096">
                  <c:v>-1.4606931227165275E-2</c:v>
                </c:pt>
                <c:pt idx="9097">
                  <c:v>5.5075563844187575E-3</c:v>
                </c:pt>
                <c:pt idx="9098">
                  <c:v>-3.7436726897114171E-2</c:v>
                </c:pt>
                <c:pt idx="9099">
                  <c:v>5.4040243016477054E-3</c:v>
                </c:pt>
                <c:pt idx="9100">
                  <c:v>1.8125124829380945E-2</c:v>
                </c:pt>
                <c:pt idx="9101">
                  <c:v>-3.9271533623885031E-2</c:v>
                </c:pt>
                <c:pt idx="9102">
                  <c:v>1.6601632494152016E-2</c:v>
                </c:pt>
                <c:pt idx="9103">
                  <c:v>7.308581348269374E-4</c:v>
                </c:pt>
                <c:pt idx="9104">
                  <c:v>3.3071951452120058E-3</c:v>
                </c:pt>
                <c:pt idx="9105">
                  <c:v>8.2823508811557985E-3</c:v>
                </c:pt>
                <c:pt idx="9106">
                  <c:v>3.8773869612655436E-2</c:v>
                </c:pt>
                <c:pt idx="9107">
                  <c:v>-3.3901050153345162E-3</c:v>
                </c:pt>
                <c:pt idx="9108">
                  <c:v>-1.4913568581741692E-2</c:v>
                </c:pt>
                <c:pt idx="9109">
                  <c:v>1.9604246978332081E-2</c:v>
                </c:pt>
                <c:pt idx="9110">
                  <c:v>-2.3281459704984488E-2</c:v>
                </c:pt>
                <c:pt idx="9111">
                  <c:v>-3.2555096196385754E-2</c:v>
                </c:pt>
                <c:pt idx="9112">
                  <c:v>1.0457831395541866E-3</c:v>
                </c:pt>
                <c:pt idx="9113">
                  <c:v>-2.902821488440737E-2</c:v>
                </c:pt>
                <c:pt idx="9114">
                  <c:v>7.601246795556172E-3</c:v>
                </c:pt>
                <c:pt idx="9115">
                  <c:v>9.6847084974567219E-3</c:v>
                </c:pt>
                <c:pt idx="9116">
                  <c:v>1.1919207326928557E-2</c:v>
                </c:pt>
                <c:pt idx="9117">
                  <c:v>1.0635092650733285E-2</c:v>
                </c:pt>
                <c:pt idx="9118">
                  <c:v>1.957861572166579E-2</c:v>
                </c:pt>
                <c:pt idx="9119">
                  <c:v>3.0342590684709642E-2</c:v>
                </c:pt>
                <c:pt idx="9120">
                  <c:v>-6.1623268882297997E-3</c:v>
                </c:pt>
                <c:pt idx="9121">
                  <c:v>1.8887046443186985E-2</c:v>
                </c:pt>
                <c:pt idx="9122">
                  <c:v>3.3422535856544415E-2</c:v>
                </c:pt>
                <c:pt idx="9123">
                  <c:v>-1.1478751999015919E-2</c:v>
                </c:pt>
                <c:pt idx="9124">
                  <c:v>-4.5953074829062635E-3</c:v>
                </c:pt>
                <c:pt idx="9125">
                  <c:v>3.2165829192402358E-2</c:v>
                </c:pt>
                <c:pt idx="9126">
                  <c:v>-3.8975286000611516E-2</c:v>
                </c:pt>
                <c:pt idx="9127">
                  <c:v>-2.8587153970711817E-2</c:v>
                </c:pt>
                <c:pt idx="9128">
                  <c:v>-2.8865985016549606E-2</c:v>
                </c:pt>
                <c:pt idx="9129">
                  <c:v>-2.1651249533104881E-2</c:v>
                </c:pt>
                <c:pt idx="9130">
                  <c:v>-1.7971355881119019E-2</c:v>
                </c:pt>
                <c:pt idx="9131">
                  <c:v>2.4423527345911612E-4</c:v>
                </c:pt>
                <c:pt idx="9132">
                  <c:v>-5.6984873400771751E-3</c:v>
                </c:pt>
                <c:pt idx="9133">
                  <c:v>7.5258344079889503E-3</c:v>
                </c:pt>
                <c:pt idx="9134">
                  <c:v>2.8523298293914902E-2</c:v>
                </c:pt>
                <c:pt idx="9135">
                  <c:v>-1.0981243527220655E-4</c:v>
                </c:pt>
                <c:pt idx="9136">
                  <c:v>-1.5902291933828326E-2</c:v>
                </c:pt>
                <c:pt idx="9137">
                  <c:v>-2.6872548705757938E-2</c:v>
                </c:pt>
                <c:pt idx="9138">
                  <c:v>6.085387110729798E-2</c:v>
                </c:pt>
                <c:pt idx="9139">
                  <c:v>1.752865550706709E-2</c:v>
                </c:pt>
                <c:pt idx="9140">
                  <c:v>-1.9434231378498885E-2</c:v>
                </c:pt>
                <c:pt idx="9141">
                  <c:v>7.0190372797009123E-3</c:v>
                </c:pt>
                <c:pt idx="9142">
                  <c:v>1.0491977436715478E-2</c:v>
                </c:pt>
                <c:pt idx="9143">
                  <c:v>2.0216230758759886E-2</c:v>
                </c:pt>
                <c:pt idx="9144">
                  <c:v>-7.3750979747910367E-3</c:v>
                </c:pt>
                <c:pt idx="9145">
                  <c:v>-2.5687136702176629E-3</c:v>
                </c:pt>
                <c:pt idx="9146">
                  <c:v>-9.9261125115013161E-3</c:v>
                </c:pt>
                <c:pt idx="9147">
                  <c:v>3.3321277987859742E-2</c:v>
                </c:pt>
                <c:pt idx="9148">
                  <c:v>-2.2028840927878282E-2</c:v>
                </c:pt>
                <c:pt idx="9149">
                  <c:v>-4.7133340965695596E-2</c:v>
                </c:pt>
                <c:pt idx="9150">
                  <c:v>3.2324854229430704E-2</c:v>
                </c:pt>
                <c:pt idx="9151">
                  <c:v>5.531611292611488E-2</c:v>
                </c:pt>
                <c:pt idx="9152">
                  <c:v>-1.9850193119599263E-2</c:v>
                </c:pt>
                <c:pt idx="9153">
                  <c:v>-3.2255662004825338E-3</c:v>
                </c:pt>
                <c:pt idx="9154">
                  <c:v>-2.5477147556214976E-3</c:v>
                </c:pt>
                <c:pt idx="9155">
                  <c:v>-9.704878985172298E-3</c:v>
                </c:pt>
                <c:pt idx="9156">
                  <c:v>-3.1826602645851833E-2</c:v>
                </c:pt>
                <c:pt idx="9157">
                  <c:v>-1.053468880667645E-2</c:v>
                </c:pt>
                <c:pt idx="9158">
                  <c:v>-2.2928609940223152E-2</c:v>
                </c:pt>
                <c:pt idx="9159">
                  <c:v>-2.1420499061271154E-2</c:v>
                </c:pt>
                <c:pt idx="9160">
                  <c:v>3.3386781904102547E-2</c:v>
                </c:pt>
                <c:pt idx="9161">
                  <c:v>2.9772682679639305E-3</c:v>
                </c:pt>
                <c:pt idx="9162">
                  <c:v>1.7562630767693346E-2</c:v>
                </c:pt>
                <c:pt idx="9163">
                  <c:v>1.147500168429981E-2</c:v>
                </c:pt>
                <c:pt idx="9164">
                  <c:v>-3.2026693091552205E-2</c:v>
                </c:pt>
                <c:pt idx="9165">
                  <c:v>-5.2612722011040634E-2</c:v>
                </c:pt>
                <c:pt idx="9166">
                  <c:v>-4.325237758292735E-3</c:v>
                </c:pt>
                <c:pt idx="9167">
                  <c:v>7.6677273647562227E-3</c:v>
                </c:pt>
                <c:pt idx="9168">
                  <c:v>2.4422176873703409E-2</c:v>
                </c:pt>
                <c:pt idx="9169">
                  <c:v>4.4899044820914009E-3</c:v>
                </c:pt>
                <c:pt idx="9170">
                  <c:v>1.5680375909629032E-2</c:v>
                </c:pt>
                <c:pt idx="9171">
                  <c:v>-1.1530739528968258E-2</c:v>
                </c:pt>
                <c:pt idx="9172">
                  <c:v>2.0680377251421848E-2</c:v>
                </c:pt>
                <c:pt idx="9173">
                  <c:v>2.5664164279153329E-2</c:v>
                </c:pt>
                <c:pt idx="9174">
                  <c:v>2.2376210676708377E-2</c:v>
                </c:pt>
                <c:pt idx="9175">
                  <c:v>-2.6586629171682228E-2</c:v>
                </c:pt>
                <c:pt idx="9176">
                  <c:v>-3.9696689993724818E-2</c:v>
                </c:pt>
                <c:pt idx="9177">
                  <c:v>-1.559330859598489E-2</c:v>
                </c:pt>
                <c:pt idx="9178">
                  <c:v>-7.225256467243488E-3</c:v>
                </c:pt>
                <c:pt idx="9179">
                  <c:v>4.8230106755253681E-2</c:v>
                </c:pt>
                <c:pt idx="9180">
                  <c:v>3.1307066264366856E-2</c:v>
                </c:pt>
                <c:pt idx="9181">
                  <c:v>9.2053352451934179E-3</c:v>
                </c:pt>
                <c:pt idx="9182">
                  <c:v>-8.1063661657385924E-4</c:v>
                </c:pt>
                <c:pt idx="9183">
                  <c:v>4.4875916246458931E-2</c:v>
                </c:pt>
                <c:pt idx="9184">
                  <c:v>1.5388109771907873E-2</c:v>
                </c:pt>
                <c:pt idx="9185">
                  <c:v>1.5296376075824462E-2</c:v>
                </c:pt>
                <c:pt idx="9186">
                  <c:v>5.9541465087807211E-3</c:v>
                </c:pt>
                <c:pt idx="9187">
                  <c:v>-4.8099814337920405E-2</c:v>
                </c:pt>
                <c:pt idx="9188">
                  <c:v>-2.0254975692806702E-2</c:v>
                </c:pt>
                <c:pt idx="9189">
                  <c:v>9.0993186916399089E-3</c:v>
                </c:pt>
                <c:pt idx="9190">
                  <c:v>2.5097495124624773E-2</c:v>
                </c:pt>
                <c:pt idx="9191">
                  <c:v>-8.6185551359680371E-3</c:v>
                </c:pt>
                <c:pt idx="9192">
                  <c:v>4.0106330644713809E-3</c:v>
                </c:pt>
                <c:pt idx="9193">
                  <c:v>-2.4365399010548554E-2</c:v>
                </c:pt>
                <c:pt idx="9194">
                  <c:v>8.2537357296260747E-3</c:v>
                </c:pt>
                <c:pt idx="9195">
                  <c:v>3.6877630292586837E-3</c:v>
                </c:pt>
                <c:pt idx="9196">
                  <c:v>-3.9257342456170186E-2</c:v>
                </c:pt>
                <c:pt idx="9197">
                  <c:v>2.2604456359590935E-2</c:v>
                </c:pt>
                <c:pt idx="9198">
                  <c:v>-1.5050112393302194E-2</c:v>
                </c:pt>
                <c:pt idx="9199">
                  <c:v>-8.1544595201994453E-3</c:v>
                </c:pt>
                <c:pt idx="9200">
                  <c:v>5.1438273210147413E-2</c:v>
                </c:pt>
                <c:pt idx="9201">
                  <c:v>1.0772405286099169E-2</c:v>
                </c:pt>
                <c:pt idx="9202">
                  <c:v>2.8462944752019616E-3</c:v>
                </c:pt>
                <c:pt idx="9203">
                  <c:v>-1.9225946918964929E-2</c:v>
                </c:pt>
                <c:pt idx="9204">
                  <c:v>-4.0589879703672102E-2</c:v>
                </c:pt>
                <c:pt idx="9205">
                  <c:v>4.374136858578942E-2</c:v>
                </c:pt>
                <c:pt idx="9206">
                  <c:v>-2.8286438427868144E-2</c:v>
                </c:pt>
                <c:pt idx="9207">
                  <c:v>1.0755782071155453E-2</c:v>
                </c:pt>
                <c:pt idx="9208">
                  <c:v>4.6463301133936423E-2</c:v>
                </c:pt>
                <c:pt idx="9209">
                  <c:v>-3.3193420932592123E-2</c:v>
                </c:pt>
                <c:pt idx="9210">
                  <c:v>1.2739505301474639E-2</c:v>
                </c:pt>
                <c:pt idx="9211">
                  <c:v>1.0126105312305944E-3</c:v>
                </c:pt>
                <c:pt idx="9212">
                  <c:v>-2.7783548011746442E-2</c:v>
                </c:pt>
                <c:pt idx="9213">
                  <c:v>-6.2065927256468173E-4</c:v>
                </c:pt>
                <c:pt idx="9214">
                  <c:v>-7.0614175290969486E-2</c:v>
                </c:pt>
                <c:pt idx="9215">
                  <c:v>2.1014836520472809E-2</c:v>
                </c:pt>
                <c:pt idx="9216">
                  <c:v>1.7853324294133679E-2</c:v>
                </c:pt>
                <c:pt idx="9217">
                  <c:v>2.1645596192688348E-2</c:v>
                </c:pt>
                <c:pt idx="9218">
                  <c:v>1.8031674576447746E-3</c:v>
                </c:pt>
                <c:pt idx="9219">
                  <c:v>2.9921603636309361E-2</c:v>
                </c:pt>
                <c:pt idx="9220">
                  <c:v>-3.2105698719588072E-2</c:v>
                </c:pt>
                <c:pt idx="9221">
                  <c:v>8.8464711199676884E-3</c:v>
                </c:pt>
                <c:pt idx="9222">
                  <c:v>-2.898807560612239E-2</c:v>
                </c:pt>
                <c:pt idx="9223">
                  <c:v>3.2711515889365639E-3</c:v>
                </c:pt>
                <c:pt idx="9224">
                  <c:v>1.579598330404026E-3</c:v>
                </c:pt>
                <c:pt idx="9225">
                  <c:v>3.3604659410909822E-2</c:v>
                </c:pt>
                <c:pt idx="9226">
                  <c:v>2.5612792009842768E-2</c:v>
                </c:pt>
                <c:pt idx="9227">
                  <c:v>-2.7062735146282827E-2</c:v>
                </c:pt>
                <c:pt idx="9228">
                  <c:v>2.5616639222002854E-4</c:v>
                </c:pt>
                <c:pt idx="9229">
                  <c:v>9.3582522881572386E-3</c:v>
                </c:pt>
                <c:pt idx="9230">
                  <c:v>5.1923410715241803E-3</c:v>
                </c:pt>
                <c:pt idx="9231">
                  <c:v>-5.4461462273107169E-4</c:v>
                </c:pt>
                <c:pt idx="9232">
                  <c:v>-9.7158368806795643E-3</c:v>
                </c:pt>
                <c:pt idx="9233">
                  <c:v>-3.3772456212026312E-2</c:v>
                </c:pt>
                <c:pt idx="9234">
                  <c:v>2.165014597567318E-2</c:v>
                </c:pt>
                <c:pt idx="9235">
                  <c:v>5.7702114406283558E-3</c:v>
                </c:pt>
                <c:pt idx="9236">
                  <c:v>1.2960623262957544E-2</c:v>
                </c:pt>
                <c:pt idx="9237">
                  <c:v>1.5151796430780575E-2</c:v>
                </c:pt>
                <c:pt idx="9238">
                  <c:v>-3.4620510621029524E-3</c:v>
                </c:pt>
                <c:pt idx="9239">
                  <c:v>-1.6399962939612003E-2</c:v>
                </c:pt>
                <c:pt idx="9240">
                  <c:v>6.4214585318530474E-3</c:v>
                </c:pt>
                <c:pt idx="9241">
                  <c:v>-9.1092266875065428E-3</c:v>
                </c:pt>
                <c:pt idx="9242">
                  <c:v>1.3836856556572118E-2</c:v>
                </c:pt>
                <c:pt idx="9243">
                  <c:v>-8.8919018066183613E-3</c:v>
                </c:pt>
                <c:pt idx="9244">
                  <c:v>-6.2581029554896014E-2</c:v>
                </c:pt>
                <c:pt idx="9245">
                  <c:v>-7.2421829585447399E-3</c:v>
                </c:pt>
                <c:pt idx="9246">
                  <c:v>2.500292594958059E-2</c:v>
                </c:pt>
                <c:pt idx="9247">
                  <c:v>-2.6941491413265436E-3</c:v>
                </c:pt>
                <c:pt idx="9248">
                  <c:v>-2.8258488532273668E-2</c:v>
                </c:pt>
                <c:pt idx="9249">
                  <c:v>1.7229058425798721E-2</c:v>
                </c:pt>
                <c:pt idx="9250">
                  <c:v>5.7647967400333722E-3</c:v>
                </c:pt>
                <c:pt idx="9251">
                  <c:v>-3.9288472104472963E-2</c:v>
                </c:pt>
                <c:pt idx="9252">
                  <c:v>-9.8650051878807488E-3</c:v>
                </c:pt>
                <c:pt idx="9253">
                  <c:v>2.0641292490179465E-2</c:v>
                </c:pt>
                <c:pt idx="9254">
                  <c:v>2.406148769705712E-2</c:v>
                </c:pt>
                <c:pt idx="9255">
                  <c:v>8.9424401314690035E-3</c:v>
                </c:pt>
                <c:pt idx="9256">
                  <c:v>-9.4532867197384667E-3</c:v>
                </c:pt>
                <c:pt idx="9257">
                  <c:v>1.0800363149588882E-2</c:v>
                </c:pt>
                <c:pt idx="9258">
                  <c:v>-9.8905387752353264E-3</c:v>
                </c:pt>
                <c:pt idx="9259">
                  <c:v>5.5046152662211814E-2</c:v>
                </c:pt>
                <c:pt idx="9260">
                  <c:v>-2.5573319470522126E-3</c:v>
                </c:pt>
                <c:pt idx="9261">
                  <c:v>2.9152185104367141E-2</c:v>
                </c:pt>
                <c:pt idx="9262">
                  <c:v>1.3369837855532528E-2</c:v>
                </c:pt>
                <c:pt idx="9263">
                  <c:v>2.9736183537107736E-2</c:v>
                </c:pt>
                <c:pt idx="9264">
                  <c:v>1.0488270835350541E-2</c:v>
                </c:pt>
                <c:pt idx="9265">
                  <c:v>-4.0115162480761531E-2</c:v>
                </c:pt>
                <c:pt idx="9266">
                  <c:v>-3.2737135161854093E-2</c:v>
                </c:pt>
                <c:pt idx="9267">
                  <c:v>1.6077599256360525E-2</c:v>
                </c:pt>
                <c:pt idx="9268">
                  <c:v>-2.3080500487610338E-2</c:v>
                </c:pt>
                <c:pt idx="9269">
                  <c:v>3.5187086684313709E-2</c:v>
                </c:pt>
                <c:pt idx="9270">
                  <c:v>-2.1497495099287871E-2</c:v>
                </c:pt>
                <c:pt idx="9271">
                  <c:v>1.7826019846559099E-2</c:v>
                </c:pt>
                <c:pt idx="9272">
                  <c:v>1.1940392048699653E-2</c:v>
                </c:pt>
                <c:pt idx="9273">
                  <c:v>-1.1454148647232596E-2</c:v>
                </c:pt>
                <c:pt idx="9274">
                  <c:v>-6.2255465761102847E-3</c:v>
                </c:pt>
                <c:pt idx="9275">
                  <c:v>1.1149230856601527E-2</c:v>
                </c:pt>
                <c:pt idx="9276">
                  <c:v>5.4415471403829477E-2</c:v>
                </c:pt>
                <c:pt idx="9277">
                  <c:v>-1.6680917188893939E-2</c:v>
                </c:pt>
                <c:pt idx="9278">
                  <c:v>1.4630245281764738E-2</c:v>
                </c:pt>
                <c:pt idx="9279">
                  <c:v>-2.3993654002442698E-2</c:v>
                </c:pt>
                <c:pt idx="9280">
                  <c:v>-1.269225086011177E-3</c:v>
                </c:pt>
                <c:pt idx="9281">
                  <c:v>2.9325226812930271E-3</c:v>
                </c:pt>
                <c:pt idx="9282">
                  <c:v>1.2052623047208793E-2</c:v>
                </c:pt>
                <c:pt idx="9283">
                  <c:v>3.4254391132078628E-2</c:v>
                </c:pt>
                <c:pt idx="9284">
                  <c:v>2.7462217071320686E-2</c:v>
                </c:pt>
                <c:pt idx="9285">
                  <c:v>-1.5460091076103362E-2</c:v>
                </c:pt>
                <c:pt idx="9286">
                  <c:v>1.365072146360851E-2</c:v>
                </c:pt>
                <c:pt idx="9287">
                  <c:v>1.9648009037846702E-2</c:v>
                </c:pt>
                <c:pt idx="9288">
                  <c:v>-1.5681611139353697E-2</c:v>
                </c:pt>
                <c:pt idx="9289">
                  <c:v>-1.4859482962992138E-2</c:v>
                </c:pt>
                <c:pt idx="9290">
                  <c:v>2.7425235020465687E-2</c:v>
                </c:pt>
                <c:pt idx="9291">
                  <c:v>-1.7258113151444539E-2</c:v>
                </c:pt>
                <c:pt idx="9292">
                  <c:v>-2.5605252554846431E-2</c:v>
                </c:pt>
                <c:pt idx="9293">
                  <c:v>2.859749997659808E-3</c:v>
                </c:pt>
                <c:pt idx="9294">
                  <c:v>-2.1107607269458217E-2</c:v>
                </c:pt>
                <c:pt idx="9295">
                  <c:v>-2.718124259765177E-3</c:v>
                </c:pt>
                <c:pt idx="9296">
                  <c:v>2.0592184481167349E-2</c:v>
                </c:pt>
                <c:pt idx="9297">
                  <c:v>-1.4334307654514107E-2</c:v>
                </c:pt>
                <c:pt idx="9298">
                  <c:v>4.0447667510811844E-2</c:v>
                </c:pt>
                <c:pt idx="9299">
                  <c:v>-1.1392177938681537E-2</c:v>
                </c:pt>
                <c:pt idx="9300">
                  <c:v>-1.0489004681025064E-2</c:v>
                </c:pt>
                <c:pt idx="9301">
                  <c:v>2.0906535957652354E-2</c:v>
                </c:pt>
                <c:pt idx="9302">
                  <c:v>-3.2464776743582384E-2</c:v>
                </c:pt>
                <c:pt idx="9303">
                  <c:v>3.1544718379849845E-2</c:v>
                </c:pt>
                <c:pt idx="9304">
                  <c:v>9.2101111257095209E-3</c:v>
                </c:pt>
                <c:pt idx="9305">
                  <c:v>3.1217051195697173E-2</c:v>
                </c:pt>
                <c:pt idx="9306">
                  <c:v>1.2109839617560555E-2</c:v>
                </c:pt>
                <c:pt idx="9307">
                  <c:v>-1.6090672142086075E-3</c:v>
                </c:pt>
                <c:pt idx="9308">
                  <c:v>-2.4277251982199124E-2</c:v>
                </c:pt>
                <c:pt idx="9309">
                  <c:v>2.1352857941395017E-2</c:v>
                </c:pt>
                <c:pt idx="9310">
                  <c:v>7.8184146512511321E-3</c:v>
                </c:pt>
                <c:pt idx="9311">
                  <c:v>-5.1306892259970344E-3</c:v>
                </c:pt>
                <c:pt idx="9312">
                  <c:v>-1.8299510047654868E-2</c:v>
                </c:pt>
                <c:pt idx="9313">
                  <c:v>1.7514990155140089E-2</c:v>
                </c:pt>
                <c:pt idx="9314">
                  <c:v>2.5287333072540538E-2</c:v>
                </c:pt>
                <c:pt idx="9315">
                  <c:v>1.2896664250083153E-3</c:v>
                </c:pt>
                <c:pt idx="9316">
                  <c:v>-9.3365033422475189E-4</c:v>
                </c:pt>
                <c:pt idx="9317">
                  <c:v>-4.384167881725496E-2</c:v>
                </c:pt>
                <c:pt idx="9318">
                  <c:v>-1.8328817642672322E-2</c:v>
                </c:pt>
                <c:pt idx="9319">
                  <c:v>-8.5094555464349016E-3</c:v>
                </c:pt>
                <c:pt idx="9320">
                  <c:v>-5.3952887764971424E-3</c:v>
                </c:pt>
                <c:pt idx="9321">
                  <c:v>7.3714809930210366E-3</c:v>
                </c:pt>
                <c:pt idx="9322">
                  <c:v>2.0245878170608043E-2</c:v>
                </c:pt>
                <c:pt idx="9323">
                  <c:v>2.3658966041087335E-2</c:v>
                </c:pt>
                <c:pt idx="9324">
                  <c:v>-3.360685935130564E-2</c:v>
                </c:pt>
                <c:pt idx="9325">
                  <c:v>2.1088784820162205E-2</c:v>
                </c:pt>
                <c:pt idx="9326">
                  <c:v>1.7533317116442886E-2</c:v>
                </c:pt>
                <c:pt idx="9327">
                  <c:v>-2.9510606600852488E-2</c:v>
                </c:pt>
                <c:pt idx="9328">
                  <c:v>9.4223392395051727E-3</c:v>
                </c:pt>
                <c:pt idx="9329">
                  <c:v>8.8727862514203018E-3</c:v>
                </c:pt>
                <c:pt idx="9330">
                  <c:v>5.7893929593758747E-3</c:v>
                </c:pt>
                <c:pt idx="9331">
                  <c:v>4.5215697053047378E-3</c:v>
                </c:pt>
                <c:pt idx="9332">
                  <c:v>-4.2740396586275223E-2</c:v>
                </c:pt>
                <c:pt idx="9333">
                  <c:v>4.192241499675519E-2</c:v>
                </c:pt>
                <c:pt idx="9334">
                  <c:v>4.1634556030370473E-2</c:v>
                </c:pt>
                <c:pt idx="9335">
                  <c:v>-2.3640589496255412E-2</c:v>
                </c:pt>
                <c:pt idx="9336">
                  <c:v>-1.5245044345398733E-2</c:v>
                </c:pt>
                <c:pt idx="9337">
                  <c:v>8.7438013961844661E-3</c:v>
                </c:pt>
                <c:pt idx="9338">
                  <c:v>2.7764457841312241E-2</c:v>
                </c:pt>
                <c:pt idx="9339">
                  <c:v>8.0829599600596783E-3</c:v>
                </c:pt>
                <c:pt idx="9340">
                  <c:v>-4.5474947107860446E-6</c:v>
                </c:pt>
                <c:pt idx="9341">
                  <c:v>-3.1243525677629575E-2</c:v>
                </c:pt>
                <c:pt idx="9342">
                  <c:v>-2.238228154438842E-2</c:v>
                </c:pt>
                <c:pt idx="9343">
                  <c:v>-3.5652335440666794E-3</c:v>
                </c:pt>
                <c:pt idx="9344">
                  <c:v>6.9400093591229766E-3</c:v>
                </c:pt>
                <c:pt idx="9345">
                  <c:v>-8.5944303230500608E-3</c:v>
                </c:pt>
                <c:pt idx="9346">
                  <c:v>1.4331527273854365E-2</c:v>
                </c:pt>
                <c:pt idx="9347">
                  <c:v>-6.5891335609592865E-3</c:v>
                </c:pt>
                <c:pt idx="9348">
                  <c:v>-2.0325496980104396E-3</c:v>
                </c:pt>
                <c:pt idx="9349">
                  <c:v>2.5269457444712155E-2</c:v>
                </c:pt>
                <c:pt idx="9350">
                  <c:v>-5.5079628702631875E-2</c:v>
                </c:pt>
                <c:pt idx="9351">
                  <c:v>-1.8280988623117219E-2</c:v>
                </c:pt>
                <c:pt idx="9352">
                  <c:v>2.0759065591553147E-2</c:v>
                </c:pt>
                <c:pt idx="9353">
                  <c:v>1.9767077505247917E-2</c:v>
                </c:pt>
                <c:pt idx="9354">
                  <c:v>-2.6509121877835957E-2</c:v>
                </c:pt>
                <c:pt idx="9355">
                  <c:v>-8.2250787295877759E-3</c:v>
                </c:pt>
                <c:pt idx="9356">
                  <c:v>-7.6964618694484142E-3</c:v>
                </c:pt>
                <c:pt idx="9357">
                  <c:v>-5.246789475535097E-2</c:v>
                </c:pt>
                <c:pt idx="9358">
                  <c:v>3.1567581931189151E-2</c:v>
                </c:pt>
                <c:pt idx="9359">
                  <c:v>-1.5776808723430708E-2</c:v>
                </c:pt>
                <c:pt idx="9360">
                  <c:v>1.0915035422620475E-3</c:v>
                </c:pt>
                <c:pt idx="9361">
                  <c:v>-6.7708390762426744E-3</c:v>
                </c:pt>
                <c:pt idx="9362">
                  <c:v>-3.651444739332968E-2</c:v>
                </c:pt>
                <c:pt idx="9363">
                  <c:v>2.4125656657305344E-2</c:v>
                </c:pt>
                <c:pt idx="9364">
                  <c:v>-2.955499061225941E-2</c:v>
                </c:pt>
                <c:pt idx="9365">
                  <c:v>3.5548556708353177E-2</c:v>
                </c:pt>
                <c:pt idx="9366">
                  <c:v>-2.1969140329856838E-2</c:v>
                </c:pt>
                <c:pt idx="9367">
                  <c:v>6.1525228825627404E-3</c:v>
                </c:pt>
                <c:pt idx="9368">
                  <c:v>-2.6099745773502117E-2</c:v>
                </c:pt>
                <c:pt idx="9369">
                  <c:v>1.6887798747068496E-2</c:v>
                </c:pt>
                <c:pt idx="9370">
                  <c:v>1.2910384467293003E-2</c:v>
                </c:pt>
                <c:pt idx="9371">
                  <c:v>9.3453595671576222E-3</c:v>
                </c:pt>
                <c:pt idx="9372">
                  <c:v>8.2605276361391172E-3</c:v>
                </c:pt>
                <c:pt idx="9373">
                  <c:v>-1.1111238738036357E-2</c:v>
                </c:pt>
                <c:pt idx="9374">
                  <c:v>7.4900062843902236E-3</c:v>
                </c:pt>
                <c:pt idx="9375">
                  <c:v>5.4425341092910938E-2</c:v>
                </c:pt>
                <c:pt idx="9376">
                  <c:v>-3.6475939417007303E-2</c:v>
                </c:pt>
                <c:pt idx="9377">
                  <c:v>1.475069515376611E-2</c:v>
                </c:pt>
                <c:pt idx="9378">
                  <c:v>7.7180288804833443E-3</c:v>
                </c:pt>
                <c:pt idx="9379">
                  <c:v>-3.791436591844229E-3</c:v>
                </c:pt>
                <c:pt idx="9380">
                  <c:v>3.0090480634775087E-3</c:v>
                </c:pt>
                <c:pt idx="9381">
                  <c:v>9.5537204474303566E-3</c:v>
                </c:pt>
                <c:pt idx="9382">
                  <c:v>6.2299563380292539E-3</c:v>
                </c:pt>
                <c:pt idx="9383">
                  <c:v>-2.3521072522327133E-2</c:v>
                </c:pt>
                <c:pt idx="9384">
                  <c:v>-1.2794812020997825E-3</c:v>
                </c:pt>
                <c:pt idx="9385">
                  <c:v>2.3893361212454247E-2</c:v>
                </c:pt>
                <c:pt idx="9386">
                  <c:v>-4.6050044090635324E-2</c:v>
                </c:pt>
                <c:pt idx="9387">
                  <c:v>-1.7397735728624384E-2</c:v>
                </c:pt>
                <c:pt idx="9388">
                  <c:v>1.0840386786916905E-2</c:v>
                </c:pt>
                <c:pt idx="9389">
                  <c:v>-2.7650833513507421E-3</c:v>
                </c:pt>
                <c:pt idx="9390">
                  <c:v>2.1368162911283442E-3</c:v>
                </c:pt>
                <c:pt idx="9391">
                  <c:v>2.4348567161388373E-2</c:v>
                </c:pt>
                <c:pt idx="9392">
                  <c:v>2.4177161117933772E-4</c:v>
                </c:pt>
                <c:pt idx="9393">
                  <c:v>9.5170224142522887E-3</c:v>
                </c:pt>
                <c:pt idx="9394">
                  <c:v>-3.5905545324907716E-2</c:v>
                </c:pt>
                <c:pt idx="9395">
                  <c:v>-1.6555795898470074E-2</c:v>
                </c:pt>
                <c:pt idx="9396">
                  <c:v>-2.31916828553668E-2</c:v>
                </c:pt>
                <c:pt idx="9397">
                  <c:v>5.0732345857621694E-2</c:v>
                </c:pt>
                <c:pt idx="9398">
                  <c:v>2.733235749024154E-2</c:v>
                </c:pt>
                <c:pt idx="9399">
                  <c:v>-5.9249835831168881E-4</c:v>
                </c:pt>
                <c:pt idx="9400">
                  <c:v>1.9660233726056867E-2</c:v>
                </c:pt>
                <c:pt idx="9401">
                  <c:v>6.9761875517858531E-3</c:v>
                </c:pt>
                <c:pt idx="9402">
                  <c:v>6.4692877654747606E-3</c:v>
                </c:pt>
                <c:pt idx="9403">
                  <c:v>-3.7112701540913541E-2</c:v>
                </c:pt>
                <c:pt idx="9404">
                  <c:v>-2.0071915379074535E-2</c:v>
                </c:pt>
                <c:pt idx="9405">
                  <c:v>1.8874840697105572E-2</c:v>
                </c:pt>
                <c:pt idx="9406">
                  <c:v>1.8384436326630411E-2</c:v>
                </c:pt>
                <c:pt idx="9407">
                  <c:v>-3.3925837274162911E-3</c:v>
                </c:pt>
                <c:pt idx="9408">
                  <c:v>-1.9731088457304044E-3</c:v>
                </c:pt>
                <c:pt idx="9409">
                  <c:v>1.1004182032245955E-2</c:v>
                </c:pt>
                <c:pt idx="9410">
                  <c:v>2.7667220607748514E-2</c:v>
                </c:pt>
                <c:pt idx="9411">
                  <c:v>-1.4753557435762107E-2</c:v>
                </c:pt>
                <c:pt idx="9412">
                  <c:v>2.6641899689226315E-2</c:v>
                </c:pt>
                <c:pt idx="9413">
                  <c:v>4.5767009369710863E-2</c:v>
                </c:pt>
                <c:pt idx="9414">
                  <c:v>-1.0081661050572241E-2</c:v>
                </c:pt>
                <c:pt idx="9415">
                  <c:v>-1.222985354275547E-2</c:v>
                </c:pt>
                <c:pt idx="9416">
                  <c:v>-3.1813429096067984E-2</c:v>
                </c:pt>
                <c:pt idx="9417">
                  <c:v>-3.2681226159303717E-2</c:v>
                </c:pt>
                <c:pt idx="9418">
                  <c:v>9.4189453471543363E-3</c:v>
                </c:pt>
                <c:pt idx="9419">
                  <c:v>-1.5023604752370065E-2</c:v>
                </c:pt>
                <c:pt idx="9420">
                  <c:v>-8.2995596244516051E-2</c:v>
                </c:pt>
                <c:pt idx="9421">
                  <c:v>-7.8422039866794836E-3</c:v>
                </c:pt>
                <c:pt idx="9422">
                  <c:v>-2.706011300475673E-2</c:v>
                </c:pt>
                <c:pt idx="9423">
                  <c:v>1.7181753603356935E-2</c:v>
                </c:pt>
                <c:pt idx="9424">
                  <c:v>3.2085928673837E-2</c:v>
                </c:pt>
                <c:pt idx="9425">
                  <c:v>2.4024526571555144E-2</c:v>
                </c:pt>
                <c:pt idx="9426">
                  <c:v>-6.0755999272082868E-3</c:v>
                </c:pt>
                <c:pt idx="9427">
                  <c:v>-4.8555179343738541E-2</c:v>
                </c:pt>
                <c:pt idx="9428">
                  <c:v>-1.578370953040556E-2</c:v>
                </c:pt>
                <c:pt idx="9429">
                  <c:v>-1.8060036502413074E-2</c:v>
                </c:pt>
                <c:pt idx="9430">
                  <c:v>-8.75414505049045E-3</c:v>
                </c:pt>
                <c:pt idx="9431">
                  <c:v>3.522743343557799E-3</c:v>
                </c:pt>
                <c:pt idx="9432">
                  <c:v>4.2953418442177281E-2</c:v>
                </c:pt>
                <c:pt idx="9433">
                  <c:v>-2.0230604037398042E-2</c:v>
                </c:pt>
                <c:pt idx="9434">
                  <c:v>3.0682939290811187E-2</c:v>
                </c:pt>
                <c:pt idx="9435">
                  <c:v>-5.5835642237579211E-3</c:v>
                </c:pt>
                <c:pt idx="9436">
                  <c:v>1.469185188954206E-3</c:v>
                </c:pt>
                <c:pt idx="9437">
                  <c:v>-3.2982374491771445E-2</c:v>
                </c:pt>
                <c:pt idx="9438">
                  <c:v>3.2402739413518157E-2</c:v>
                </c:pt>
                <c:pt idx="9439">
                  <c:v>5.0332141174103597E-2</c:v>
                </c:pt>
                <c:pt idx="9440">
                  <c:v>1.0460695772666739E-2</c:v>
                </c:pt>
                <c:pt idx="9441">
                  <c:v>-5.936598589717193E-3</c:v>
                </c:pt>
                <c:pt idx="9442">
                  <c:v>-5.0741988957646394E-2</c:v>
                </c:pt>
                <c:pt idx="9443">
                  <c:v>1.1092571300674071E-2</c:v>
                </c:pt>
                <c:pt idx="9444">
                  <c:v>2.002531386471558E-2</c:v>
                </c:pt>
                <c:pt idx="9445">
                  <c:v>3.1832928193676223E-3</c:v>
                </c:pt>
                <c:pt idx="9446">
                  <c:v>6.639504957975127E-4</c:v>
                </c:pt>
                <c:pt idx="9447">
                  <c:v>2.9320557817309649E-3</c:v>
                </c:pt>
                <c:pt idx="9448">
                  <c:v>9.8489946226147478E-4</c:v>
                </c:pt>
                <c:pt idx="9449">
                  <c:v>-2.0336568812862062E-2</c:v>
                </c:pt>
                <c:pt idx="9450">
                  <c:v>-1.5777529715656068E-2</c:v>
                </c:pt>
                <c:pt idx="9451">
                  <c:v>1.8586225163617061E-3</c:v>
                </c:pt>
                <c:pt idx="9452">
                  <c:v>1.2417263916312243E-2</c:v>
                </c:pt>
                <c:pt idx="9453">
                  <c:v>-1.5970988005947137E-2</c:v>
                </c:pt>
                <c:pt idx="9454">
                  <c:v>-2.5944377641151654E-2</c:v>
                </c:pt>
                <c:pt idx="9455">
                  <c:v>-6.5084643541443582E-3</c:v>
                </c:pt>
                <c:pt idx="9456">
                  <c:v>-1.3057711733934479E-2</c:v>
                </c:pt>
                <c:pt idx="9457">
                  <c:v>-2.2200080952790656E-2</c:v>
                </c:pt>
                <c:pt idx="9458">
                  <c:v>5.64832526652825E-3</c:v>
                </c:pt>
                <c:pt idx="9459">
                  <c:v>-4.1212807980657018E-3</c:v>
                </c:pt>
                <c:pt idx="9460">
                  <c:v>-1.4858850079064168E-2</c:v>
                </c:pt>
                <c:pt idx="9461">
                  <c:v>-2.7815916601138562E-2</c:v>
                </c:pt>
                <c:pt idx="9462">
                  <c:v>-2.34499786937067E-2</c:v>
                </c:pt>
                <c:pt idx="9463">
                  <c:v>1.1645079955242499E-2</c:v>
                </c:pt>
                <c:pt idx="9464">
                  <c:v>1.6615713472309449E-2</c:v>
                </c:pt>
                <c:pt idx="9465">
                  <c:v>-2.1001475866912766E-2</c:v>
                </c:pt>
                <c:pt idx="9466">
                  <c:v>3.1868529655587188E-2</c:v>
                </c:pt>
                <c:pt idx="9467">
                  <c:v>2.5527300554128583E-2</c:v>
                </c:pt>
                <c:pt idx="9468">
                  <c:v>7.0159139448652368E-3</c:v>
                </c:pt>
                <c:pt idx="9469">
                  <c:v>1.0091631824138296E-2</c:v>
                </c:pt>
                <c:pt idx="9470">
                  <c:v>1.7310195197531669E-2</c:v>
                </c:pt>
                <c:pt idx="9471">
                  <c:v>-1.3268244712504663E-2</c:v>
                </c:pt>
                <c:pt idx="9472">
                  <c:v>-2.3427558212208311E-2</c:v>
                </c:pt>
                <c:pt idx="9473">
                  <c:v>1.8710419698220262E-3</c:v>
                </c:pt>
                <c:pt idx="9474">
                  <c:v>3.0440359052839493E-2</c:v>
                </c:pt>
                <c:pt idx="9475">
                  <c:v>-8.5646724999125542E-4</c:v>
                </c:pt>
                <c:pt idx="9476">
                  <c:v>-2.5812085632754458E-2</c:v>
                </c:pt>
                <c:pt idx="9477">
                  <c:v>2.1391925309994026E-2</c:v>
                </c:pt>
                <c:pt idx="9478">
                  <c:v>-3.0350710125562636E-2</c:v>
                </c:pt>
                <c:pt idx="9479">
                  <c:v>1.7818089278978665E-2</c:v>
                </c:pt>
                <c:pt idx="9480">
                  <c:v>-4.7141592635021497E-3</c:v>
                </c:pt>
                <c:pt idx="9481">
                  <c:v>-1.6071310331193891E-4</c:v>
                </c:pt>
                <c:pt idx="9482">
                  <c:v>2.7613878769256663E-2</c:v>
                </c:pt>
                <c:pt idx="9483">
                  <c:v>2.534367754508212E-2</c:v>
                </c:pt>
                <c:pt idx="9484">
                  <c:v>3.3510830353593667E-2</c:v>
                </c:pt>
                <c:pt idx="9485">
                  <c:v>-4.0908952721404754E-2</c:v>
                </c:pt>
                <c:pt idx="9486">
                  <c:v>1.1815588647418548E-3</c:v>
                </c:pt>
                <c:pt idx="9487">
                  <c:v>4.638585438295529E-3</c:v>
                </c:pt>
                <c:pt idx="9488">
                  <c:v>-2.4001872413131363E-2</c:v>
                </c:pt>
                <c:pt idx="9489">
                  <c:v>1.2528969040966358E-2</c:v>
                </c:pt>
                <c:pt idx="9490">
                  <c:v>-2.8043346166589062E-2</c:v>
                </c:pt>
                <c:pt idx="9491">
                  <c:v>4.3371683802914535E-3</c:v>
                </c:pt>
                <c:pt idx="9492">
                  <c:v>-2.2720657262587159E-2</c:v>
                </c:pt>
                <c:pt idx="9493">
                  <c:v>-1.4520441963206825E-2</c:v>
                </c:pt>
                <c:pt idx="9494">
                  <c:v>1.8493548607730257E-2</c:v>
                </c:pt>
                <c:pt idx="9495">
                  <c:v>-4.3500846924117188E-3</c:v>
                </c:pt>
                <c:pt idx="9496">
                  <c:v>-4.528866725528052E-3</c:v>
                </c:pt>
                <c:pt idx="9497">
                  <c:v>-4.2007801362607511E-2</c:v>
                </c:pt>
                <c:pt idx="9498">
                  <c:v>-3.213256146019305E-3</c:v>
                </c:pt>
                <c:pt idx="9499">
                  <c:v>2.4585653809951889E-2</c:v>
                </c:pt>
                <c:pt idx="9500">
                  <c:v>-3.0238171206809081E-2</c:v>
                </c:pt>
                <c:pt idx="9501">
                  <c:v>-9.4372076248708907E-3</c:v>
                </c:pt>
                <c:pt idx="9502">
                  <c:v>-3.6132992730406985E-3</c:v>
                </c:pt>
                <c:pt idx="9503">
                  <c:v>5.4115207442999282E-2</c:v>
                </c:pt>
                <c:pt idx="9504">
                  <c:v>3.6338176283603148E-2</c:v>
                </c:pt>
                <c:pt idx="9505">
                  <c:v>-2.807658298759242E-2</c:v>
                </c:pt>
                <c:pt idx="9506">
                  <c:v>-2.6857665775927037E-3</c:v>
                </c:pt>
                <c:pt idx="9507">
                  <c:v>-4.2038230615233756E-3</c:v>
                </c:pt>
                <c:pt idx="9508">
                  <c:v>-1.6065115819577844E-2</c:v>
                </c:pt>
                <c:pt idx="9509">
                  <c:v>-2.8822937171193996E-4</c:v>
                </c:pt>
                <c:pt idx="9510">
                  <c:v>5.0423309851850021E-2</c:v>
                </c:pt>
                <c:pt idx="9511">
                  <c:v>8.6729318643515782E-3</c:v>
                </c:pt>
                <c:pt idx="9512">
                  <c:v>2.5590925708885867E-2</c:v>
                </c:pt>
                <c:pt idx="9513">
                  <c:v>8.3090357147807235E-4</c:v>
                </c:pt>
                <c:pt idx="9514">
                  <c:v>2.4768719846759536E-2</c:v>
                </c:pt>
                <c:pt idx="9515">
                  <c:v>-2.1008863767193877E-2</c:v>
                </c:pt>
                <c:pt idx="9516">
                  <c:v>-5.1628342419454219E-3</c:v>
                </c:pt>
                <c:pt idx="9517">
                  <c:v>7.2870377060514097E-3</c:v>
                </c:pt>
                <c:pt idx="9518">
                  <c:v>-3.0534336124409065E-2</c:v>
                </c:pt>
                <c:pt idx="9519">
                  <c:v>4.4720147611450836E-2</c:v>
                </c:pt>
                <c:pt idx="9520">
                  <c:v>-1.720583414940156E-2</c:v>
                </c:pt>
                <c:pt idx="9521">
                  <c:v>1.5909728842426266E-2</c:v>
                </c:pt>
                <c:pt idx="9522">
                  <c:v>4.8023399256342698E-2</c:v>
                </c:pt>
                <c:pt idx="9523">
                  <c:v>2.8760755145949612E-2</c:v>
                </c:pt>
                <c:pt idx="9524">
                  <c:v>3.4267864997315517E-2</c:v>
                </c:pt>
                <c:pt idx="9525">
                  <c:v>-3.2982132122638431E-2</c:v>
                </c:pt>
                <c:pt idx="9526">
                  <c:v>-1.2068013460096835E-2</c:v>
                </c:pt>
                <c:pt idx="9527">
                  <c:v>-4.2392002015046262E-5</c:v>
                </c:pt>
                <c:pt idx="9528">
                  <c:v>2.1648145831338166E-2</c:v>
                </c:pt>
                <c:pt idx="9529">
                  <c:v>-4.1917226991858035E-2</c:v>
                </c:pt>
                <c:pt idx="9530">
                  <c:v>-2.85399962016183E-2</c:v>
                </c:pt>
                <c:pt idx="9531">
                  <c:v>2.335511523784585E-2</c:v>
                </c:pt>
                <c:pt idx="9532">
                  <c:v>-4.0587704820671824E-2</c:v>
                </c:pt>
                <c:pt idx="9533">
                  <c:v>-6.776001426910639E-3</c:v>
                </c:pt>
                <c:pt idx="9534">
                  <c:v>-3.178543293438339E-3</c:v>
                </c:pt>
                <c:pt idx="9535">
                  <c:v>-1.8319433101668364E-2</c:v>
                </c:pt>
                <c:pt idx="9536">
                  <c:v>-1.598265164114358E-2</c:v>
                </c:pt>
                <c:pt idx="9537">
                  <c:v>2.1491202725682692E-2</c:v>
                </c:pt>
                <c:pt idx="9538">
                  <c:v>-1.0498910940626065E-2</c:v>
                </c:pt>
                <c:pt idx="9539">
                  <c:v>-3.1493611607245641E-3</c:v>
                </c:pt>
                <c:pt idx="9540">
                  <c:v>5.4354509016360152E-2</c:v>
                </c:pt>
                <c:pt idx="9541">
                  <c:v>3.5446045375908991E-3</c:v>
                </c:pt>
                <c:pt idx="9542">
                  <c:v>7.295061592825591E-3</c:v>
                </c:pt>
                <c:pt idx="9543">
                  <c:v>-1.6274153477462867E-2</c:v>
                </c:pt>
                <c:pt idx="9544">
                  <c:v>5.6706123170859164E-2</c:v>
                </c:pt>
                <c:pt idx="9545">
                  <c:v>-4.145742558312333E-3</c:v>
                </c:pt>
                <c:pt idx="9546">
                  <c:v>-3.8961127591762436E-2</c:v>
                </c:pt>
                <c:pt idx="9547">
                  <c:v>-6.4395901979703851E-3</c:v>
                </c:pt>
                <c:pt idx="9548">
                  <c:v>-5.6855258518828337E-3</c:v>
                </c:pt>
                <c:pt idx="9549">
                  <c:v>-1.2195191310685275E-2</c:v>
                </c:pt>
                <c:pt idx="9550">
                  <c:v>3.9718920194949797E-3</c:v>
                </c:pt>
                <c:pt idx="9551">
                  <c:v>2.5658346086923859E-2</c:v>
                </c:pt>
                <c:pt idx="9552">
                  <c:v>-1.5610079247679938E-2</c:v>
                </c:pt>
                <c:pt idx="9553">
                  <c:v>2.6007388035717866E-2</c:v>
                </c:pt>
                <c:pt idx="9554">
                  <c:v>-2.0013068666609429E-2</c:v>
                </c:pt>
                <c:pt idx="9555">
                  <c:v>-6.6233882072169875E-3</c:v>
                </c:pt>
                <c:pt idx="9556">
                  <c:v>5.0013585846795522E-3</c:v>
                </c:pt>
                <c:pt idx="9557">
                  <c:v>-8.5018090474102657E-3</c:v>
                </c:pt>
                <c:pt idx="9558">
                  <c:v>-3.2567109347453979E-2</c:v>
                </c:pt>
                <c:pt idx="9559">
                  <c:v>-2.0632818746608109E-2</c:v>
                </c:pt>
                <c:pt idx="9560">
                  <c:v>-3.1184019088864394E-3</c:v>
                </c:pt>
                <c:pt idx="9561">
                  <c:v>3.0976455897424801E-2</c:v>
                </c:pt>
                <c:pt idx="9562">
                  <c:v>4.0222909028033091E-3</c:v>
                </c:pt>
                <c:pt idx="9563">
                  <c:v>1.3920777866205795E-2</c:v>
                </c:pt>
                <c:pt idx="9564">
                  <c:v>-1.9720395452657732E-3</c:v>
                </c:pt>
                <c:pt idx="9565">
                  <c:v>-2.2965335171637125E-2</c:v>
                </c:pt>
                <c:pt idx="9566">
                  <c:v>9.568129586867466E-3</c:v>
                </c:pt>
                <c:pt idx="9567">
                  <c:v>-2.9497225936649857E-2</c:v>
                </c:pt>
                <c:pt idx="9568">
                  <c:v>-2.8393111219891996E-2</c:v>
                </c:pt>
                <c:pt idx="9569">
                  <c:v>-2.3477249028795541E-2</c:v>
                </c:pt>
                <c:pt idx="9570">
                  <c:v>5.2667830307513569E-3</c:v>
                </c:pt>
                <c:pt idx="9571">
                  <c:v>-1.1457105207726954E-2</c:v>
                </c:pt>
                <c:pt idx="9572">
                  <c:v>-3.7836054625318784E-2</c:v>
                </c:pt>
                <c:pt idx="9573">
                  <c:v>-1.1400249975195915E-2</c:v>
                </c:pt>
                <c:pt idx="9574">
                  <c:v>4.4375436736123382E-3</c:v>
                </c:pt>
                <c:pt idx="9575">
                  <c:v>-2.3295111641865783E-2</c:v>
                </c:pt>
                <c:pt idx="9576">
                  <c:v>3.3352406162024451E-2</c:v>
                </c:pt>
                <c:pt idx="9577">
                  <c:v>-1.1548908148961033E-2</c:v>
                </c:pt>
                <c:pt idx="9578">
                  <c:v>-2.4838861368829682E-2</c:v>
                </c:pt>
                <c:pt idx="9579">
                  <c:v>7.5707555453040053E-3</c:v>
                </c:pt>
                <c:pt idx="9580">
                  <c:v>-2.1381098387280785E-2</c:v>
                </c:pt>
                <c:pt idx="9581">
                  <c:v>-2.3036698208668039E-2</c:v>
                </c:pt>
                <c:pt idx="9582">
                  <c:v>1.8360555780044915E-2</c:v>
                </c:pt>
                <c:pt idx="9583">
                  <c:v>-1.6602567760334912E-2</c:v>
                </c:pt>
                <c:pt idx="9584">
                  <c:v>2.5509324867215759E-3</c:v>
                </c:pt>
                <c:pt idx="9585">
                  <c:v>1.218785114378294E-2</c:v>
                </c:pt>
                <c:pt idx="9586">
                  <c:v>-4.5973982491482615E-2</c:v>
                </c:pt>
                <c:pt idx="9587">
                  <c:v>-2.3052611836549965E-2</c:v>
                </c:pt>
                <c:pt idx="9588">
                  <c:v>-1.1080367545914195E-2</c:v>
                </c:pt>
                <c:pt idx="9589">
                  <c:v>-2.728000745209308E-2</c:v>
                </c:pt>
                <c:pt idx="9590">
                  <c:v>-7.3608341856355383E-3</c:v>
                </c:pt>
                <c:pt idx="9591">
                  <c:v>4.1561826776290278E-2</c:v>
                </c:pt>
                <c:pt idx="9592">
                  <c:v>-3.5383654437106389E-3</c:v>
                </c:pt>
                <c:pt idx="9593">
                  <c:v>-1.2893828764551654E-2</c:v>
                </c:pt>
                <c:pt idx="9594">
                  <c:v>-5.748464201633826E-3</c:v>
                </c:pt>
                <c:pt idx="9595">
                  <c:v>2.7061213812786807E-2</c:v>
                </c:pt>
                <c:pt idx="9596">
                  <c:v>1.2116429061570968E-3</c:v>
                </c:pt>
                <c:pt idx="9597">
                  <c:v>-2.3376200889559124E-2</c:v>
                </c:pt>
                <c:pt idx="9598">
                  <c:v>-1.0502207069259946E-2</c:v>
                </c:pt>
                <c:pt idx="9599">
                  <c:v>-3.1821528980235277E-2</c:v>
                </c:pt>
                <c:pt idx="9600">
                  <c:v>1.5429206603975599E-3</c:v>
                </c:pt>
                <c:pt idx="9601">
                  <c:v>2.7853121923417285E-2</c:v>
                </c:pt>
                <c:pt idx="9602">
                  <c:v>-3.4174197722859601E-4</c:v>
                </c:pt>
                <c:pt idx="9603">
                  <c:v>-5.1841012084017455E-3</c:v>
                </c:pt>
                <c:pt idx="9604">
                  <c:v>1.5557089357043008E-3</c:v>
                </c:pt>
                <c:pt idx="9605">
                  <c:v>7.4947450793159606E-3</c:v>
                </c:pt>
                <c:pt idx="9606">
                  <c:v>-2.0555381803761222E-2</c:v>
                </c:pt>
                <c:pt idx="9607">
                  <c:v>3.4384465020991954E-2</c:v>
                </c:pt>
                <c:pt idx="9608">
                  <c:v>-2.1771776846993608E-3</c:v>
                </c:pt>
                <c:pt idx="9609">
                  <c:v>-1.439273612725119E-2</c:v>
                </c:pt>
                <c:pt idx="9610">
                  <c:v>1.7447226786825868E-2</c:v>
                </c:pt>
                <c:pt idx="9611">
                  <c:v>-1.6067891783460464E-2</c:v>
                </c:pt>
                <c:pt idx="9612">
                  <c:v>-1.76074509988094E-2</c:v>
                </c:pt>
                <c:pt idx="9613">
                  <c:v>-1.0858227943497733E-2</c:v>
                </c:pt>
                <c:pt idx="9614">
                  <c:v>4.005024601419032E-2</c:v>
                </c:pt>
                <c:pt idx="9615">
                  <c:v>3.5698213944610785E-2</c:v>
                </c:pt>
                <c:pt idx="9616">
                  <c:v>-1.9711708318994891E-2</c:v>
                </c:pt>
                <c:pt idx="9617">
                  <c:v>2.9598274485082596E-2</c:v>
                </c:pt>
                <c:pt idx="9618">
                  <c:v>-2.8968186487081285E-2</c:v>
                </c:pt>
                <c:pt idx="9619">
                  <c:v>-2.6910229085140784E-2</c:v>
                </c:pt>
                <c:pt idx="9620">
                  <c:v>-3.4785867453864167E-2</c:v>
                </c:pt>
                <c:pt idx="9621">
                  <c:v>-4.2423263983534208E-2</c:v>
                </c:pt>
                <c:pt idx="9622">
                  <c:v>2.427402027073005E-2</c:v>
                </c:pt>
                <c:pt idx="9623">
                  <c:v>-3.0152544609144665E-2</c:v>
                </c:pt>
                <c:pt idx="9624">
                  <c:v>-2.6163015540562256E-2</c:v>
                </c:pt>
                <c:pt idx="9625">
                  <c:v>-5.0134294235038065E-3</c:v>
                </c:pt>
                <c:pt idx="9626">
                  <c:v>6.6053278985179192E-3</c:v>
                </c:pt>
                <c:pt idx="9627">
                  <c:v>-5.347681166946075E-2</c:v>
                </c:pt>
                <c:pt idx="9628">
                  <c:v>-7.6487599421924939E-3</c:v>
                </c:pt>
                <c:pt idx="9629">
                  <c:v>2.2150810606084417E-3</c:v>
                </c:pt>
                <c:pt idx="9630">
                  <c:v>1.2571511211348488E-2</c:v>
                </c:pt>
                <c:pt idx="9631">
                  <c:v>-3.7671807777308101E-2</c:v>
                </c:pt>
                <c:pt idx="9632">
                  <c:v>2.795301566787111E-2</c:v>
                </c:pt>
                <c:pt idx="9633">
                  <c:v>-7.252026112398181E-3</c:v>
                </c:pt>
                <c:pt idx="9634">
                  <c:v>2.6219453325970803E-2</c:v>
                </c:pt>
                <c:pt idx="9635">
                  <c:v>2.1192611305177512E-2</c:v>
                </c:pt>
                <c:pt idx="9636">
                  <c:v>-9.4631265626550966E-3</c:v>
                </c:pt>
                <c:pt idx="9637">
                  <c:v>-2.026936798593364E-2</c:v>
                </c:pt>
                <c:pt idx="9638">
                  <c:v>2.4909371947330606E-2</c:v>
                </c:pt>
                <c:pt idx="9639">
                  <c:v>-1.5605829600440092E-2</c:v>
                </c:pt>
                <c:pt idx="9640">
                  <c:v>2.2501202333090185E-2</c:v>
                </c:pt>
                <c:pt idx="9641">
                  <c:v>3.8551113335017601E-3</c:v>
                </c:pt>
                <c:pt idx="9642">
                  <c:v>-2.765652611712624E-2</c:v>
                </c:pt>
                <c:pt idx="9643">
                  <c:v>1.0787977762872743E-2</c:v>
                </c:pt>
                <c:pt idx="9644">
                  <c:v>6.0116148343641331E-4</c:v>
                </c:pt>
                <c:pt idx="9645">
                  <c:v>-1.9933247743059873E-3</c:v>
                </c:pt>
                <c:pt idx="9646">
                  <c:v>1.0091136697883292E-2</c:v>
                </c:pt>
                <c:pt idx="9647">
                  <c:v>3.7781836443097648E-2</c:v>
                </c:pt>
                <c:pt idx="9648">
                  <c:v>-3.0816687798401552E-2</c:v>
                </c:pt>
                <c:pt idx="9649">
                  <c:v>-1.3863975646387919E-2</c:v>
                </c:pt>
                <c:pt idx="9650">
                  <c:v>6.5738970330420123E-3</c:v>
                </c:pt>
                <c:pt idx="9651">
                  <c:v>1.8787281827787822E-3</c:v>
                </c:pt>
                <c:pt idx="9652">
                  <c:v>-6.0291943654009923E-2</c:v>
                </c:pt>
                <c:pt idx="9653">
                  <c:v>9.3370250908781042E-3</c:v>
                </c:pt>
                <c:pt idx="9654">
                  <c:v>5.080714702707009E-3</c:v>
                </c:pt>
                <c:pt idx="9655">
                  <c:v>2.4020644069440596E-2</c:v>
                </c:pt>
                <c:pt idx="9656">
                  <c:v>-1.7977954260009667E-2</c:v>
                </c:pt>
                <c:pt idx="9657">
                  <c:v>-1.3865204002074654E-2</c:v>
                </c:pt>
                <c:pt idx="9658">
                  <c:v>-1.4464508308371307E-2</c:v>
                </c:pt>
                <c:pt idx="9659">
                  <c:v>2.0835612712685223E-2</c:v>
                </c:pt>
                <c:pt idx="9660">
                  <c:v>1.3799671710852949E-2</c:v>
                </c:pt>
                <c:pt idx="9661">
                  <c:v>-1.3064273399369962E-2</c:v>
                </c:pt>
                <c:pt idx="9662">
                  <c:v>7.8314110540885808E-3</c:v>
                </c:pt>
                <c:pt idx="9663">
                  <c:v>2.0338487190177173E-3</c:v>
                </c:pt>
                <c:pt idx="9664">
                  <c:v>-8.8760995101577547E-3</c:v>
                </c:pt>
                <c:pt idx="9665">
                  <c:v>-2.9542739628674601E-3</c:v>
                </c:pt>
                <c:pt idx="9666">
                  <c:v>-3.7436002565647102E-2</c:v>
                </c:pt>
                <c:pt idx="9667">
                  <c:v>1.803924679534959E-2</c:v>
                </c:pt>
                <c:pt idx="9668">
                  <c:v>-2.1614217968247095E-2</c:v>
                </c:pt>
                <c:pt idx="9669">
                  <c:v>5.3439304073973307E-2</c:v>
                </c:pt>
                <c:pt idx="9670">
                  <c:v>-1.4654870357567736E-2</c:v>
                </c:pt>
                <c:pt idx="9671">
                  <c:v>-7.0809666063194904E-3</c:v>
                </c:pt>
                <c:pt idx="9672">
                  <c:v>6.14244313390277E-3</c:v>
                </c:pt>
                <c:pt idx="9673">
                  <c:v>1.1760344837590666E-2</c:v>
                </c:pt>
                <c:pt idx="9674">
                  <c:v>1.3835629645240745E-2</c:v>
                </c:pt>
                <c:pt idx="9675">
                  <c:v>-2.0537948655066977E-2</c:v>
                </c:pt>
                <c:pt idx="9676">
                  <c:v>-3.5641645320390908E-2</c:v>
                </c:pt>
                <c:pt idx="9677">
                  <c:v>-2.9186400481609066E-2</c:v>
                </c:pt>
                <c:pt idx="9678">
                  <c:v>2.3825854131653029E-2</c:v>
                </c:pt>
                <c:pt idx="9679">
                  <c:v>-1.58669653838578E-2</c:v>
                </c:pt>
                <c:pt idx="9680">
                  <c:v>-5.1653983195153498E-2</c:v>
                </c:pt>
                <c:pt idx="9681">
                  <c:v>1.6050791863705793E-2</c:v>
                </c:pt>
                <c:pt idx="9682">
                  <c:v>1.9280964907240603E-2</c:v>
                </c:pt>
                <c:pt idx="9683">
                  <c:v>-4.3460218110507848E-2</c:v>
                </c:pt>
                <c:pt idx="9684">
                  <c:v>-5.3899836888125878E-3</c:v>
                </c:pt>
                <c:pt idx="9685">
                  <c:v>-2.7410558906964481E-4</c:v>
                </c:pt>
                <c:pt idx="9686">
                  <c:v>-8.0613089960659912E-2</c:v>
                </c:pt>
                <c:pt idx="9687">
                  <c:v>7.5105986855983742E-2</c:v>
                </c:pt>
                <c:pt idx="9688">
                  <c:v>-1.0081719254309578E-2</c:v>
                </c:pt>
                <c:pt idx="9689">
                  <c:v>-4.2491935094804402E-2</c:v>
                </c:pt>
                <c:pt idx="9690">
                  <c:v>4.6384364169239661E-2</c:v>
                </c:pt>
                <c:pt idx="9691">
                  <c:v>-1.5832092512339858E-3</c:v>
                </c:pt>
                <c:pt idx="9692">
                  <c:v>-4.4532092950185648E-4</c:v>
                </c:pt>
                <c:pt idx="9693">
                  <c:v>2.6930475267581359E-3</c:v>
                </c:pt>
                <c:pt idx="9694">
                  <c:v>4.26895037087758E-3</c:v>
                </c:pt>
                <c:pt idx="9695">
                  <c:v>-1.9674167576544627E-2</c:v>
                </c:pt>
                <c:pt idx="9696">
                  <c:v>1.1687622875992088E-2</c:v>
                </c:pt>
                <c:pt idx="9697">
                  <c:v>-8.2717816147419247E-3</c:v>
                </c:pt>
                <c:pt idx="9698">
                  <c:v>6.9239101607289941E-4</c:v>
                </c:pt>
                <c:pt idx="9699">
                  <c:v>-2.5481433647819387E-3</c:v>
                </c:pt>
                <c:pt idx="9700">
                  <c:v>4.518532329346521E-3</c:v>
                </c:pt>
                <c:pt idx="9701">
                  <c:v>2.8373190507378254E-2</c:v>
                </c:pt>
                <c:pt idx="9702">
                  <c:v>-1.9116249056029572E-2</c:v>
                </c:pt>
                <c:pt idx="9703">
                  <c:v>-2.9148453244981338E-3</c:v>
                </c:pt>
                <c:pt idx="9704">
                  <c:v>-1.2211570588743899E-2</c:v>
                </c:pt>
                <c:pt idx="9705">
                  <c:v>5.397215804522143E-2</c:v>
                </c:pt>
                <c:pt idx="9706">
                  <c:v>-2.4868960434278067E-2</c:v>
                </c:pt>
                <c:pt idx="9707">
                  <c:v>8.9130632242138477E-3</c:v>
                </c:pt>
                <c:pt idx="9708">
                  <c:v>-2.8255151297489896E-2</c:v>
                </c:pt>
                <c:pt idx="9709">
                  <c:v>8.6164306412136616E-3</c:v>
                </c:pt>
                <c:pt idx="9710">
                  <c:v>-4.3790782788570078E-2</c:v>
                </c:pt>
                <c:pt idx="9711">
                  <c:v>-2.1872084692400776E-2</c:v>
                </c:pt>
                <c:pt idx="9712">
                  <c:v>-4.1088645403420498E-2</c:v>
                </c:pt>
                <c:pt idx="9713">
                  <c:v>1.6819151619643147E-2</c:v>
                </c:pt>
                <c:pt idx="9714">
                  <c:v>-1.8471507202098628E-2</c:v>
                </c:pt>
                <c:pt idx="9715">
                  <c:v>-2.3621610486153577E-2</c:v>
                </c:pt>
                <c:pt idx="9716">
                  <c:v>2.0026753356135142E-3</c:v>
                </c:pt>
                <c:pt idx="9717">
                  <c:v>2.7764905737057748E-2</c:v>
                </c:pt>
                <c:pt idx="9718">
                  <c:v>1.4524432296819507E-2</c:v>
                </c:pt>
                <c:pt idx="9719">
                  <c:v>1.3502242092614171E-2</c:v>
                </c:pt>
                <c:pt idx="9720">
                  <c:v>-5.5580607908497899E-2</c:v>
                </c:pt>
                <c:pt idx="9721">
                  <c:v>2.577461566886801E-3</c:v>
                </c:pt>
                <c:pt idx="9722">
                  <c:v>9.0295527339822948E-3</c:v>
                </c:pt>
                <c:pt idx="9723">
                  <c:v>5.2480813050105865E-2</c:v>
                </c:pt>
                <c:pt idx="9724">
                  <c:v>5.6130962674779761E-4</c:v>
                </c:pt>
                <c:pt idx="9725">
                  <c:v>-5.9266531298378979E-3</c:v>
                </c:pt>
                <c:pt idx="9726">
                  <c:v>1.5720352507493672E-2</c:v>
                </c:pt>
                <c:pt idx="9727">
                  <c:v>-1.3851514035370376E-2</c:v>
                </c:pt>
                <c:pt idx="9728">
                  <c:v>-2.0416356969634206E-2</c:v>
                </c:pt>
                <c:pt idx="9729">
                  <c:v>-4.3593375679930307E-3</c:v>
                </c:pt>
                <c:pt idx="9730">
                  <c:v>-3.597320668854833E-2</c:v>
                </c:pt>
                <c:pt idx="9731">
                  <c:v>4.0491944603079991E-2</c:v>
                </c:pt>
                <c:pt idx="9732">
                  <c:v>-1.5064700779684508E-2</c:v>
                </c:pt>
                <c:pt idx="9733">
                  <c:v>1.2960595284089072E-2</c:v>
                </c:pt>
                <c:pt idx="9734">
                  <c:v>4.2597301170421251E-2</c:v>
                </c:pt>
                <c:pt idx="9735">
                  <c:v>-6.8202317962012919E-3</c:v>
                </c:pt>
                <c:pt idx="9736">
                  <c:v>2.3449102270477987E-2</c:v>
                </c:pt>
                <c:pt idx="9737">
                  <c:v>-1.2622734362377179E-2</c:v>
                </c:pt>
                <c:pt idx="9738">
                  <c:v>-1.3820491566352441E-2</c:v>
                </c:pt>
                <c:pt idx="9739">
                  <c:v>1.1516737371976365E-2</c:v>
                </c:pt>
                <c:pt idx="9740">
                  <c:v>2.4110593163589492E-2</c:v>
                </c:pt>
                <c:pt idx="9741">
                  <c:v>-1.0865579604404172E-3</c:v>
                </c:pt>
                <c:pt idx="9742">
                  <c:v>-1.1190694482952981E-2</c:v>
                </c:pt>
                <c:pt idx="9743">
                  <c:v>2.3558077548409891E-2</c:v>
                </c:pt>
                <c:pt idx="9744">
                  <c:v>3.666673957108111E-2</c:v>
                </c:pt>
                <c:pt idx="9745">
                  <c:v>4.375035199985132E-3</c:v>
                </c:pt>
                <c:pt idx="9746">
                  <c:v>-3.2990588193650789E-6</c:v>
                </c:pt>
                <c:pt idx="9747">
                  <c:v>-2.9238486416370932E-2</c:v>
                </c:pt>
                <c:pt idx="9748">
                  <c:v>8.0887681321670981E-3</c:v>
                </c:pt>
                <c:pt idx="9749">
                  <c:v>-1.2156778770132591E-2</c:v>
                </c:pt>
                <c:pt idx="9750">
                  <c:v>1.5153699719954122E-2</c:v>
                </c:pt>
                <c:pt idx="9751">
                  <c:v>2.6051533277998626E-3</c:v>
                </c:pt>
                <c:pt idx="9752">
                  <c:v>1.6715309125835336E-2</c:v>
                </c:pt>
                <c:pt idx="9753">
                  <c:v>2.015963566028715E-2</c:v>
                </c:pt>
                <c:pt idx="9754">
                  <c:v>2.6405752986205566E-2</c:v>
                </c:pt>
                <c:pt idx="9755">
                  <c:v>5.7059083124357726E-3</c:v>
                </c:pt>
                <c:pt idx="9756">
                  <c:v>2.0363443012025292E-2</c:v>
                </c:pt>
                <c:pt idx="9757">
                  <c:v>1.339409464950401E-2</c:v>
                </c:pt>
                <c:pt idx="9758">
                  <c:v>-4.06393178578476E-3</c:v>
                </c:pt>
                <c:pt idx="9759">
                  <c:v>-1.8107989781115327E-2</c:v>
                </c:pt>
                <c:pt idx="9760">
                  <c:v>4.2439113001553452E-2</c:v>
                </c:pt>
                <c:pt idx="9761">
                  <c:v>4.9114133993604106E-2</c:v>
                </c:pt>
                <c:pt idx="9762">
                  <c:v>-7.9368702390502331E-3</c:v>
                </c:pt>
                <c:pt idx="9763">
                  <c:v>-1.382173869852057E-2</c:v>
                </c:pt>
                <c:pt idx="9764">
                  <c:v>-1.6377168518766302E-2</c:v>
                </c:pt>
                <c:pt idx="9765">
                  <c:v>-1.562116758059778E-2</c:v>
                </c:pt>
                <c:pt idx="9766">
                  <c:v>-5.627706976635008E-2</c:v>
                </c:pt>
                <c:pt idx="9767">
                  <c:v>6.2067512722940709E-3</c:v>
                </c:pt>
                <c:pt idx="9768">
                  <c:v>3.626315643860821E-2</c:v>
                </c:pt>
                <c:pt idx="9769">
                  <c:v>-3.6616850612376226E-2</c:v>
                </c:pt>
                <c:pt idx="9770">
                  <c:v>-2.7833215667546832E-3</c:v>
                </c:pt>
                <c:pt idx="9771">
                  <c:v>-3.4269547854670006E-2</c:v>
                </c:pt>
                <c:pt idx="9772">
                  <c:v>-3.3349256006132567E-2</c:v>
                </c:pt>
                <c:pt idx="9773">
                  <c:v>-2.5608499767175753E-2</c:v>
                </c:pt>
                <c:pt idx="9774">
                  <c:v>-4.8710543590203409E-2</c:v>
                </c:pt>
                <c:pt idx="9775">
                  <c:v>4.7925622848525126E-2</c:v>
                </c:pt>
                <c:pt idx="9776">
                  <c:v>-4.9558167780950116E-4</c:v>
                </c:pt>
                <c:pt idx="9777">
                  <c:v>2.5921912780436612E-3</c:v>
                </c:pt>
                <c:pt idx="9778">
                  <c:v>3.7250043046508551E-2</c:v>
                </c:pt>
                <c:pt idx="9779">
                  <c:v>-2.4699378399616726E-2</c:v>
                </c:pt>
                <c:pt idx="9780">
                  <c:v>3.272996662262476E-3</c:v>
                </c:pt>
                <c:pt idx="9781">
                  <c:v>-1.2517304640266452E-3</c:v>
                </c:pt>
                <c:pt idx="9782">
                  <c:v>1.9228563510606988E-2</c:v>
                </c:pt>
                <c:pt idx="9783">
                  <c:v>3.4996038153855109E-2</c:v>
                </c:pt>
                <c:pt idx="9784">
                  <c:v>-7.7015873289767479E-4</c:v>
                </c:pt>
                <c:pt idx="9785">
                  <c:v>-2.7120336717263317E-2</c:v>
                </c:pt>
                <c:pt idx="9786">
                  <c:v>-7.4510107514372346E-3</c:v>
                </c:pt>
                <c:pt idx="9787">
                  <c:v>1.8451982838959595E-2</c:v>
                </c:pt>
                <c:pt idx="9788">
                  <c:v>-3.8456428966618258E-3</c:v>
                </c:pt>
                <c:pt idx="9789">
                  <c:v>-4.187058362322045E-2</c:v>
                </c:pt>
                <c:pt idx="9790">
                  <c:v>-4.0290032515701103E-2</c:v>
                </c:pt>
                <c:pt idx="9791">
                  <c:v>-2.8087534869756105E-2</c:v>
                </c:pt>
                <c:pt idx="9792">
                  <c:v>1.4145139186555089E-3</c:v>
                </c:pt>
                <c:pt idx="9793">
                  <c:v>-4.314912580185128E-3</c:v>
                </c:pt>
                <c:pt idx="9794">
                  <c:v>-2.519482163067736E-2</c:v>
                </c:pt>
                <c:pt idx="9795">
                  <c:v>1.6854303647978925E-2</c:v>
                </c:pt>
                <c:pt idx="9796">
                  <c:v>-8.6968416793858343E-3</c:v>
                </c:pt>
                <c:pt idx="9797">
                  <c:v>-2.2295923901442565E-2</c:v>
                </c:pt>
                <c:pt idx="9798">
                  <c:v>1.7826857869893745E-2</c:v>
                </c:pt>
                <c:pt idx="9799">
                  <c:v>-4.2157639003196766E-2</c:v>
                </c:pt>
                <c:pt idx="9800">
                  <c:v>1.1236671621877534E-2</c:v>
                </c:pt>
                <c:pt idx="9801">
                  <c:v>-5.6157552779241993E-3</c:v>
                </c:pt>
                <c:pt idx="9802">
                  <c:v>2.0951291792435867E-2</c:v>
                </c:pt>
                <c:pt idx="9803">
                  <c:v>-1.580174338068599E-2</c:v>
                </c:pt>
                <c:pt idx="9804">
                  <c:v>-6.4663709283333971E-3</c:v>
                </c:pt>
                <c:pt idx="9805">
                  <c:v>8.8832608779710713E-3</c:v>
                </c:pt>
                <c:pt idx="9806">
                  <c:v>3.6032515852865835E-2</c:v>
                </c:pt>
                <c:pt idx="9807">
                  <c:v>-3.6668536188149491E-2</c:v>
                </c:pt>
                <c:pt idx="9808">
                  <c:v>-2.3738600168552997E-2</c:v>
                </c:pt>
                <c:pt idx="9809">
                  <c:v>-6.5295134589871944E-3</c:v>
                </c:pt>
                <c:pt idx="9810">
                  <c:v>-2.1423973676098437E-2</c:v>
                </c:pt>
                <c:pt idx="9811">
                  <c:v>4.2516690716655486E-4</c:v>
                </c:pt>
                <c:pt idx="9812">
                  <c:v>-4.2983598723511755E-3</c:v>
                </c:pt>
                <c:pt idx="9813">
                  <c:v>-8.8724359933490017E-3</c:v>
                </c:pt>
                <c:pt idx="9814">
                  <c:v>2.9647295966789371E-2</c:v>
                </c:pt>
                <c:pt idx="9815">
                  <c:v>2.3053270970621615E-2</c:v>
                </c:pt>
                <c:pt idx="9816">
                  <c:v>2.4546526153779884E-2</c:v>
                </c:pt>
                <c:pt idx="9817">
                  <c:v>1.0241026305369058E-2</c:v>
                </c:pt>
                <c:pt idx="9818">
                  <c:v>4.6222759019101757E-2</c:v>
                </c:pt>
                <c:pt idx="9819">
                  <c:v>-2.3522861050275616E-2</c:v>
                </c:pt>
                <c:pt idx="9820">
                  <c:v>-9.9349919753061906E-3</c:v>
                </c:pt>
                <c:pt idx="9821">
                  <c:v>-8.5604471737716556E-3</c:v>
                </c:pt>
                <c:pt idx="9822">
                  <c:v>6.9075596994789181E-3</c:v>
                </c:pt>
                <c:pt idx="9823">
                  <c:v>3.0674579841854271E-2</c:v>
                </c:pt>
                <c:pt idx="9824">
                  <c:v>1.7314006755876462E-2</c:v>
                </c:pt>
                <c:pt idx="9825">
                  <c:v>2.5719162820981669E-3</c:v>
                </c:pt>
                <c:pt idx="9826">
                  <c:v>-4.840224394432666E-3</c:v>
                </c:pt>
                <c:pt idx="9827">
                  <c:v>3.3315200203196921E-2</c:v>
                </c:pt>
                <c:pt idx="9828">
                  <c:v>-4.3336449135775765E-2</c:v>
                </c:pt>
                <c:pt idx="9829">
                  <c:v>1.8012920676500671E-4</c:v>
                </c:pt>
                <c:pt idx="9830">
                  <c:v>1.5034001753703629E-2</c:v>
                </c:pt>
                <c:pt idx="9831">
                  <c:v>-1.3532730359553815E-2</c:v>
                </c:pt>
                <c:pt idx="9832">
                  <c:v>-7.9267812699361766E-4</c:v>
                </c:pt>
                <c:pt idx="9833">
                  <c:v>2.7229053682784415E-2</c:v>
                </c:pt>
                <c:pt idx="9834">
                  <c:v>1.0634105034396723E-2</c:v>
                </c:pt>
                <c:pt idx="9835">
                  <c:v>1.8525091002130682E-2</c:v>
                </c:pt>
                <c:pt idx="9836">
                  <c:v>1.9681073236155446E-2</c:v>
                </c:pt>
                <c:pt idx="9837">
                  <c:v>4.9781446197689535E-3</c:v>
                </c:pt>
                <c:pt idx="9838">
                  <c:v>-3.5241695636975712E-2</c:v>
                </c:pt>
                <c:pt idx="9839">
                  <c:v>7.0957568963879339E-5</c:v>
                </c:pt>
                <c:pt idx="9840">
                  <c:v>-1.3059238576673892E-2</c:v>
                </c:pt>
                <c:pt idx="9841">
                  <c:v>-1.9255307110565578E-3</c:v>
                </c:pt>
                <c:pt idx="9842">
                  <c:v>-1.8451344809115554E-2</c:v>
                </c:pt>
                <c:pt idx="9843">
                  <c:v>-1.761782318981947E-2</c:v>
                </c:pt>
                <c:pt idx="9844">
                  <c:v>-3.0515394021223694E-2</c:v>
                </c:pt>
                <c:pt idx="9845">
                  <c:v>1.2979468558409608E-2</c:v>
                </c:pt>
                <c:pt idx="9846">
                  <c:v>3.3774095333528938E-2</c:v>
                </c:pt>
                <c:pt idx="9847">
                  <c:v>-1.3681065230512502E-2</c:v>
                </c:pt>
                <c:pt idx="9848">
                  <c:v>2.0255296090255608E-2</c:v>
                </c:pt>
                <c:pt idx="9849">
                  <c:v>-8.4885050438746647E-3</c:v>
                </c:pt>
                <c:pt idx="9850">
                  <c:v>1.595977969882987E-3</c:v>
                </c:pt>
                <c:pt idx="9851">
                  <c:v>6.1656742396604472E-3</c:v>
                </c:pt>
                <c:pt idx="9852">
                  <c:v>3.9819922490436484E-2</c:v>
                </c:pt>
                <c:pt idx="9853">
                  <c:v>1.271760741879548E-2</c:v>
                </c:pt>
                <c:pt idx="9854">
                  <c:v>5.8735917755503558E-3</c:v>
                </c:pt>
                <c:pt idx="9855">
                  <c:v>8.0443135774873643E-3</c:v>
                </c:pt>
                <c:pt idx="9856">
                  <c:v>3.5061517848513898E-2</c:v>
                </c:pt>
                <c:pt idx="9857">
                  <c:v>-1.5914282147327312E-2</c:v>
                </c:pt>
                <c:pt idx="9858">
                  <c:v>-8.7615434690202412E-3</c:v>
                </c:pt>
                <c:pt idx="9859">
                  <c:v>2.7747948449714403E-2</c:v>
                </c:pt>
                <c:pt idx="9860">
                  <c:v>-2.9551543798971933E-2</c:v>
                </c:pt>
                <c:pt idx="9861">
                  <c:v>4.3405648999049144E-3</c:v>
                </c:pt>
                <c:pt idx="9862">
                  <c:v>1.5695007473471925E-2</c:v>
                </c:pt>
                <c:pt idx="9863">
                  <c:v>3.9214836091016558E-2</c:v>
                </c:pt>
                <c:pt idx="9864">
                  <c:v>-1.8596309145553425E-2</c:v>
                </c:pt>
                <c:pt idx="9865">
                  <c:v>-1.0627326800668385E-2</c:v>
                </c:pt>
                <c:pt idx="9866">
                  <c:v>1.8496273147759257E-2</c:v>
                </c:pt>
                <c:pt idx="9867">
                  <c:v>-7.880312174320437E-3</c:v>
                </c:pt>
                <c:pt idx="9868">
                  <c:v>-2.676628235662663E-2</c:v>
                </c:pt>
                <c:pt idx="9869">
                  <c:v>-6.3706665090457228E-3</c:v>
                </c:pt>
                <c:pt idx="9870">
                  <c:v>-3.8139628563608973E-3</c:v>
                </c:pt>
                <c:pt idx="9871">
                  <c:v>1.8440909221982939E-4</c:v>
                </c:pt>
                <c:pt idx="9872">
                  <c:v>-1.4257371898720594E-2</c:v>
                </c:pt>
                <c:pt idx="9873">
                  <c:v>2.0439205930839994E-2</c:v>
                </c:pt>
                <c:pt idx="9874">
                  <c:v>-3.5427214173927177E-2</c:v>
                </c:pt>
                <c:pt idx="9875">
                  <c:v>4.4487413998083661E-2</c:v>
                </c:pt>
                <c:pt idx="9876">
                  <c:v>-8.4864596245125008E-3</c:v>
                </c:pt>
                <c:pt idx="9877">
                  <c:v>2.9339526540510714E-2</c:v>
                </c:pt>
                <c:pt idx="9878">
                  <c:v>1.1849968713464099E-2</c:v>
                </c:pt>
                <c:pt idx="9879">
                  <c:v>1.2380511009964982E-2</c:v>
                </c:pt>
                <c:pt idx="9880">
                  <c:v>4.466600196498749E-3</c:v>
                </c:pt>
                <c:pt idx="9881">
                  <c:v>5.2529391907677053E-2</c:v>
                </c:pt>
                <c:pt idx="9882">
                  <c:v>8.876538515611529E-3</c:v>
                </c:pt>
                <c:pt idx="9883">
                  <c:v>4.2366104690678419E-2</c:v>
                </c:pt>
                <c:pt idx="9884">
                  <c:v>8.5481505544023964E-3</c:v>
                </c:pt>
                <c:pt idx="9885">
                  <c:v>3.7386014241772833E-2</c:v>
                </c:pt>
                <c:pt idx="9886">
                  <c:v>7.1823613612772598E-3</c:v>
                </c:pt>
                <c:pt idx="9887">
                  <c:v>7.3531545690377186E-3</c:v>
                </c:pt>
                <c:pt idx="9888">
                  <c:v>-7.2631040245746815E-4</c:v>
                </c:pt>
                <c:pt idx="9889">
                  <c:v>-4.1665998756387872E-3</c:v>
                </c:pt>
                <c:pt idx="9890">
                  <c:v>-2.2343161783472731E-2</c:v>
                </c:pt>
                <c:pt idx="9891">
                  <c:v>9.388651186945313E-3</c:v>
                </c:pt>
                <c:pt idx="9892">
                  <c:v>-1.5605851779274708E-2</c:v>
                </c:pt>
                <c:pt idx="9893">
                  <c:v>-5.1458556123008966E-4</c:v>
                </c:pt>
                <c:pt idx="9894">
                  <c:v>1.0322887888314007E-2</c:v>
                </c:pt>
                <c:pt idx="9895">
                  <c:v>1.2834511675042369E-2</c:v>
                </c:pt>
                <c:pt idx="9896">
                  <c:v>-6.5223870749741859E-3</c:v>
                </c:pt>
                <c:pt idx="9897">
                  <c:v>1.3801934011718356E-2</c:v>
                </c:pt>
                <c:pt idx="9898">
                  <c:v>-9.1771714105089892E-3</c:v>
                </c:pt>
                <c:pt idx="9899">
                  <c:v>-1.6743380489697882E-2</c:v>
                </c:pt>
                <c:pt idx="9900">
                  <c:v>-6.1795062879362473E-3</c:v>
                </c:pt>
                <c:pt idx="9901">
                  <c:v>-1.9231462530856148E-2</c:v>
                </c:pt>
                <c:pt idx="9902">
                  <c:v>4.4176515820999442E-4</c:v>
                </c:pt>
                <c:pt idx="9903">
                  <c:v>-2.9691654917908011E-2</c:v>
                </c:pt>
                <c:pt idx="9904">
                  <c:v>5.0144803906222446E-3</c:v>
                </c:pt>
                <c:pt idx="9905">
                  <c:v>2.2865299823983519E-2</c:v>
                </c:pt>
                <c:pt idx="9906">
                  <c:v>8.0089610902664404E-3</c:v>
                </c:pt>
                <c:pt idx="9907">
                  <c:v>8.701463288519392E-3</c:v>
                </c:pt>
                <c:pt idx="9908">
                  <c:v>1.9033485562966693E-2</c:v>
                </c:pt>
                <c:pt idx="9909">
                  <c:v>-2.4781252762659176E-2</c:v>
                </c:pt>
                <c:pt idx="9910">
                  <c:v>-6.5651419363702678E-3</c:v>
                </c:pt>
                <c:pt idx="9911">
                  <c:v>-2.3536432429170504E-2</c:v>
                </c:pt>
                <c:pt idx="9912">
                  <c:v>-2.9385810438404585E-2</c:v>
                </c:pt>
                <c:pt idx="9913">
                  <c:v>-1.2816405321110411E-3</c:v>
                </c:pt>
                <c:pt idx="9914">
                  <c:v>-1.7215468557256877E-2</c:v>
                </c:pt>
                <c:pt idx="9915">
                  <c:v>-2.1674260795066746E-2</c:v>
                </c:pt>
                <c:pt idx="9916">
                  <c:v>-5.9100103267129694E-2</c:v>
                </c:pt>
                <c:pt idx="9917">
                  <c:v>-2.7084066434036016E-2</c:v>
                </c:pt>
                <c:pt idx="9918">
                  <c:v>-3.0159401596010271E-2</c:v>
                </c:pt>
                <c:pt idx="9919">
                  <c:v>-2.1943418697707513E-2</c:v>
                </c:pt>
                <c:pt idx="9920">
                  <c:v>1.6258124580174907E-2</c:v>
                </c:pt>
                <c:pt idx="9921">
                  <c:v>1.05693976740978E-2</c:v>
                </c:pt>
                <c:pt idx="9922">
                  <c:v>6.7548632921227095E-3</c:v>
                </c:pt>
                <c:pt idx="9923">
                  <c:v>3.9014443029533699E-3</c:v>
                </c:pt>
                <c:pt idx="9924">
                  <c:v>1.2223565918573185E-2</c:v>
                </c:pt>
                <c:pt idx="9925">
                  <c:v>-2.0154128383879678E-3</c:v>
                </c:pt>
                <c:pt idx="9926">
                  <c:v>-2.7770012929784319E-2</c:v>
                </c:pt>
                <c:pt idx="9927">
                  <c:v>4.6197290275214915E-2</c:v>
                </c:pt>
                <c:pt idx="9928">
                  <c:v>-5.9105864134333518E-2</c:v>
                </c:pt>
                <c:pt idx="9929">
                  <c:v>1.7504361402364822E-2</c:v>
                </c:pt>
                <c:pt idx="9930">
                  <c:v>-2.1812473523167611E-3</c:v>
                </c:pt>
                <c:pt idx="9931">
                  <c:v>-2.5107260089673521E-2</c:v>
                </c:pt>
                <c:pt idx="9932">
                  <c:v>-8.8675622767098498E-4</c:v>
                </c:pt>
                <c:pt idx="9933">
                  <c:v>2.7713278030905755E-3</c:v>
                </c:pt>
                <c:pt idx="9934">
                  <c:v>-3.6830763997491286E-2</c:v>
                </c:pt>
                <c:pt idx="9935">
                  <c:v>3.2717497217987668E-2</c:v>
                </c:pt>
                <c:pt idx="9936">
                  <c:v>-3.2300038848906858E-2</c:v>
                </c:pt>
                <c:pt idx="9937">
                  <c:v>2.7352876928066433E-4</c:v>
                </c:pt>
                <c:pt idx="9938">
                  <c:v>1.8519505728281916E-2</c:v>
                </c:pt>
                <c:pt idx="9939">
                  <c:v>-2.944288287553876E-2</c:v>
                </c:pt>
                <c:pt idx="9940">
                  <c:v>-1.3370441886095217E-2</c:v>
                </c:pt>
                <c:pt idx="9941">
                  <c:v>-7.8338697303415167E-3</c:v>
                </c:pt>
                <c:pt idx="9942">
                  <c:v>1.8554408282017515E-2</c:v>
                </c:pt>
                <c:pt idx="9943">
                  <c:v>-1.8343795529995103E-2</c:v>
                </c:pt>
                <c:pt idx="9944">
                  <c:v>-7.2568790117992638E-3</c:v>
                </c:pt>
                <c:pt idx="9945">
                  <c:v>-2.1188309773665401E-2</c:v>
                </c:pt>
                <c:pt idx="9946">
                  <c:v>-5.7014613354754183E-2</c:v>
                </c:pt>
                <c:pt idx="9947">
                  <c:v>-2.9403573624793206E-2</c:v>
                </c:pt>
                <c:pt idx="9948">
                  <c:v>1.616626601429277E-2</c:v>
                </c:pt>
                <c:pt idx="9949">
                  <c:v>7.8342377077619679E-3</c:v>
                </c:pt>
                <c:pt idx="9950">
                  <c:v>3.5433044197865811E-2</c:v>
                </c:pt>
                <c:pt idx="9951">
                  <c:v>-2.6147141077343596E-2</c:v>
                </c:pt>
                <c:pt idx="9952">
                  <c:v>2.7575463680163188E-2</c:v>
                </c:pt>
                <c:pt idx="9953">
                  <c:v>-3.7157730088736816E-2</c:v>
                </c:pt>
                <c:pt idx="9954">
                  <c:v>-7.8927864704636599E-3</c:v>
                </c:pt>
                <c:pt idx="9955">
                  <c:v>2.7887568623401419E-2</c:v>
                </c:pt>
                <c:pt idx="9956">
                  <c:v>-3.2913137813002688E-2</c:v>
                </c:pt>
                <c:pt idx="9957">
                  <c:v>9.2949389044248657E-3</c:v>
                </c:pt>
                <c:pt idx="9958">
                  <c:v>-1.1849728446902843E-2</c:v>
                </c:pt>
                <c:pt idx="9959">
                  <c:v>2.1122737740181353E-2</c:v>
                </c:pt>
                <c:pt idx="9960">
                  <c:v>1.1811330513775397E-2</c:v>
                </c:pt>
                <c:pt idx="9961">
                  <c:v>1.0655920867341072E-2</c:v>
                </c:pt>
                <c:pt idx="9962">
                  <c:v>1.8988408397143393E-2</c:v>
                </c:pt>
                <c:pt idx="9963">
                  <c:v>1.0345633955891591E-2</c:v>
                </c:pt>
                <c:pt idx="9964">
                  <c:v>1.1646549338486488E-3</c:v>
                </c:pt>
                <c:pt idx="9965">
                  <c:v>-4.9063472138689106E-3</c:v>
                </c:pt>
                <c:pt idx="9966">
                  <c:v>-3.1901951433455215E-3</c:v>
                </c:pt>
                <c:pt idx="9967">
                  <c:v>-2.0267294860448468E-2</c:v>
                </c:pt>
                <c:pt idx="9968">
                  <c:v>-3.8777072669738975E-2</c:v>
                </c:pt>
                <c:pt idx="9969">
                  <c:v>1.3190464721774578E-2</c:v>
                </c:pt>
                <c:pt idx="9970">
                  <c:v>-4.5535041537162174E-2</c:v>
                </c:pt>
                <c:pt idx="9971">
                  <c:v>1.6918553732026751E-2</c:v>
                </c:pt>
                <c:pt idx="9972">
                  <c:v>3.0950165570374461E-2</c:v>
                </c:pt>
                <c:pt idx="9973">
                  <c:v>8.7901823141624015E-3</c:v>
                </c:pt>
                <c:pt idx="9974">
                  <c:v>2.7595949128682094E-2</c:v>
                </c:pt>
                <c:pt idx="9975">
                  <c:v>2.7766218297657137E-2</c:v>
                </c:pt>
                <c:pt idx="9976">
                  <c:v>2.1797746305308231E-3</c:v>
                </c:pt>
                <c:pt idx="9977">
                  <c:v>-1.0909458409543694E-2</c:v>
                </c:pt>
                <c:pt idx="9978">
                  <c:v>-3.1467124049810173E-3</c:v>
                </c:pt>
                <c:pt idx="9979">
                  <c:v>1.4389855136111653E-2</c:v>
                </c:pt>
                <c:pt idx="9980">
                  <c:v>-7.4292788906501327E-3</c:v>
                </c:pt>
                <c:pt idx="9981">
                  <c:v>-2.9856477734219518E-2</c:v>
                </c:pt>
                <c:pt idx="9982">
                  <c:v>-2.6570931977185304E-2</c:v>
                </c:pt>
                <c:pt idx="9983">
                  <c:v>3.025890006639937E-2</c:v>
                </c:pt>
                <c:pt idx="9984">
                  <c:v>3.0423670064770057E-2</c:v>
                </c:pt>
                <c:pt idx="9985">
                  <c:v>-8.5001047436730152E-3</c:v>
                </c:pt>
                <c:pt idx="9986">
                  <c:v>3.4350636510761791E-2</c:v>
                </c:pt>
                <c:pt idx="9987">
                  <c:v>-2.9812092263968106E-2</c:v>
                </c:pt>
                <c:pt idx="9988">
                  <c:v>2.3045490460080708E-2</c:v>
                </c:pt>
                <c:pt idx="9989">
                  <c:v>1.7435829709446026E-2</c:v>
                </c:pt>
                <c:pt idx="9990">
                  <c:v>-8.8613466454119851E-3</c:v>
                </c:pt>
                <c:pt idx="9991">
                  <c:v>-2.8842597966886263E-2</c:v>
                </c:pt>
                <c:pt idx="9992">
                  <c:v>3.306970212019085E-2</c:v>
                </c:pt>
                <c:pt idx="9993">
                  <c:v>2.8287767432089009E-2</c:v>
                </c:pt>
                <c:pt idx="9994">
                  <c:v>-2.4497673331507649E-2</c:v>
                </c:pt>
                <c:pt idx="9995">
                  <c:v>1.6034639538035321E-2</c:v>
                </c:pt>
                <c:pt idx="9996">
                  <c:v>1.1353025081525761E-2</c:v>
                </c:pt>
                <c:pt idx="9997">
                  <c:v>-2.3985304089578011E-2</c:v>
                </c:pt>
                <c:pt idx="9998">
                  <c:v>2.1672330941551543E-3</c:v>
                </c:pt>
                <c:pt idx="9999">
                  <c:v>4.0381740225903864E-2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703160"/>
        <c:axId val="482703552"/>
      </c:lineChart>
      <c:catAx>
        <c:axId val="48270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03552"/>
        <c:crosses val="autoZero"/>
        <c:auto val="1"/>
        <c:lblAlgn val="ctr"/>
        <c:lblOffset val="100"/>
        <c:noMultiLvlLbl val="0"/>
      </c:catAx>
      <c:valAx>
        <c:axId val="4827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03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Analysis'!$F$46:$I$46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Analysis'!$F$48:$I$48</c:f>
              <c:numCache>
                <c:formatCode>#,##0</c:formatCode>
                <c:ptCount val="4"/>
                <c:pt idx="0">
                  <c:v>303848.90999999997</c:v>
                </c:pt>
                <c:pt idx="1">
                  <c:v>491246.24</c:v>
                </c:pt>
                <c:pt idx="2">
                  <c:v>632291.18000000005</c:v>
                </c:pt>
                <c:pt idx="3">
                  <c:v>591396.26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254320"/>
        <c:axId val="493250400"/>
      </c:barChart>
      <c:catAx>
        <c:axId val="4932543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50400"/>
        <c:crosses val="autoZero"/>
        <c:auto val="0"/>
        <c:lblAlgn val="ctr"/>
        <c:lblOffset val="100"/>
        <c:noMultiLvlLbl val="0"/>
      </c:catAx>
      <c:valAx>
        <c:axId val="4932504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9325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'Dupont Analysis'!$F$46:$I$46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Analysis'!$F$48:$I$48</c:f>
              <c:numCache>
                <c:formatCode>#,##0</c:formatCode>
                <c:ptCount val="4"/>
                <c:pt idx="0">
                  <c:v>303848.90999999997</c:v>
                </c:pt>
                <c:pt idx="1">
                  <c:v>491246.24</c:v>
                </c:pt>
                <c:pt idx="2">
                  <c:v>632291.18000000005</c:v>
                </c:pt>
                <c:pt idx="3">
                  <c:v>591396.26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47520"/>
        <c:axId val="575256536"/>
      </c:barChart>
      <c:dateAx>
        <c:axId val="575247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56536"/>
        <c:crosses val="autoZero"/>
        <c:auto val="1"/>
        <c:lblOffset val="100"/>
        <c:baseTimeUnit val="years"/>
      </c:dateAx>
      <c:valAx>
        <c:axId val="5752565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7524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'Dupont Analysis'!$F$46:$I$46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Analysis'!$F$48:$I$48</c:f>
              <c:numCache>
                <c:formatCode>#,##0</c:formatCode>
                <c:ptCount val="4"/>
                <c:pt idx="0">
                  <c:v>303848.90999999997</c:v>
                </c:pt>
                <c:pt idx="1">
                  <c:v>491246.24</c:v>
                </c:pt>
                <c:pt idx="2">
                  <c:v>632291.18000000005</c:v>
                </c:pt>
                <c:pt idx="3">
                  <c:v>591396.26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55360"/>
        <c:axId val="575251832"/>
      </c:barChart>
      <c:dateAx>
        <c:axId val="5752553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51832"/>
        <c:crosses val="autoZero"/>
        <c:auto val="1"/>
        <c:lblOffset val="100"/>
        <c:baseTimeUnit val="years"/>
      </c:dateAx>
      <c:valAx>
        <c:axId val="5752518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7525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'Dupont Analysis'!$F$46:$I$46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Analysis'!$F$48:$I$48</c:f>
              <c:numCache>
                <c:formatCode>#,##0</c:formatCode>
                <c:ptCount val="4"/>
                <c:pt idx="0">
                  <c:v>303848.90999999997</c:v>
                </c:pt>
                <c:pt idx="1">
                  <c:v>491246.24</c:v>
                </c:pt>
                <c:pt idx="2">
                  <c:v>632291.18000000005</c:v>
                </c:pt>
                <c:pt idx="3">
                  <c:v>591396.26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59672"/>
        <c:axId val="575261240"/>
      </c:barChart>
      <c:dateAx>
        <c:axId val="575259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61240"/>
        <c:crosses val="autoZero"/>
        <c:auto val="1"/>
        <c:lblOffset val="100"/>
        <c:baseTimeUnit val="years"/>
      </c:dateAx>
      <c:valAx>
        <c:axId val="5752612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7525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'Dupont Analysis'!$F$46:$I$46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Analysis'!$F$48:$I$48</c:f>
              <c:numCache>
                <c:formatCode>#,##0</c:formatCode>
                <c:ptCount val="4"/>
                <c:pt idx="0">
                  <c:v>303848.90999999997</c:v>
                </c:pt>
                <c:pt idx="1">
                  <c:v>491246.24</c:v>
                </c:pt>
                <c:pt idx="2">
                  <c:v>632291.18000000005</c:v>
                </c:pt>
                <c:pt idx="3">
                  <c:v>591396.26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67512"/>
        <c:axId val="575263592"/>
      </c:barChart>
      <c:dateAx>
        <c:axId val="575267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63592"/>
        <c:crosses val="autoZero"/>
        <c:auto val="1"/>
        <c:lblOffset val="100"/>
        <c:baseTimeUnit val="years"/>
      </c:dateAx>
      <c:valAx>
        <c:axId val="5752635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7526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'Dupont Analysis'!$F$46:$I$46</c:f>
              <c:numCache>
                <c:formatCode>mmm\-yy</c:formatCode>
                <c:ptCount val="4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</c:numCache>
            </c:numRef>
          </c:cat>
          <c:val>
            <c:numRef>
              <c:f>'Dupont Analysis'!$F$48:$I$48</c:f>
              <c:numCache>
                <c:formatCode>#,##0</c:formatCode>
                <c:ptCount val="4"/>
                <c:pt idx="0">
                  <c:v>303848.90999999997</c:v>
                </c:pt>
                <c:pt idx="1">
                  <c:v>491246.24</c:v>
                </c:pt>
                <c:pt idx="2">
                  <c:v>632291.18000000005</c:v>
                </c:pt>
                <c:pt idx="3">
                  <c:v>591396.26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60456"/>
        <c:axId val="575265160"/>
      </c:barChart>
      <c:dateAx>
        <c:axId val="575260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65160"/>
        <c:crosses val="autoZero"/>
        <c:auto val="1"/>
        <c:lblOffset val="100"/>
        <c:baseTimeUnit val="years"/>
      </c:dateAx>
      <c:valAx>
        <c:axId val="575265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7526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'Forecasting(REGRESSION)'!$D$2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>
                    <a:alpha val="97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'Forecasting(REGRESSION)'!$C$3:$C$13</c:f>
              <c:numCache>
                <c:formatCode>0"A"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xVal>
          <c:yVal>
            <c:numRef>
              <c:f>'Forecasting(REGRESSION)'!$D$3:$D$13</c:f>
              <c:numCache>
                <c:formatCode>#,##0.0</c:formatCode>
                <c:ptCount val="11"/>
                <c:pt idx="0">
                  <c:v>174121</c:v>
                </c:pt>
                <c:pt idx="1">
                  <c:v>160923</c:v>
                </c:pt>
                <c:pt idx="2">
                  <c:v>124036</c:v>
                </c:pt>
                <c:pt idx="3">
                  <c:v>282506</c:v>
                </c:pt>
                <c:pt idx="4">
                  <c:v>322706</c:v>
                </c:pt>
                <c:pt idx="5">
                  <c:v>421624</c:v>
                </c:pt>
                <c:pt idx="6">
                  <c:v>396728</c:v>
                </c:pt>
                <c:pt idx="7">
                  <c:v>303849</c:v>
                </c:pt>
                <c:pt idx="8">
                  <c:v>491246</c:v>
                </c:pt>
                <c:pt idx="9">
                  <c:v>632291</c:v>
                </c:pt>
                <c:pt idx="10">
                  <c:v>591396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034848"/>
        <c:axId val="284035240"/>
      </c:scatterChart>
      <c:valAx>
        <c:axId val="284034848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35240"/>
        <c:crosses val="autoZero"/>
        <c:crossBetween val="midCat"/>
      </c:valAx>
      <c:valAx>
        <c:axId val="28403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3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image" Target="../media/image2.jp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103414</xdr:colOff>
      <xdr:row>20</xdr:row>
      <xdr:rowOff>13607</xdr:rowOff>
    </xdr:from>
    <xdr:to>
      <xdr:col>5</xdr:col>
      <xdr:colOff>27214</xdr:colOff>
      <xdr:row>34</xdr:row>
      <xdr:rowOff>89807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20</xdr:row>
      <xdr:rowOff>8164</xdr:rowOff>
    </xdr:from>
    <xdr:to>
      <xdr:col>10</xdr:col>
      <xdr:colOff>27214</xdr:colOff>
      <xdr:row>34</xdr:row>
      <xdr:rowOff>84364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20</xdr:row>
      <xdr:rowOff>24179</xdr:rowOff>
    </xdr:from>
    <xdr:to>
      <xdr:col>15</xdr:col>
      <xdr:colOff>29309</xdr:colOff>
      <xdr:row>34</xdr:row>
      <xdr:rowOff>100379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32656</xdr:colOff>
      <xdr:row>11</xdr:row>
      <xdr:rowOff>179105</xdr:rowOff>
    </xdr:from>
    <xdr:to>
      <xdr:col>6</xdr:col>
      <xdr:colOff>14654</xdr:colOff>
      <xdr:row>26</xdr:row>
      <xdr:rowOff>73269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665283</xdr:colOff>
      <xdr:row>22</xdr:row>
      <xdr:rowOff>102161</xdr:rowOff>
    </xdr:from>
    <xdr:to>
      <xdr:col>5</xdr:col>
      <xdr:colOff>1150327</xdr:colOff>
      <xdr:row>22</xdr:row>
      <xdr:rowOff>102577</xdr:rowOff>
    </xdr:to>
    <xdr:cxnSp macro="">
      <xdr:nvCxnSpPr>
        <xdr:cNvPr id="4" name="Straight Connector 3"/>
        <xdr:cNvCxnSpPr/>
      </xdr:nvCxnSpPr>
      <xdr:spPr>
        <a:xfrm>
          <a:off x="789841" y="4293161"/>
          <a:ext cx="5269524" cy="41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29308</xdr:colOff>
      <xdr:row>25</xdr:row>
      <xdr:rowOff>139212</xdr:rowOff>
    </xdr:from>
    <xdr:to>
      <xdr:col>13</xdr:col>
      <xdr:colOff>87923</xdr:colOff>
      <xdr:row>37</xdr:row>
      <xdr:rowOff>51287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103414</xdr:rowOff>
    </xdr:to>
    <xdr:sp macro="" textlink="">
      <xdr:nvSpPr>
        <xdr:cNvPr id="24577" name="AutoShape 1" descr="https://www.bing.com/th/id/OIP.wylsTKEVVzH4KiOugumQyAHaHa?w=188&amp;h=211&amp;c=8&amp;rs=1&amp;qlt=90&amp;o=6&amp;pid=3.1&amp;rm=2"/>
        <xdr:cNvSpPr>
          <a:spLocks noChangeAspect="1" noChangeArrowheads="1"/>
        </xdr:cNvSpPr>
      </xdr:nvSpPr>
      <xdr:spPr bwMode="auto">
        <a:xfrm>
          <a:off x="3152775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7</xdr:row>
      <xdr:rowOff>27214</xdr:rowOff>
    </xdr:to>
    <xdr:sp macro="" textlink="">
      <xdr:nvSpPr>
        <xdr:cNvPr id="24579" name="AutoShape 3" descr="Image result for ongc logo"/>
        <xdr:cNvSpPr>
          <a:spLocks noChangeAspect="1" noChangeArrowheads="1"/>
        </xdr:cNvSpPr>
      </xdr:nvSpPr>
      <xdr:spPr bwMode="auto">
        <a:xfrm>
          <a:off x="49815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11</xdr:row>
      <xdr:rowOff>114300</xdr:rowOff>
    </xdr:to>
    <xdr:sp macro="" textlink="">
      <xdr:nvSpPr>
        <xdr:cNvPr id="24580" name="AutoShape 4" descr="https://www.bing.com/th/id/OIP.j3GjL3v1WOetrXYfINGQlQAAAA?w=160&amp;h=211&amp;c=8&amp;rs=1&amp;qlt=90&amp;o=6&amp;pid=3.1&amp;rm=2"/>
        <xdr:cNvSpPr>
          <a:spLocks noChangeAspect="1" noChangeArrowheads="1"/>
        </xdr:cNvSpPr>
      </xdr:nvSpPr>
      <xdr:spPr bwMode="auto">
        <a:xfrm>
          <a:off x="3762375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242546</xdr:colOff>
      <xdr:row>1</xdr:row>
      <xdr:rowOff>18711</xdr:rowOff>
    </xdr:from>
    <xdr:to>
      <xdr:col>8</xdr:col>
      <xdr:colOff>574368</xdr:colOff>
      <xdr:row>4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803" y="209211"/>
          <a:ext cx="941422" cy="1058975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16</xdr:row>
      <xdr:rowOff>41852</xdr:rowOff>
    </xdr:from>
    <xdr:to>
      <xdr:col>1</xdr:col>
      <xdr:colOff>2057400</xdr:colOff>
      <xdr:row>25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2311262</xdr:colOff>
      <xdr:row>16</xdr:row>
      <xdr:rowOff>90280</xdr:rowOff>
    </xdr:from>
    <xdr:to>
      <xdr:col>5</xdr:col>
      <xdr:colOff>82412</xdr:colOff>
      <xdr:row>25</xdr:row>
      <xdr:rowOff>99805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400051</xdr:colOff>
      <xdr:row>15</xdr:row>
      <xdr:rowOff>57150</xdr:rowOff>
    </xdr:from>
    <xdr:to>
      <xdr:col>8</xdr:col>
      <xdr:colOff>495301</xdr:colOff>
      <xdr:row>24</xdr:row>
      <xdr:rowOff>85725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95250</xdr:colOff>
      <xdr:row>25</xdr:row>
      <xdr:rowOff>114300</xdr:rowOff>
    </xdr:from>
    <xdr:to>
      <xdr:col>1</xdr:col>
      <xdr:colOff>2095500</xdr:colOff>
      <xdr:row>35</xdr:row>
      <xdr:rowOff>167698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2286000</xdr:colOff>
      <xdr:row>26</xdr:row>
      <xdr:rowOff>133350</xdr:rowOff>
    </xdr:from>
    <xdr:to>
      <xdr:col>5</xdr:col>
      <xdr:colOff>38100</xdr:colOff>
      <xdr:row>35</xdr:row>
      <xdr:rowOff>186748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295275</xdr:colOff>
      <xdr:row>26</xdr:row>
      <xdr:rowOff>104775</xdr:rowOff>
    </xdr:from>
    <xdr:to>
      <xdr:col>8</xdr:col>
      <xdr:colOff>466725</xdr:colOff>
      <xdr:row>35</xdr:row>
      <xdr:rowOff>158173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</xdr:col>
      <xdr:colOff>385872</xdr:colOff>
      <xdr:row>15</xdr:row>
      <xdr:rowOff>44772</xdr:rowOff>
    </xdr:from>
    <xdr:ext cx="1269963" cy="264560"/>
    <xdr:sp macro="" textlink="">
      <xdr:nvSpPr>
        <xdr:cNvPr id="4" name="TextBox 3"/>
        <xdr:cNvSpPr txBox="1"/>
      </xdr:nvSpPr>
      <xdr:spPr>
        <a:xfrm>
          <a:off x="510111" y="3059642"/>
          <a:ext cx="12699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Revenue</a:t>
          </a:r>
          <a:r>
            <a:rPr lang="en-IN" sz="1100" b="1" baseline="0"/>
            <a:t> </a:t>
          </a:r>
          <a:r>
            <a:rPr lang="en-IN" sz="1100" b="1"/>
            <a:t>(INR</a:t>
          </a:r>
          <a:r>
            <a:rPr lang="en-IN" sz="1100" b="1" baseline="0"/>
            <a:t> Crs)</a:t>
          </a:r>
          <a:endParaRPr lang="en-IN" sz="1100" b="1"/>
        </a:p>
      </xdr:txBody>
    </xdr:sp>
    <xdr:clientData/>
  </xdr:oneCellAnchor>
  <xdr:twoCellAnchor>
    <xdr:from>
      <xdr:col>1</xdr:col>
      <xdr:colOff>223630</xdr:colOff>
      <xdr:row>23</xdr:row>
      <xdr:rowOff>173934</xdr:rowOff>
    </xdr:from>
    <xdr:to>
      <xdr:col>7</xdr:col>
      <xdr:colOff>132522</xdr:colOff>
      <xdr:row>24</xdr:row>
      <xdr:rowOff>16566</xdr:rowOff>
    </xdr:to>
    <xdr:cxnSp macro="">
      <xdr:nvCxnSpPr>
        <xdr:cNvPr id="6" name="Straight Connector 5"/>
        <xdr:cNvCxnSpPr/>
      </xdr:nvCxnSpPr>
      <xdr:spPr>
        <a:xfrm flipV="1">
          <a:off x="347869" y="4712804"/>
          <a:ext cx="5391979" cy="33132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321880</xdr:colOff>
      <xdr:row>1</xdr:row>
      <xdr:rowOff>155684</xdr:rowOff>
    </xdr:from>
    <xdr:to>
      <xdr:col>13</xdr:col>
      <xdr:colOff>656898</xdr:colOff>
      <xdr:row>16</xdr:row>
      <xdr:rowOff>28246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screener.in/excel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J12" sqref="J12"/>
    </sheetView>
  </sheetViews>
  <sheetFormatPr defaultColWidth="8.85546875" defaultRowHeight="15" x14ac:dyDescent="0.25"/>
  <cols>
    <col min="1" max="1" width="30.5703125" style="6" bestFit="1" customWidth="1"/>
    <col min="2" max="6" width="13.42578125" style="6" customWidth="1"/>
    <col min="7" max="7" width="14.85546875" style="6" bestFit="1" customWidth="1"/>
    <col min="8" max="11" width="13.42578125" style="6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OIL &amp; NATURAL GAS CORPN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42094</v>
      </c>
      <c r="C3" s="16">
        <f>'Data Sheet'!C16</f>
        <v>42460</v>
      </c>
      <c r="D3" s="16">
        <f>'Data Sheet'!D16</f>
        <v>42825</v>
      </c>
      <c r="E3" s="16">
        <f>'Data Sheet'!E16</f>
        <v>43190</v>
      </c>
      <c r="F3" s="16">
        <f>'Data Sheet'!F16</f>
        <v>43555</v>
      </c>
      <c r="G3" s="16">
        <f>'Data Sheet'!G16</f>
        <v>43921</v>
      </c>
      <c r="H3" s="16">
        <f>'Data Sheet'!H16</f>
        <v>44286</v>
      </c>
      <c r="I3" s="16">
        <f>'Data Sheet'!I16</f>
        <v>44651</v>
      </c>
      <c r="J3" s="16">
        <f>'Data Sheet'!J16</f>
        <v>45016</v>
      </c>
      <c r="K3" s="16">
        <f>'Data Sheet'!K16</f>
        <v>45382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160922.64000000001</v>
      </c>
      <c r="C4" s="1">
        <f>'Data Sheet'!C17</f>
        <v>124035.71</v>
      </c>
      <c r="D4" s="1">
        <f>'Data Sheet'!D17</f>
        <v>282506.11</v>
      </c>
      <c r="E4" s="1">
        <f>'Data Sheet'!E17</f>
        <v>322705.76</v>
      </c>
      <c r="F4" s="1">
        <f>'Data Sheet'!F17</f>
        <v>421623.93</v>
      </c>
      <c r="G4" s="1">
        <f>'Data Sheet'!G17</f>
        <v>396727.91</v>
      </c>
      <c r="H4" s="1">
        <f>'Data Sheet'!H17</f>
        <v>303848.90999999997</v>
      </c>
      <c r="I4" s="1">
        <f>'Data Sheet'!I17</f>
        <v>491246.24</v>
      </c>
      <c r="J4" s="1">
        <f>'Data Sheet'!J17</f>
        <v>632291.18000000005</v>
      </c>
      <c r="K4" s="1">
        <f>'Data Sheet'!K17</f>
        <v>591396.26</v>
      </c>
      <c r="L4" s="1">
        <f>SUM(Quarters!H4:K4)</f>
        <v>659221.21</v>
      </c>
      <c r="M4" s="1">
        <f>$K4+M23*K4</f>
        <v>738389.54256798595</v>
      </c>
      <c r="N4" s="1">
        <f>$K4+N23*L4</f>
        <v>637552.92985521234</v>
      </c>
    </row>
    <row r="5" spans="1:14" x14ac:dyDescent="0.25">
      <c r="A5" s="6" t="s">
        <v>7</v>
      </c>
      <c r="B5" s="9">
        <f>SUM('Data Sheet'!B18,'Data Sheet'!B20:B24, -1*'Data Sheet'!B19)</f>
        <v>118610.31999999999</v>
      </c>
      <c r="C5" s="9">
        <f>SUM('Data Sheet'!C18,'Data Sheet'!C20:C24, -1*'Data Sheet'!C19)</f>
        <v>84901.08</v>
      </c>
      <c r="D5" s="9">
        <f>SUM('Data Sheet'!D18,'Data Sheet'!D20:D24, -1*'Data Sheet'!D19)</f>
        <v>229702.44</v>
      </c>
      <c r="E5" s="9">
        <f>SUM('Data Sheet'!E18,'Data Sheet'!E20:E24, -1*'Data Sheet'!E19)</f>
        <v>265816.7</v>
      </c>
      <c r="F5" s="9">
        <f>SUM('Data Sheet'!F18,'Data Sheet'!F20:F24, -1*'Data Sheet'!F19)</f>
        <v>346804.94</v>
      </c>
      <c r="G5" s="9">
        <f>SUM('Data Sheet'!G18,'Data Sheet'!G20:G24, -1*'Data Sheet'!G19)</f>
        <v>344622.93</v>
      </c>
      <c r="H5" s="9">
        <f>SUM('Data Sheet'!H18,'Data Sheet'!H20:H24, -1*'Data Sheet'!H19)</f>
        <v>254375.47</v>
      </c>
      <c r="I5" s="9">
        <f>SUM('Data Sheet'!I18,'Data Sheet'!I20:I24, -1*'Data Sheet'!I19)</f>
        <v>411372.65</v>
      </c>
      <c r="J5" s="9">
        <f>SUM('Data Sheet'!J18,'Data Sheet'!J20:J24, -1*'Data Sheet'!J19)</f>
        <v>556764.18999999994</v>
      </c>
      <c r="K5" s="9">
        <f>SUM('Data Sheet'!K18,'Data Sheet'!K20:K24, -1*'Data Sheet'!K19)</f>
        <v>488560.82</v>
      </c>
      <c r="L5" s="9">
        <f>SUM(Quarters!H5:K5)</f>
        <v>569596.70000000007</v>
      </c>
      <c r="M5" s="9">
        <f t="shared" ref="M5:N5" si="0">M4-M6</f>
        <v>627202.28273040592</v>
      </c>
      <c r="N5" s="9">
        <f t="shared" si="0"/>
        <v>550874.33385351847</v>
      </c>
    </row>
    <row r="6" spans="1:14" s="8" customFormat="1" x14ac:dyDescent="0.25">
      <c r="A6" s="8" t="s">
        <v>8</v>
      </c>
      <c r="B6" s="1">
        <f>B4-B5</f>
        <v>42312.320000000022</v>
      </c>
      <c r="C6" s="1">
        <f t="shared" ref="C6:K6" si="1">C4-C5</f>
        <v>39134.630000000005</v>
      </c>
      <c r="D6" s="1">
        <f t="shared" si="1"/>
        <v>52803.669999999984</v>
      </c>
      <c r="E6" s="1">
        <f t="shared" si="1"/>
        <v>56889.06</v>
      </c>
      <c r="F6" s="1">
        <f t="shared" si="1"/>
        <v>74818.989999999991</v>
      </c>
      <c r="G6" s="1">
        <f t="shared" si="1"/>
        <v>52104.979999999981</v>
      </c>
      <c r="H6" s="1">
        <f t="shared" si="1"/>
        <v>49473.439999999973</v>
      </c>
      <c r="I6" s="1">
        <f t="shared" si="1"/>
        <v>79873.589999999967</v>
      </c>
      <c r="J6" s="1">
        <f t="shared" si="1"/>
        <v>75526.990000000107</v>
      </c>
      <c r="K6" s="1">
        <f t="shared" si="1"/>
        <v>102835.44</v>
      </c>
      <c r="L6" s="1">
        <f>SUM(Quarters!H6:K6)</f>
        <v>89624.51</v>
      </c>
      <c r="M6" s="1">
        <f>M4*M24</f>
        <v>111187.25983758003</v>
      </c>
      <c r="N6" s="1">
        <f>N4*N24</f>
        <v>86678.596001693833</v>
      </c>
    </row>
    <row r="7" spans="1:14" x14ac:dyDescent="0.25">
      <c r="A7" s="6" t="s">
        <v>9</v>
      </c>
      <c r="B7" s="9">
        <f>'Data Sheet'!B25</f>
        <v>5954.76</v>
      </c>
      <c r="C7" s="9">
        <f>'Data Sheet'!C25</f>
        <v>1067.26</v>
      </c>
      <c r="D7" s="9">
        <f>'Data Sheet'!D25</f>
        <v>12724.18</v>
      </c>
      <c r="E7" s="9">
        <f>'Data Sheet'!E25</f>
        <v>10429.39</v>
      </c>
      <c r="F7" s="9">
        <f>'Data Sheet'!F25</f>
        <v>9567.1</v>
      </c>
      <c r="G7" s="9">
        <f>'Data Sheet'!G25</f>
        <v>981.69</v>
      </c>
      <c r="H7" s="9">
        <f>'Data Sheet'!H25</f>
        <v>11270.51</v>
      </c>
      <c r="I7" s="9">
        <f>'Data Sheet'!I25</f>
        <v>6796.72</v>
      </c>
      <c r="J7" s="9">
        <f>'Data Sheet'!J25</f>
        <v>-29.82</v>
      </c>
      <c r="K7" s="9">
        <f>'Data Sheet'!K25</f>
        <v>12981.54</v>
      </c>
      <c r="L7" s="9">
        <f>SUM(Quarters!H7:K7)</f>
        <v>12738.76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18032.97</v>
      </c>
      <c r="C8" s="9">
        <f>'Data Sheet'!C26</f>
        <v>16384.060000000001</v>
      </c>
      <c r="D8" s="9">
        <f>'Data Sheet'!D26</f>
        <v>20219.2</v>
      </c>
      <c r="E8" s="9">
        <f>'Data Sheet'!E26</f>
        <v>23111.91</v>
      </c>
      <c r="F8" s="9">
        <f>'Data Sheet'!F26</f>
        <v>23703.7</v>
      </c>
      <c r="G8" s="9">
        <f>'Data Sheet'!G26</f>
        <v>26634.880000000001</v>
      </c>
      <c r="H8" s="9">
        <f>'Data Sheet'!H26</f>
        <v>25538.47</v>
      </c>
      <c r="I8" s="9">
        <f>'Data Sheet'!I26</f>
        <v>26883.16</v>
      </c>
      <c r="J8" s="9">
        <f>'Data Sheet'!J26</f>
        <v>24557.06</v>
      </c>
      <c r="K8" s="9">
        <f>'Data Sheet'!K26</f>
        <v>28762.75</v>
      </c>
      <c r="L8" s="9">
        <f>SUM(Quarters!H8:K8)</f>
        <v>34025.550000000003</v>
      </c>
      <c r="M8" s="9">
        <f>+$L8</f>
        <v>34025.550000000003</v>
      </c>
      <c r="N8" s="9">
        <f>+$L8</f>
        <v>34025.550000000003</v>
      </c>
    </row>
    <row r="9" spans="1:14" x14ac:dyDescent="0.25">
      <c r="A9" s="6" t="s">
        <v>11</v>
      </c>
      <c r="B9" s="9">
        <f>'Data Sheet'!B27</f>
        <v>2863.75</v>
      </c>
      <c r="C9" s="9">
        <f>'Data Sheet'!C27</f>
        <v>3765.58</v>
      </c>
      <c r="D9" s="9">
        <f>'Data Sheet'!D27</f>
        <v>3591.11</v>
      </c>
      <c r="E9" s="9">
        <f>'Data Sheet'!E27</f>
        <v>4999.04</v>
      </c>
      <c r="F9" s="9">
        <f>'Data Sheet'!F27</f>
        <v>5836.73</v>
      </c>
      <c r="G9" s="9">
        <f>'Data Sheet'!G27</f>
        <v>7489.34</v>
      </c>
      <c r="H9" s="9">
        <f>'Data Sheet'!H27</f>
        <v>5079.03</v>
      </c>
      <c r="I9" s="9">
        <f>'Data Sheet'!I27</f>
        <v>5696.04</v>
      </c>
      <c r="J9" s="9">
        <f>'Data Sheet'!J27</f>
        <v>7889.36</v>
      </c>
      <c r="K9" s="9">
        <f>'Data Sheet'!K27</f>
        <v>10194.17</v>
      </c>
      <c r="L9" s="9">
        <f>SUM(Quarters!H9:K9)</f>
        <v>13717.4</v>
      </c>
      <c r="M9" s="9">
        <f>+$L9</f>
        <v>13717.4</v>
      </c>
      <c r="N9" s="9">
        <f>+$L9</f>
        <v>13717.4</v>
      </c>
    </row>
    <row r="10" spans="1:14" x14ac:dyDescent="0.25">
      <c r="A10" s="6" t="s">
        <v>12</v>
      </c>
      <c r="B10" s="9">
        <f>'Data Sheet'!B28</f>
        <v>27370.36</v>
      </c>
      <c r="C10" s="9">
        <f>'Data Sheet'!C28</f>
        <v>20052.25</v>
      </c>
      <c r="D10" s="9">
        <f>'Data Sheet'!D28</f>
        <v>41717.54</v>
      </c>
      <c r="E10" s="9">
        <f>'Data Sheet'!E28</f>
        <v>39207.5</v>
      </c>
      <c r="F10" s="9">
        <f>'Data Sheet'!F28</f>
        <v>54845.66</v>
      </c>
      <c r="G10" s="9">
        <f>'Data Sheet'!G28</f>
        <v>18962.45</v>
      </c>
      <c r="H10" s="9">
        <f>'Data Sheet'!H28</f>
        <v>30126.45</v>
      </c>
      <c r="I10" s="9">
        <f>'Data Sheet'!I28</f>
        <v>54091.11</v>
      </c>
      <c r="J10" s="9">
        <f>'Data Sheet'!J28</f>
        <v>43050.75</v>
      </c>
      <c r="K10" s="9">
        <f>'Data Sheet'!K28</f>
        <v>76860.06</v>
      </c>
      <c r="L10" s="9">
        <f>SUM(Quarters!H10:K10)</f>
        <v>54620.320000000007</v>
      </c>
      <c r="M10" s="9">
        <f>M6+M7-SUM(M8:M9)</f>
        <v>63444.309837580025</v>
      </c>
      <c r="N10" s="9">
        <f>N6+N7-SUM(N8:N9)</f>
        <v>38935.646001693829</v>
      </c>
    </row>
    <row r="11" spans="1:14" x14ac:dyDescent="0.25">
      <c r="A11" s="6" t="s">
        <v>13</v>
      </c>
      <c r="B11" s="9">
        <f>'Data Sheet'!B29</f>
        <v>9697.41</v>
      </c>
      <c r="C11" s="9">
        <f>'Data Sheet'!C29</f>
        <v>6950.7</v>
      </c>
      <c r="D11" s="9">
        <f>'Data Sheet'!D29</f>
        <v>12548.42</v>
      </c>
      <c r="E11" s="9">
        <f>'Data Sheet'!E29</f>
        <v>13139.52</v>
      </c>
      <c r="F11" s="9">
        <f>'Data Sheet'!F29</f>
        <v>20907.650000000001</v>
      </c>
      <c r="G11" s="9">
        <f>'Data Sheet'!G29</f>
        <v>7506.19</v>
      </c>
      <c r="H11" s="9">
        <f>'Data Sheet'!H29</f>
        <v>8766.2000000000007</v>
      </c>
      <c r="I11" s="9">
        <f>'Data Sheet'!I29</f>
        <v>4797.04</v>
      </c>
      <c r="J11" s="9">
        <f>'Data Sheet'!J29</f>
        <v>10273.15</v>
      </c>
      <c r="K11" s="9">
        <f>'Data Sheet'!K29</f>
        <v>19759.23</v>
      </c>
      <c r="L11" s="9">
        <f>SUM(Quarters!H11:K11)</f>
        <v>13621.529999999999</v>
      </c>
      <c r="M11" s="10">
        <f>IF($L10&gt;0,$L11/$L10,0)</f>
        <v>0.24938575973190924</v>
      </c>
      <c r="N11" s="10">
        <f>IF($L10&gt;0,$L11/$L10,0)</f>
        <v>0.24938575973190924</v>
      </c>
    </row>
    <row r="12" spans="1:14" s="8" customFormat="1" x14ac:dyDescent="0.25">
      <c r="A12" s="8" t="s">
        <v>14</v>
      </c>
      <c r="B12" s="1">
        <f>'Data Sheet'!B30</f>
        <v>18333.52</v>
      </c>
      <c r="C12" s="1">
        <f>'Data Sheet'!C30</f>
        <v>12875.21</v>
      </c>
      <c r="D12" s="1">
        <f>'Data Sheet'!D30</f>
        <v>24419.25</v>
      </c>
      <c r="E12" s="1">
        <f>'Data Sheet'!E30</f>
        <v>22105.93</v>
      </c>
      <c r="F12" s="1">
        <f>'Data Sheet'!F30</f>
        <v>30546.04</v>
      </c>
      <c r="G12" s="1">
        <f>'Data Sheet'!G30</f>
        <v>10803.6</v>
      </c>
      <c r="H12" s="1">
        <f>'Data Sheet'!H30</f>
        <v>16304.4</v>
      </c>
      <c r="I12" s="1">
        <f>'Data Sheet'!I30</f>
        <v>45522.11</v>
      </c>
      <c r="J12" s="1">
        <f>'Data Sheet'!J30</f>
        <v>35440.480000000003</v>
      </c>
      <c r="K12" s="1">
        <f>'Data Sheet'!K30</f>
        <v>49221.38</v>
      </c>
      <c r="L12" s="1">
        <f>SUM(Quarters!H12:K12)</f>
        <v>39010.15</v>
      </c>
      <c r="M12" s="1">
        <f>M10-M11*M10</f>
        <v>47622.202428068485</v>
      </c>
      <c r="N12" s="1">
        <f>N10-N11*N10</f>
        <v>29225.650342908739</v>
      </c>
    </row>
    <row r="13" spans="1:14" x14ac:dyDescent="0.25">
      <c r="A13" s="11" t="s">
        <v>57</v>
      </c>
      <c r="B13" s="9">
        <f>IF('Data Sheet'!B93&gt;0,B12/'Data Sheet'!B93,0)</f>
        <v>14.286008166318613</v>
      </c>
      <c r="C13" s="9">
        <f>IF('Data Sheet'!C93&gt;0,C12/'Data Sheet'!C93,0)</f>
        <v>10.032735405043169</v>
      </c>
      <c r="D13" s="9">
        <f>IF('Data Sheet'!D93&gt;0,D12/'Data Sheet'!D93,0)</f>
        <v>19.028184708412557</v>
      </c>
      <c r="E13" s="9">
        <f>IF('Data Sheet'!E93&gt;0,E12/'Data Sheet'!E93,0)</f>
        <v>17.225578967054204</v>
      </c>
      <c r="F13" s="9">
        <f>IF('Data Sheet'!F93&gt;0,F12/'Data Sheet'!F93,0)</f>
        <v>24.280851807985503</v>
      </c>
      <c r="G13" s="9">
        <f>IF('Data Sheet'!G93&gt;0,G12/'Data Sheet'!G93,0)</f>
        <v>8.5877125346772338</v>
      </c>
      <c r="H13" s="9">
        <f>IF('Data Sheet'!H93&gt;0,H12/'Data Sheet'!H93,0)</f>
        <v>12.960263268761476</v>
      </c>
      <c r="I13" s="9">
        <f>IF('Data Sheet'!I93&gt;0,I12/'Data Sheet'!I93,0)</f>
        <v>36.18523405642155</v>
      </c>
      <c r="J13" s="9">
        <f>IF('Data Sheet'!J93&gt;0,J12/'Data Sheet'!J93,0)</f>
        <v>28.171410856656841</v>
      </c>
      <c r="K13" s="9">
        <f>IF('Data Sheet'!K93&gt;0,K12/'Data Sheet'!K93,0)</f>
        <v>39.12576011700834</v>
      </c>
      <c r="L13" s="9">
        <f>IF('Data Sheet'!$B6&gt;0,'Profit &amp; Loss'!L12/'Data Sheet'!$B6,0)</f>
        <v>31.008953634110785</v>
      </c>
      <c r="M13" s="9">
        <f>IF('Data Sheet'!$B6&gt;0,'Profit &amp; Loss'!M12/'Data Sheet'!$B6,0)</f>
        <v>37.854626732945491</v>
      </c>
      <c r="N13" s="9">
        <f>IF('Data Sheet'!$B6&gt;0,'Profit &amp; Loss'!N12/'Data Sheet'!$B6,0)</f>
        <v>23.231308682740028</v>
      </c>
    </row>
    <row r="14" spans="1:14" x14ac:dyDescent="0.25">
      <c r="A14" s="6" t="s">
        <v>16</v>
      </c>
      <c r="B14" s="9">
        <f>IF(B15&gt;0,B15/B13,"")</f>
        <v>14.29580591179435</v>
      </c>
      <c r="C14" s="9">
        <f t="shared" ref="C14:K14" si="2">IF(C15&gt;0,C15/C13,"")</f>
        <v>14.22642920775661</v>
      </c>
      <c r="D14" s="9">
        <f t="shared" si="2"/>
        <v>9.7224198122382948</v>
      </c>
      <c r="E14" s="9">
        <f t="shared" si="2"/>
        <v>10.321859157248756</v>
      </c>
      <c r="F14" s="9">
        <f t="shared" si="2"/>
        <v>6.5792584734387827</v>
      </c>
      <c r="G14" s="9">
        <f t="shared" si="2"/>
        <v>7.9532238327964748</v>
      </c>
      <c r="H14" s="9">
        <f t="shared" si="2"/>
        <v>7.8817843342901304</v>
      </c>
      <c r="I14" s="9">
        <f t="shared" si="2"/>
        <v>4.5294718764134618</v>
      </c>
      <c r="J14" s="9">
        <f t="shared" si="2"/>
        <v>5.3618187874430587</v>
      </c>
      <c r="K14" s="9">
        <f t="shared" si="2"/>
        <v>6.8509851105352997</v>
      </c>
      <c r="L14" s="9">
        <f t="shared" ref="L14" si="3">IF(L13&gt;0,L15/L13,0)</f>
        <v>7.9767283642846794</v>
      </c>
      <c r="M14" s="9">
        <f>M25</f>
        <v>7.9767283642846794</v>
      </c>
      <c r="N14" s="9">
        <f>N25</f>
        <v>6.1797510346691249</v>
      </c>
    </row>
    <row r="15" spans="1:14" s="8" customFormat="1" x14ac:dyDescent="0.25">
      <c r="A15" s="8" t="s">
        <v>58</v>
      </c>
      <c r="B15" s="1">
        <f>'Data Sheet'!B90</f>
        <v>204.23</v>
      </c>
      <c r="C15" s="1">
        <f>'Data Sheet'!C90</f>
        <v>142.72999999999999</v>
      </c>
      <c r="D15" s="1">
        <f>'Data Sheet'!D90</f>
        <v>185</v>
      </c>
      <c r="E15" s="1">
        <f>'Data Sheet'!E90</f>
        <v>177.8</v>
      </c>
      <c r="F15" s="1">
        <f>'Data Sheet'!F90</f>
        <v>159.75</v>
      </c>
      <c r="G15" s="1">
        <f>'Data Sheet'!G90</f>
        <v>68.3</v>
      </c>
      <c r="H15" s="1">
        <f>'Data Sheet'!H90</f>
        <v>102.15</v>
      </c>
      <c r="I15" s="1">
        <f>'Data Sheet'!I90</f>
        <v>163.9</v>
      </c>
      <c r="J15" s="1">
        <f>'Data Sheet'!J90</f>
        <v>151.05000000000001</v>
      </c>
      <c r="K15" s="1">
        <f>'Data Sheet'!K90</f>
        <v>268.05</v>
      </c>
      <c r="L15" s="1">
        <f>'Data Sheet'!B8</f>
        <v>247.35</v>
      </c>
      <c r="M15" s="12">
        <f>M13*M14</f>
        <v>301.95607478009538</v>
      </c>
      <c r="N15" s="13">
        <f>N13*N14</f>
        <v>143.56370386888051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0.44332675885481893</v>
      </c>
      <c r="C18" s="7">
        <f>IF('Data Sheet'!C30&gt;0, 'Data Sheet'!C31/'Data Sheet'!C30, 0)</f>
        <v>0.56482107864648423</v>
      </c>
      <c r="D18" s="7">
        <f>IF('Data Sheet'!D30&gt;0, 'Data Sheet'!D31/'Data Sheet'!D30, 0)</f>
        <v>0.39678163743767725</v>
      </c>
      <c r="E18" s="7">
        <f>IF('Data Sheet'!E30&gt;0, 'Data Sheet'!E31/'Data Sheet'!E30, 0)</f>
        <v>0.38315284631770752</v>
      </c>
      <c r="F18" s="7">
        <f>IF('Data Sheet'!F30&gt;0, 'Data Sheet'!F31/'Data Sheet'!F30, 0)</f>
        <v>0.28829301605052565</v>
      </c>
      <c r="G18" s="7">
        <f>IF('Data Sheet'!G30&gt;0, 'Data Sheet'!G31/'Data Sheet'!G30, 0)</f>
        <v>0.58222722055611087</v>
      </c>
      <c r="H18" s="7">
        <f>IF('Data Sheet'!H30&gt;0, 'Data Sheet'!H31/'Data Sheet'!H30, 0)</f>
        <v>0.27777164446407104</v>
      </c>
      <c r="I18" s="7">
        <f>IF('Data Sheet'!I30&gt;0, 'Data Sheet'!I31/'Data Sheet'!I30, 0)</f>
        <v>0.29017306095872974</v>
      </c>
      <c r="J18" s="7">
        <f>IF('Data Sheet'!J30&gt;0, 'Data Sheet'!J31/'Data Sheet'!J30, 0)</f>
        <v>0.39934052811925791</v>
      </c>
      <c r="K18" s="7">
        <f>IF('Data Sheet'!K30&gt;0, 'Data Sheet'!K31/'Data Sheet'!K30, 0)</f>
        <v>0.31309240009117989</v>
      </c>
    </row>
    <row r="19" spans="1:14" x14ac:dyDescent="0.25">
      <c r="A19" s="6" t="s">
        <v>18</v>
      </c>
      <c r="B19" s="7">
        <f t="shared" ref="B19:L19" si="4">IF(B6&gt;0,B6/B4,0)</f>
        <v>0.26293578081990215</v>
      </c>
      <c r="C19" s="7">
        <f t="shared" ref="C19:K19" si="5">IF(C6&gt;0,C6/C4,0)</f>
        <v>0.31551099276168132</v>
      </c>
      <c r="D19" s="7">
        <f t="shared" si="5"/>
        <v>0.18691160343399293</v>
      </c>
      <c r="E19" s="7">
        <f t="shared" si="5"/>
        <v>0.17628771175327021</v>
      </c>
      <c r="F19" s="7">
        <f t="shared" si="5"/>
        <v>0.17745432523244112</v>
      </c>
      <c r="G19" s="7">
        <f t="shared" si="5"/>
        <v>0.13133681469498829</v>
      </c>
      <c r="H19" s="7">
        <f t="shared" si="5"/>
        <v>0.16282250280246185</v>
      </c>
      <c r="I19" s="7">
        <f t="shared" si="5"/>
        <v>0.16259379410211866</v>
      </c>
      <c r="J19" s="7">
        <f t="shared" si="5"/>
        <v>0.11944969721070615</v>
      </c>
      <c r="K19" s="7">
        <f t="shared" si="5"/>
        <v>0.17388584770556378</v>
      </c>
      <c r="L19" s="7">
        <f t="shared" si="4"/>
        <v>0.13595513712309104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0.15559811564389814</v>
      </c>
      <c r="I23" s="7">
        <f>IF(D4=0,"",POWER($K4/D4,1/7)-1)</f>
        <v>0.11131152523838361</v>
      </c>
      <c r="J23" s="7">
        <f>IF(F4=0,"",POWER($K4/F4,1/5)-1)</f>
        <v>7.0016967225936755E-2</v>
      </c>
      <c r="K23" s="7">
        <f>IF(H4=0,"",POWER($K4/H4, 1/3)-1)</f>
        <v>0.24855294581671172</v>
      </c>
      <c r="L23" s="7">
        <f>IF(ISERROR(MAX(IF(J4=0,"",(K4-J4)/J4),IF(K4=0,"",(L4-K4)/K4))),"",MAX(IF(J4=0,"",(K4-J4)/J4),IF(K4=0,"",(L4-K4)/K4)))</f>
        <v>0.11468613278007533</v>
      </c>
      <c r="M23" s="22">
        <f>MAX(K23:L23)</f>
        <v>0.24855294581671172</v>
      </c>
      <c r="N23" s="22">
        <f>MIN(H23:L23)</f>
        <v>7.0016967225936755E-2</v>
      </c>
    </row>
    <row r="24" spans="1:14" x14ac:dyDescent="0.25">
      <c r="G24" s="6" t="s">
        <v>18</v>
      </c>
      <c r="H24" s="7">
        <f>IF(SUM(B4:$K$4)=0,"",SUMPRODUCT(B19:$K$19,B4:$K$4)/SUM(B4:$K$4))</f>
        <v>0.16788890867828582</v>
      </c>
      <c r="I24" s="7">
        <f>IF(SUM(E4:$K$4)=0,"",SUMPRODUCT(E19:$K$19,E4:$K$4)/SUM(E4:$K$4))</f>
        <v>0.15555295851844966</v>
      </c>
      <c r="J24" s="7">
        <f>IF(SUM(G4:$K$4)=0,"",SUMPRODUCT(G19:$K$19,G4:$K$4)/SUM(G4:$K$4))</f>
        <v>0.14895999831091608</v>
      </c>
      <c r="K24" s="7">
        <f>IF(SUM(I4:$K$4)=0, "", SUMPRODUCT(I19:$K$19,I4:$K$4)/SUM(I4:$K$4))</f>
        <v>0.1505807618169818</v>
      </c>
      <c r="L24" s="7">
        <f>L19</f>
        <v>0.13595513712309104</v>
      </c>
      <c r="M24" s="22">
        <f>MAX(K24:L24)</f>
        <v>0.1505807618169818</v>
      </c>
      <c r="N24" s="22">
        <f>MIN(H24:L24)</f>
        <v>0.13595513712309104</v>
      </c>
    </row>
    <row r="25" spans="1:14" x14ac:dyDescent="0.25">
      <c r="G25" s="6" t="s">
        <v>23</v>
      </c>
      <c r="H25" s="9">
        <f>IF(ISERROR(AVERAGEIF(B14:$L14,"&gt;0")),"",AVERAGEIF(B14:$L14,"&gt;0"))</f>
        <v>8.6999804425672647</v>
      </c>
      <c r="I25" s="9">
        <f>IF(ISERROR(AVERAGEIF(E14:$L14,"&gt;0")),"",AVERAGEIF(E14:$L14,"&gt;0"))</f>
        <v>7.1818912420563299</v>
      </c>
      <c r="J25" s="9">
        <f>IF(ISERROR(AVERAGEIF(G14:$L14,"&gt;0")),"",AVERAGEIF(G14:$L14,"&gt;0"))</f>
        <v>6.7590020509605182</v>
      </c>
      <c r="K25" s="9">
        <f>IF(ISERROR(AVERAGEIF(I14:$L14,"&gt;0")),"",AVERAGEIF(I14:$L14,"&gt;0"))</f>
        <v>6.1797510346691249</v>
      </c>
      <c r="L25" s="9">
        <f>L14</f>
        <v>7.9767283642846794</v>
      </c>
      <c r="M25" s="1">
        <f>MAX(K25:L25)</f>
        <v>7.9767283642846794</v>
      </c>
      <c r="N25" s="1">
        <f>MIN(H25:L25)</f>
        <v>6.1797510346691249</v>
      </c>
    </row>
  </sheetData>
  <hyperlinks>
    <hyperlink ref="M1" r:id="rId1"/>
  </hyperlinks>
  <printOptions gridLines="1"/>
  <pageMargins left="0.7" right="0.7" top="0.75" bottom="0.75" header="0.3" footer="0.3"/>
  <pageSetup paperSize="9" scale="64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I23" sqref="I23"/>
    </sheetView>
  </sheetViews>
  <sheetFormatPr defaultColWidth="8.85546875" defaultRowHeight="15" x14ac:dyDescent="0.25"/>
  <cols>
    <col min="1" max="1" width="20.7109375" style="6" customWidth="1"/>
    <col min="2" max="11" width="13.42578125" style="6" bestFit="1" customWidth="1"/>
    <col min="12" max="16384" width="8.85546875" style="6"/>
  </cols>
  <sheetData>
    <row r="1" spans="1:11" s="8" customFormat="1" x14ac:dyDescent="0.25">
      <c r="A1" s="8" t="str">
        <f>'Profit &amp; Loss'!A1</f>
        <v>OIL &amp; NATURAL GAS CORPN LTD</v>
      </c>
      <c r="E1" t="str">
        <f>UPDATE</f>
        <v/>
      </c>
      <c r="J1" s="4" t="s">
        <v>1</v>
      </c>
      <c r="K1" s="4"/>
    </row>
    <row r="3" spans="1:11" s="2" customFormat="1" x14ac:dyDescent="0.25">
      <c r="A3" s="15" t="s">
        <v>2</v>
      </c>
      <c r="B3" s="16">
        <f>'Data Sheet'!B41</f>
        <v>44834</v>
      </c>
      <c r="C3" s="16">
        <f>'Data Sheet'!C41</f>
        <v>44926</v>
      </c>
      <c r="D3" s="16">
        <f>'Data Sheet'!D41</f>
        <v>45016</v>
      </c>
      <c r="E3" s="16">
        <f>'Data Sheet'!E41</f>
        <v>45107</v>
      </c>
      <c r="F3" s="16">
        <f>'Data Sheet'!F41</f>
        <v>45199</v>
      </c>
      <c r="G3" s="16">
        <f>'Data Sheet'!G41</f>
        <v>45291</v>
      </c>
      <c r="H3" s="16">
        <f>'Data Sheet'!H41</f>
        <v>45382</v>
      </c>
      <c r="I3" s="16">
        <f>'Data Sheet'!I41</f>
        <v>45473</v>
      </c>
      <c r="J3" s="16">
        <f>'Data Sheet'!J41</f>
        <v>45565</v>
      </c>
      <c r="K3" s="16">
        <f>'Data Sheet'!K41</f>
        <v>45657</v>
      </c>
    </row>
    <row r="4" spans="1:11" s="8" customFormat="1" x14ac:dyDescent="0.25">
      <c r="A4" s="8" t="s">
        <v>6</v>
      </c>
      <c r="B4" s="1">
        <f>'Data Sheet'!B42</f>
        <v>168656.12</v>
      </c>
      <c r="C4" s="1">
        <f>'Data Sheet'!C42</f>
        <v>169212.63</v>
      </c>
      <c r="D4" s="1">
        <f>'Data Sheet'!D42</f>
        <v>164066.72</v>
      </c>
      <c r="E4" s="1">
        <f>'Data Sheet'!E42</f>
        <v>163823.59</v>
      </c>
      <c r="F4" s="1">
        <f>'Data Sheet'!F42</f>
        <v>147613.68</v>
      </c>
      <c r="G4" s="1">
        <f>'Data Sheet'!G42</f>
        <v>167356.63</v>
      </c>
      <c r="H4" s="1">
        <f>'Data Sheet'!H42</f>
        <v>166770.63</v>
      </c>
      <c r="I4" s="1">
        <f>'Data Sheet'!I42</f>
        <v>168024.8</v>
      </c>
      <c r="J4" s="1">
        <f>'Data Sheet'!J42</f>
        <v>158329.1</v>
      </c>
      <c r="K4" s="1">
        <f>'Data Sheet'!K42</f>
        <v>166096.68</v>
      </c>
    </row>
    <row r="5" spans="1:11" x14ac:dyDescent="0.25">
      <c r="A5" s="6" t="s">
        <v>7</v>
      </c>
      <c r="B5" s="9">
        <f>'Data Sheet'!B43</f>
        <v>155310.59</v>
      </c>
      <c r="C5" s="9">
        <f>'Data Sheet'!C43</f>
        <v>147345.51999999999</v>
      </c>
      <c r="D5" s="9">
        <f>'Data Sheet'!D43</f>
        <v>143527.29</v>
      </c>
      <c r="E5" s="9">
        <f>'Data Sheet'!E43</f>
        <v>133028.63</v>
      </c>
      <c r="F5" s="9">
        <f>'Data Sheet'!F43</f>
        <v>119533.64</v>
      </c>
      <c r="G5" s="9">
        <f>'Data Sheet'!G43</f>
        <v>146996.46</v>
      </c>
      <c r="H5" s="9">
        <f>'Data Sheet'!H43</f>
        <v>143545.42000000001</v>
      </c>
      <c r="I5" s="9">
        <f>'Data Sheet'!I43</f>
        <v>146398.25</v>
      </c>
      <c r="J5" s="9">
        <f>'Data Sheet'!J43</f>
        <v>137834.41</v>
      </c>
      <c r="K5" s="9">
        <f>'Data Sheet'!K43</f>
        <v>141818.62</v>
      </c>
    </row>
    <row r="6" spans="1:11" s="8" customFormat="1" x14ac:dyDescent="0.25">
      <c r="A6" s="8" t="s">
        <v>8</v>
      </c>
      <c r="B6" s="1">
        <f>'Data Sheet'!B50</f>
        <v>13345.53</v>
      </c>
      <c r="C6" s="1">
        <f>'Data Sheet'!C50</f>
        <v>21867.11</v>
      </c>
      <c r="D6" s="1">
        <f>'Data Sheet'!D50</f>
        <v>20539.43</v>
      </c>
      <c r="E6" s="1">
        <f>'Data Sheet'!E50</f>
        <v>30794.959999999999</v>
      </c>
      <c r="F6" s="1">
        <f>'Data Sheet'!F50</f>
        <v>28080.04</v>
      </c>
      <c r="G6" s="1">
        <f>'Data Sheet'!G50</f>
        <v>20360.169999999998</v>
      </c>
      <c r="H6" s="1">
        <f>'Data Sheet'!H50</f>
        <v>23225.21</v>
      </c>
      <c r="I6" s="1">
        <f>'Data Sheet'!I50</f>
        <v>21626.55</v>
      </c>
      <c r="J6" s="1">
        <f>'Data Sheet'!J50</f>
        <v>20494.689999999999</v>
      </c>
      <c r="K6" s="1">
        <f>'Data Sheet'!K50</f>
        <v>24278.06</v>
      </c>
    </row>
    <row r="7" spans="1:11" x14ac:dyDescent="0.25">
      <c r="A7" s="6" t="s">
        <v>9</v>
      </c>
      <c r="B7" s="9">
        <f>'Data Sheet'!B44</f>
        <v>2314.59</v>
      </c>
      <c r="C7" s="9">
        <f>'Data Sheet'!C44</f>
        <v>2807.3</v>
      </c>
      <c r="D7" s="9">
        <f>'Data Sheet'!D44</f>
        <v>-4786.26</v>
      </c>
      <c r="E7" s="9">
        <f>'Data Sheet'!E44</f>
        <v>3069.28</v>
      </c>
      <c r="F7" s="9">
        <f>'Data Sheet'!F44</f>
        <v>3672.87</v>
      </c>
      <c r="G7" s="9">
        <f>'Data Sheet'!G44</f>
        <v>4299.03</v>
      </c>
      <c r="H7" s="9">
        <f>'Data Sheet'!H44</f>
        <v>2548.87</v>
      </c>
      <c r="I7" s="9">
        <f>'Data Sheet'!I44</f>
        <v>3615.38</v>
      </c>
      <c r="J7" s="9">
        <f>'Data Sheet'!J44</f>
        <v>4163.42</v>
      </c>
      <c r="K7" s="9">
        <f>'Data Sheet'!K44</f>
        <v>2411.09</v>
      </c>
    </row>
    <row r="8" spans="1:11" x14ac:dyDescent="0.25">
      <c r="A8" s="6" t="s">
        <v>10</v>
      </c>
      <c r="B8" s="9">
        <f>'Data Sheet'!B45</f>
        <v>4442.76</v>
      </c>
      <c r="C8" s="9">
        <f>'Data Sheet'!C45</f>
        <v>6784.01</v>
      </c>
      <c r="D8" s="9">
        <f>'Data Sheet'!D45</f>
        <v>6743.59</v>
      </c>
      <c r="E8" s="9">
        <f>'Data Sheet'!E45</f>
        <v>7078.28</v>
      </c>
      <c r="F8" s="9">
        <f>'Data Sheet'!F45</f>
        <v>7078.57</v>
      </c>
      <c r="G8" s="9">
        <f>'Data Sheet'!G45</f>
        <v>7494.27</v>
      </c>
      <c r="H8" s="9">
        <f>'Data Sheet'!H45</f>
        <v>7862.89</v>
      </c>
      <c r="I8" s="9">
        <f>'Data Sheet'!I45</f>
        <v>8456.43</v>
      </c>
      <c r="J8" s="9">
        <f>'Data Sheet'!J45</f>
        <v>8209.01</v>
      </c>
      <c r="K8" s="9">
        <f>'Data Sheet'!K45</f>
        <v>9497.2199999999993</v>
      </c>
    </row>
    <row r="9" spans="1:11" x14ac:dyDescent="0.25">
      <c r="A9" s="6" t="s">
        <v>11</v>
      </c>
      <c r="B9" s="9">
        <f>'Data Sheet'!B46</f>
        <v>1992.94</v>
      </c>
      <c r="C9" s="9">
        <f>'Data Sheet'!C46</f>
        <v>2188.4299999999998</v>
      </c>
      <c r="D9" s="9">
        <f>'Data Sheet'!D46</f>
        <v>2068.11</v>
      </c>
      <c r="E9" s="9">
        <f>'Data Sheet'!E46</f>
        <v>2363.94</v>
      </c>
      <c r="F9" s="9">
        <f>'Data Sheet'!F46</f>
        <v>3243.32</v>
      </c>
      <c r="G9" s="9">
        <f>'Data Sheet'!G46</f>
        <v>3203.18</v>
      </c>
      <c r="H9" s="9">
        <f>'Data Sheet'!H46</f>
        <v>2682.77</v>
      </c>
      <c r="I9" s="9">
        <f>'Data Sheet'!I46</f>
        <v>3615.9</v>
      </c>
      <c r="J9" s="9">
        <f>'Data Sheet'!J46</f>
        <v>3748.99</v>
      </c>
      <c r="K9" s="9">
        <f>'Data Sheet'!K46</f>
        <v>3669.74</v>
      </c>
    </row>
    <row r="10" spans="1:11" x14ac:dyDescent="0.25">
      <c r="A10" s="6" t="s">
        <v>12</v>
      </c>
      <c r="B10" s="9">
        <f>'Data Sheet'!B47</f>
        <v>9224.42</v>
      </c>
      <c r="C10" s="9">
        <f>'Data Sheet'!C47</f>
        <v>15701.97</v>
      </c>
      <c r="D10" s="9">
        <f>'Data Sheet'!D47</f>
        <v>6941.47</v>
      </c>
      <c r="E10" s="9">
        <f>'Data Sheet'!E47</f>
        <v>24422.02</v>
      </c>
      <c r="F10" s="9">
        <f>'Data Sheet'!F47</f>
        <v>21431.02</v>
      </c>
      <c r="G10" s="9">
        <f>'Data Sheet'!G47</f>
        <v>13961.75</v>
      </c>
      <c r="H10" s="9">
        <f>'Data Sheet'!H47</f>
        <v>15228.42</v>
      </c>
      <c r="I10" s="9">
        <f>'Data Sheet'!I47</f>
        <v>13169.6</v>
      </c>
      <c r="J10" s="9">
        <f>'Data Sheet'!J47</f>
        <v>12700.11</v>
      </c>
      <c r="K10" s="9">
        <f>'Data Sheet'!K47</f>
        <v>13522.19</v>
      </c>
    </row>
    <row r="11" spans="1:11" x14ac:dyDescent="0.25">
      <c r="A11" s="6" t="s">
        <v>13</v>
      </c>
      <c r="B11" s="9">
        <f>'Data Sheet'!B48</f>
        <v>2394.2600000000002</v>
      </c>
      <c r="C11" s="9">
        <f>'Data Sheet'!C48</f>
        <v>4036.73</v>
      </c>
      <c r="D11" s="9">
        <f>'Data Sheet'!D48</f>
        <v>463.24</v>
      </c>
      <c r="E11" s="9">
        <f>'Data Sheet'!E48</f>
        <v>6528.54</v>
      </c>
      <c r="F11" s="9">
        <f>'Data Sheet'!F48</f>
        <v>5259.72</v>
      </c>
      <c r="G11" s="9">
        <f>'Data Sheet'!G48</f>
        <v>3450.52</v>
      </c>
      <c r="H11" s="9">
        <f>'Data Sheet'!H48</f>
        <v>3701.89</v>
      </c>
      <c r="I11" s="9">
        <f>'Data Sheet'!I48</f>
        <v>3359.42</v>
      </c>
      <c r="J11" s="9">
        <f>'Data Sheet'!J48</f>
        <v>2821.67</v>
      </c>
      <c r="K11" s="9">
        <f>'Data Sheet'!K48</f>
        <v>3738.55</v>
      </c>
    </row>
    <row r="12" spans="1:11" s="8" customFormat="1" x14ac:dyDescent="0.25">
      <c r="A12" s="8" t="s">
        <v>14</v>
      </c>
      <c r="B12" s="1">
        <f>'Data Sheet'!B49</f>
        <v>8299.3700000000008</v>
      </c>
      <c r="C12" s="1">
        <f>'Data Sheet'!C49</f>
        <v>11488.99</v>
      </c>
      <c r="D12" s="1">
        <f>'Data Sheet'!D49</f>
        <v>4492.25</v>
      </c>
      <c r="E12" s="1">
        <f>'Data Sheet'!E49</f>
        <v>14644.43</v>
      </c>
      <c r="F12" s="1">
        <f>'Data Sheet'!F49</f>
        <v>13703.38</v>
      </c>
      <c r="G12" s="1">
        <f>'Data Sheet'!G49</f>
        <v>10703.17</v>
      </c>
      <c r="H12" s="1">
        <f>'Data Sheet'!H49</f>
        <v>10107.36</v>
      </c>
      <c r="I12" s="1">
        <f>'Data Sheet'!I49</f>
        <v>10008.6</v>
      </c>
      <c r="J12" s="1">
        <f>'Data Sheet'!J49</f>
        <v>10272.5</v>
      </c>
      <c r="K12" s="1">
        <f>'Data Sheet'!K49</f>
        <v>8621.69</v>
      </c>
    </row>
    <row r="14" spans="1:11" s="8" customFormat="1" x14ac:dyDescent="0.25">
      <c r="A14" s="2" t="s">
        <v>18</v>
      </c>
      <c r="B14" s="14">
        <f>IF(B4&gt;0,B6/B4,"")</f>
        <v>7.9128643538105822E-2</v>
      </c>
      <c r="C14" s="14">
        <f t="shared" ref="C14:K14" si="0">IF(C4&gt;0,C6/C4,"")</f>
        <v>0.1292285924519937</v>
      </c>
      <c r="D14" s="14">
        <f t="shared" si="0"/>
        <v>0.12518949607818089</v>
      </c>
      <c r="E14" s="14">
        <f t="shared" si="0"/>
        <v>0.18797634699618046</v>
      </c>
      <c r="F14" s="14">
        <f t="shared" si="0"/>
        <v>0.19022654268899741</v>
      </c>
      <c r="G14" s="14">
        <f t="shared" si="0"/>
        <v>0.12165738518993838</v>
      </c>
      <c r="H14" s="14">
        <f t="shared" si="0"/>
        <v>0.13926438965901849</v>
      </c>
      <c r="I14" s="14">
        <f t="shared" si="0"/>
        <v>0.12871046416957496</v>
      </c>
      <c r="J14" s="14">
        <f t="shared" si="0"/>
        <v>0.1294436082817372</v>
      </c>
      <c r="K14" s="14">
        <f t="shared" si="0"/>
        <v>0.14616824369999451</v>
      </c>
    </row>
    <row r="22" s="30" customFormat="1" x14ac:dyDescent="0.25"/>
  </sheetData>
  <hyperlinks>
    <hyperlink ref="J1" r:id="rId1"/>
  </hyperlinks>
  <printOptions gridLines="1"/>
  <pageMargins left="0.7" right="0.7" top="0.75" bottom="0.75" header="0.3" footer="0.3"/>
  <pageSetup paperSize="9" scale="84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5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B21" sqref="B21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OIL &amp; NATURAL GAS CORPN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42094</v>
      </c>
      <c r="C3" s="16">
        <f>'Data Sheet'!C56</f>
        <v>42460</v>
      </c>
      <c r="D3" s="16">
        <f>'Data Sheet'!D56</f>
        <v>42825</v>
      </c>
      <c r="E3" s="16">
        <f>'Data Sheet'!E56</f>
        <v>43190</v>
      </c>
      <c r="F3" s="16">
        <f>'Data Sheet'!F56</f>
        <v>43555</v>
      </c>
      <c r="G3" s="16">
        <f>'Data Sheet'!G56</f>
        <v>43921</v>
      </c>
      <c r="H3" s="16">
        <f>'Data Sheet'!H56</f>
        <v>44286</v>
      </c>
      <c r="I3" s="16">
        <f>'Data Sheet'!I56</f>
        <v>44651</v>
      </c>
      <c r="J3" s="16">
        <f>'Data Sheet'!J56</f>
        <v>45016</v>
      </c>
      <c r="K3" s="16">
        <f>'Data Sheet'!K56</f>
        <v>45382</v>
      </c>
    </row>
    <row r="4" spans="1:11" x14ac:dyDescent="0.25">
      <c r="A4" s="6" t="s">
        <v>24</v>
      </c>
      <c r="B4" s="19">
        <f>'Data Sheet'!B57</f>
        <v>4277.76</v>
      </c>
      <c r="C4" s="19">
        <f>'Data Sheet'!C57</f>
        <v>4277.76</v>
      </c>
      <c r="D4" s="19">
        <f>'Data Sheet'!D57</f>
        <v>6416.63</v>
      </c>
      <c r="E4" s="19">
        <f>'Data Sheet'!E57</f>
        <v>6416.63</v>
      </c>
      <c r="F4" s="19">
        <f>'Data Sheet'!F57</f>
        <v>6290.15</v>
      </c>
      <c r="G4" s="19">
        <f>'Data Sheet'!G57</f>
        <v>6290.15</v>
      </c>
      <c r="H4" s="19">
        <f>'Data Sheet'!H57</f>
        <v>6290.14</v>
      </c>
      <c r="I4" s="19">
        <f>'Data Sheet'!I57</f>
        <v>6290.14</v>
      </c>
      <c r="J4" s="19">
        <f>'Data Sheet'!J57</f>
        <v>6290.14</v>
      </c>
      <c r="K4" s="19">
        <f>'Data Sheet'!K57</f>
        <v>6290.14</v>
      </c>
    </row>
    <row r="5" spans="1:11" s="6" customFormat="1" x14ac:dyDescent="0.25">
      <c r="A5" s="6" t="s">
        <v>25</v>
      </c>
      <c r="B5" s="19">
        <f>'Data Sheet'!B58</f>
        <v>176176.64000000001</v>
      </c>
      <c r="C5" s="19">
        <f>'Data Sheet'!C58</f>
        <v>193535.88</v>
      </c>
      <c r="D5" s="19">
        <f>'Data Sheet'!D58</f>
        <v>187968.59</v>
      </c>
      <c r="E5" s="19">
        <f>'Data Sheet'!E58</f>
        <v>197602.3</v>
      </c>
      <c r="F5" s="19">
        <f>'Data Sheet'!F58</f>
        <v>210644.5</v>
      </c>
      <c r="G5" s="19">
        <f>'Data Sheet'!G58</f>
        <v>198814.45</v>
      </c>
      <c r="H5" s="19">
        <f>'Data Sheet'!H58</f>
        <v>214690.85</v>
      </c>
      <c r="I5" s="19">
        <f>'Data Sheet'!I58</f>
        <v>253212.77</v>
      </c>
      <c r="J5" s="19">
        <f>'Data Sheet'!J58</f>
        <v>274357.15999999997</v>
      </c>
      <c r="K5" s="19">
        <f>'Data Sheet'!K58</f>
        <v>330780.09000000003</v>
      </c>
    </row>
    <row r="6" spans="1:11" x14ac:dyDescent="0.25">
      <c r="A6" s="11" t="s">
        <v>71</v>
      </c>
      <c r="B6" s="19">
        <f>'Data Sheet'!B59</f>
        <v>53944.47</v>
      </c>
      <c r="C6" s="19">
        <f>'Data Sheet'!C59</f>
        <v>45500.17</v>
      </c>
      <c r="D6" s="19">
        <f>'Data Sheet'!D59</f>
        <v>80029.27</v>
      </c>
      <c r="E6" s="19">
        <f>'Data Sheet'!E59</f>
        <v>106549.94</v>
      </c>
      <c r="F6" s="19">
        <f>'Data Sheet'!F59</f>
        <v>107741.69</v>
      </c>
      <c r="G6" s="19">
        <f>'Data Sheet'!G59</f>
        <v>129472.52</v>
      </c>
      <c r="H6" s="19">
        <f>'Data Sheet'!H59</f>
        <v>133186.92000000001</v>
      </c>
      <c r="I6" s="19">
        <f>'Data Sheet'!I59</f>
        <v>121985.86</v>
      </c>
      <c r="J6" s="19">
        <f>'Data Sheet'!J59</f>
        <v>142254.81</v>
      </c>
      <c r="K6" s="19">
        <f>'Data Sheet'!K59</f>
        <v>153180.53</v>
      </c>
    </row>
    <row r="7" spans="1:11" s="6" customFormat="1" x14ac:dyDescent="0.25">
      <c r="A7" s="11" t="s">
        <v>72</v>
      </c>
      <c r="B7" s="19">
        <f>'Data Sheet'!B60</f>
        <v>103447.69</v>
      </c>
      <c r="C7" s="19">
        <f>'Data Sheet'!C60</f>
        <v>98458.57</v>
      </c>
      <c r="D7" s="19">
        <f>'Data Sheet'!D60</f>
        <v>170110.83</v>
      </c>
      <c r="E7" s="19">
        <f>'Data Sheet'!E60</f>
        <v>148663.53</v>
      </c>
      <c r="F7" s="19">
        <f>'Data Sheet'!F60</f>
        <v>167666.95000000001</v>
      </c>
      <c r="G7" s="19">
        <f>'Data Sheet'!G60</f>
        <v>173786.92</v>
      </c>
      <c r="H7" s="19">
        <f>'Data Sheet'!H60</f>
        <v>187579.74</v>
      </c>
      <c r="I7" s="19">
        <f>'Data Sheet'!I60</f>
        <v>201770.75</v>
      </c>
      <c r="J7" s="19">
        <f>'Data Sheet'!J60</f>
        <v>190212.41</v>
      </c>
      <c r="K7" s="19">
        <f>'Data Sheet'!K60</f>
        <v>219523.17</v>
      </c>
    </row>
    <row r="8" spans="1:11" s="8" customFormat="1" x14ac:dyDescent="0.25">
      <c r="A8" s="8" t="s">
        <v>26</v>
      </c>
      <c r="B8" s="20">
        <f>'Data Sheet'!B61</f>
        <v>337846.56</v>
      </c>
      <c r="C8" s="20">
        <f>'Data Sheet'!C61</f>
        <v>341772.38</v>
      </c>
      <c r="D8" s="20">
        <f>'Data Sheet'!D61</f>
        <v>444525.32</v>
      </c>
      <c r="E8" s="20">
        <f>'Data Sheet'!E61</f>
        <v>459232.4</v>
      </c>
      <c r="F8" s="20">
        <f>'Data Sheet'!F61</f>
        <v>492343.29</v>
      </c>
      <c r="G8" s="20">
        <f>'Data Sheet'!G61</f>
        <v>508364.04</v>
      </c>
      <c r="H8" s="20">
        <f>'Data Sheet'!H61</f>
        <v>541747.65</v>
      </c>
      <c r="I8" s="20">
        <f>'Data Sheet'!I61</f>
        <v>583259.52</v>
      </c>
      <c r="J8" s="20">
        <f>'Data Sheet'!J61</f>
        <v>613114.52</v>
      </c>
      <c r="K8" s="20">
        <f>'Data Sheet'!K61</f>
        <v>709773.93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179932.96</v>
      </c>
      <c r="C10" s="19">
        <f>'Data Sheet'!C62</f>
        <v>166276.73000000001</v>
      </c>
      <c r="D10" s="19">
        <f>'Data Sheet'!D62</f>
        <v>211125.43</v>
      </c>
      <c r="E10" s="19">
        <f>'Data Sheet'!E62</f>
        <v>226057.68</v>
      </c>
      <c r="F10" s="19">
        <f>'Data Sheet'!F62</f>
        <v>230390.7</v>
      </c>
      <c r="G10" s="19">
        <f>'Data Sheet'!G62</f>
        <v>243891.96</v>
      </c>
      <c r="H10" s="19">
        <f>'Data Sheet'!H62</f>
        <v>243746.36</v>
      </c>
      <c r="I10" s="19">
        <f>'Data Sheet'!I62</f>
        <v>254402.17</v>
      </c>
      <c r="J10" s="19">
        <f>'Data Sheet'!J62</f>
        <v>250819.44</v>
      </c>
      <c r="K10" s="19">
        <f>'Data Sheet'!K62</f>
        <v>298454.36</v>
      </c>
    </row>
    <row r="11" spans="1:11" x14ac:dyDescent="0.25">
      <c r="A11" s="6" t="s">
        <v>28</v>
      </c>
      <c r="B11" s="19">
        <f>'Data Sheet'!B63</f>
        <v>63393.37</v>
      </c>
      <c r="C11" s="19">
        <f>'Data Sheet'!C63</f>
        <v>57668.480000000003</v>
      </c>
      <c r="D11" s="19">
        <f>'Data Sheet'!D63</f>
        <v>59042.48</v>
      </c>
      <c r="E11" s="19">
        <f>'Data Sheet'!E63</f>
        <v>61511.87</v>
      </c>
      <c r="F11" s="19">
        <f>'Data Sheet'!F63</f>
        <v>69056.44</v>
      </c>
      <c r="G11" s="19">
        <f>'Data Sheet'!G63</f>
        <v>83832.399999999994</v>
      </c>
      <c r="H11" s="19">
        <f>'Data Sheet'!H63</f>
        <v>100308.82</v>
      </c>
      <c r="I11" s="19">
        <f>'Data Sheet'!I63</f>
        <v>106719.23</v>
      </c>
      <c r="J11" s="19">
        <f>'Data Sheet'!J63</f>
        <v>113944.61</v>
      </c>
      <c r="K11" s="19">
        <f>'Data Sheet'!K63</f>
        <v>116021.68</v>
      </c>
    </row>
    <row r="12" spans="1:11" x14ac:dyDescent="0.25">
      <c r="A12" s="6" t="s">
        <v>29</v>
      </c>
      <c r="B12" s="19">
        <f>'Data Sheet'!B64</f>
        <v>4749.1400000000003</v>
      </c>
      <c r="C12" s="19">
        <f>'Data Sheet'!C64</f>
        <v>33386.85</v>
      </c>
      <c r="D12" s="19">
        <f>'Data Sheet'!D64</f>
        <v>70745.67</v>
      </c>
      <c r="E12" s="19">
        <f>'Data Sheet'!E64</f>
        <v>67334.61</v>
      </c>
      <c r="F12" s="19">
        <f>'Data Sheet'!F64</f>
        <v>66908.92</v>
      </c>
      <c r="G12" s="19">
        <f>'Data Sheet'!G64</f>
        <v>56755.18</v>
      </c>
      <c r="H12" s="19">
        <f>'Data Sheet'!H64</f>
        <v>60320.36</v>
      </c>
      <c r="I12" s="19">
        <f>'Data Sheet'!I64</f>
        <v>66642.14</v>
      </c>
      <c r="J12" s="19">
        <f>'Data Sheet'!J64</f>
        <v>78872.61</v>
      </c>
      <c r="K12" s="19">
        <f>'Data Sheet'!K64</f>
        <v>102207.2</v>
      </c>
    </row>
    <row r="13" spans="1:11" x14ac:dyDescent="0.25">
      <c r="A13" s="11" t="s">
        <v>73</v>
      </c>
      <c r="B13" s="19">
        <f>'Data Sheet'!B65</f>
        <v>89771.09</v>
      </c>
      <c r="C13" s="19">
        <f>'Data Sheet'!C65</f>
        <v>84440.320000000007</v>
      </c>
      <c r="D13" s="19">
        <f>'Data Sheet'!D65</f>
        <v>103611.74</v>
      </c>
      <c r="E13" s="19">
        <f>'Data Sheet'!E65</f>
        <v>104328.24</v>
      </c>
      <c r="F13" s="19">
        <f>'Data Sheet'!F65</f>
        <v>125987.23</v>
      </c>
      <c r="G13" s="19">
        <f>'Data Sheet'!G65</f>
        <v>123884.5</v>
      </c>
      <c r="H13" s="19">
        <f>'Data Sheet'!H65</f>
        <v>137372.10999999999</v>
      </c>
      <c r="I13" s="19">
        <f>'Data Sheet'!I65</f>
        <v>155495.98000000001</v>
      </c>
      <c r="J13" s="19">
        <f>'Data Sheet'!J65</f>
        <v>169477.86</v>
      </c>
      <c r="K13" s="19">
        <f>'Data Sheet'!K65</f>
        <v>193090.69</v>
      </c>
    </row>
    <row r="14" spans="1:11" s="8" customFormat="1" x14ac:dyDescent="0.25">
      <c r="A14" s="8" t="s">
        <v>26</v>
      </c>
      <c r="B14" s="19">
        <f>'Data Sheet'!B66</f>
        <v>337846.56</v>
      </c>
      <c r="C14" s="19">
        <f>'Data Sheet'!C66</f>
        <v>341772.38</v>
      </c>
      <c r="D14" s="19">
        <f>'Data Sheet'!D66</f>
        <v>444525.32</v>
      </c>
      <c r="E14" s="19">
        <f>'Data Sheet'!E66</f>
        <v>459232.4</v>
      </c>
      <c r="F14" s="19">
        <f>'Data Sheet'!F66</f>
        <v>492343.29</v>
      </c>
      <c r="G14" s="19">
        <f>'Data Sheet'!G66</f>
        <v>508364.04</v>
      </c>
      <c r="H14" s="19">
        <f>'Data Sheet'!H66</f>
        <v>541747.65</v>
      </c>
      <c r="I14" s="19">
        <f>'Data Sheet'!I66</f>
        <v>583259.52</v>
      </c>
      <c r="J14" s="19">
        <f>'Data Sheet'!J66</f>
        <v>613114.52</v>
      </c>
      <c r="K14" s="19">
        <f>'Data Sheet'!K66</f>
        <v>709773.93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9" t="s">
        <v>30</v>
      </c>
      <c r="B16" s="21">
        <f>B13-B7</f>
        <v>-13676.600000000006</v>
      </c>
      <c r="C16" s="21">
        <f t="shared" ref="C16:K16" si="0">C13-C7</f>
        <v>-14018.25</v>
      </c>
      <c r="D16" s="21">
        <f t="shared" si="0"/>
        <v>-66499.089999999982</v>
      </c>
      <c r="E16" s="21">
        <f t="shared" si="0"/>
        <v>-44335.289999999994</v>
      </c>
      <c r="F16" s="21">
        <f t="shared" si="0"/>
        <v>-41679.720000000016</v>
      </c>
      <c r="G16" s="21">
        <f t="shared" si="0"/>
        <v>-49902.420000000013</v>
      </c>
      <c r="H16" s="21">
        <f t="shared" si="0"/>
        <v>-50207.630000000005</v>
      </c>
      <c r="I16" s="21">
        <f t="shared" si="0"/>
        <v>-46274.76999999999</v>
      </c>
      <c r="J16" s="21">
        <f t="shared" si="0"/>
        <v>-20734.550000000017</v>
      </c>
      <c r="K16" s="21">
        <f t="shared" si="0"/>
        <v>-26432.48000000001</v>
      </c>
    </row>
    <row r="17" spans="1:11" x14ac:dyDescent="0.25">
      <c r="A17" s="11" t="s">
        <v>44</v>
      </c>
      <c r="B17" s="21">
        <f>'Data Sheet'!B67</f>
        <v>18815.82</v>
      </c>
      <c r="C17" s="21">
        <f>'Data Sheet'!C67</f>
        <v>8331.7099999999991</v>
      </c>
      <c r="D17" s="21">
        <f>'Data Sheet'!D67</f>
        <v>12547.12</v>
      </c>
      <c r="E17" s="21">
        <f>'Data Sheet'!E67</f>
        <v>13899.17</v>
      </c>
      <c r="F17" s="21">
        <f>'Data Sheet'!F67</f>
        <v>15396.46</v>
      </c>
      <c r="G17" s="21">
        <f>'Data Sheet'!G67</f>
        <v>9173.41</v>
      </c>
      <c r="H17" s="21">
        <f>'Data Sheet'!H67</f>
        <v>16015.83</v>
      </c>
      <c r="I17" s="21">
        <f>'Data Sheet'!I67</f>
        <v>19187.28</v>
      </c>
      <c r="J17" s="21">
        <f>'Data Sheet'!J67</f>
        <v>18751.580000000002</v>
      </c>
      <c r="K17" s="21">
        <f>'Data Sheet'!K67</f>
        <v>19762.95</v>
      </c>
    </row>
    <row r="18" spans="1:11" x14ac:dyDescent="0.25">
      <c r="A18" s="11" t="s">
        <v>45</v>
      </c>
      <c r="B18" s="21">
        <f>'Data Sheet'!B68</f>
        <v>11354.86</v>
      </c>
      <c r="C18" s="21">
        <f>'Data Sheet'!C68</f>
        <v>10761.97</v>
      </c>
      <c r="D18" s="21">
        <f>'Data Sheet'!D68</f>
        <v>30555.38</v>
      </c>
      <c r="E18" s="21">
        <f>'Data Sheet'!E68</f>
        <v>31253.57</v>
      </c>
      <c r="F18" s="21">
        <f>'Data Sheet'!F68</f>
        <v>35949.410000000003</v>
      </c>
      <c r="G18" s="21">
        <f>'Data Sheet'!G68</f>
        <v>34065.120000000003</v>
      </c>
      <c r="H18" s="21">
        <f>'Data Sheet'!H68</f>
        <v>45735.85</v>
      </c>
      <c r="I18" s="21">
        <f>'Data Sheet'!I68</f>
        <v>55360.27</v>
      </c>
      <c r="J18" s="21">
        <f>'Data Sheet'!J68</f>
        <v>45238.45</v>
      </c>
      <c r="K18" s="21">
        <f>'Data Sheet'!K68</f>
        <v>53255.24</v>
      </c>
    </row>
    <row r="20" spans="1:11" x14ac:dyDescent="0.25">
      <c r="A20" s="11" t="s">
        <v>46</v>
      </c>
      <c r="B20" s="5">
        <f>IF('Profit &amp; Loss'!B4&gt;0,'Balance Sheet'!B17/('Profit &amp; Loss'!B4/365),0)</f>
        <v>42.67748963104259</v>
      </c>
      <c r="C20" s="5">
        <f>IF('Profit &amp; Loss'!C4&gt;0,'Balance Sheet'!C17/('Profit &amp; Loss'!C4/365),0)</f>
        <v>24.517730821228817</v>
      </c>
      <c r="D20" s="5">
        <f>IF('Profit &amp; Loss'!D4&gt;0,'Balance Sheet'!D17/('Profit &amp; Loss'!D4/365),0)</f>
        <v>16.210972569761413</v>
      </c>
      <c r="E20" s="5">
        <f>IF('Profit &amp; Loss'!E4&gt;0,'Balance Sheet'!E17/('Profit &amp; Loss'!E4/365),0)</f>
        <v>15.720813443181182</v>
      </c>
      <c r="F20" s="5">
        <f>IF('Profit &amp; Loss'!F4&gt;0,'Balance Sheet'!F17/('Profit &amp; Loss'!F4/365),0)</f>
        <v>13.328721403455443</v>
      </c>
      <c r="G20" s="5">
        <f>IF('Profit &amp; Loss'!G4&gt;0,'Balance Sheet'!G17/('Profit &amp; Loss'!G4/365),0)</f>
        <v>8.4397758907357954</v>
      </c>
      <c r="H20" s="5">
        <f>IF('Profit &amp; Loss'!H4&gt;0,'Balance Sheet'!H17/('Profit &amp; Loss'!H4/365),0)</f>
        <v>19.239094686895537</v>
      </c>
      <c r="I20" s="5">
        <f>IF('Profit &amp; Loss'!I4&gt;0,'Balance Sheet'!I17/('Profit &amp; Loss'!I4/365),0)</f>
        <v>14.256306979570979</v>
      </c>
      <c r="J20" s="5">
        <f>IF('Profit &amp; Loss'!J4&gt;0,'Balance Sheet'!J17/('Profit &amp; Loss'!J4/365),0)</f>
        <v>10.824643639659817</v>
      </c>
      <c r="K20" s="5">
        <f>IF('Profit &amp; Loss'!K4&gt;0,'Balance Sheet'!K17/('Profit &amp; Loss'!K4/365),0)</f>
        <v>12.197366195721292</v>
      </c>
    </row>
    <row r="21" spans="1:11" x14ac:dyDescent="0.25">
      <c r="A21" s="11" t="s">
        <v>47</v>
      </c>
      <c r="B21" s="5">
        <f>IF('Balance Sheet'!B18&gt;0,'Profit &amp; Loss'!B4/'Balance Sheet'!B18,0)</f>
        <v>14.172137745423546</v>
      </c>
      <c r="C21" s="5">
        <f>IF('Balance Sheet'!C18&gt;0,'Profit &amp; Loss'!C4/'Balance Sheet'!C18,0)</f>
        <v>11.525372213451627</v>
      </c>
      <c r="D21" s="5">
        <f>IF('Balance Sheet'!D18&gt;0,'Profit &amp; Loss'!D4/'Balance Sheet'!D18,0)</f>
        <v>9.245707629883837</v>
      </c>
      <c r="E21" s="5">
        <f>IF('Balance Sheet'!E18&gt;0,'Profit &amp; Loss'!E4/'Balance Sheet'!E18,0)</f>
        <v>10.325404745761844</v>
      </c>
      <c r="F21" s="5">
        <f>IF('Balance Sheet'!F18&gt;0,'Profit &amp; Loss'!F4/'Balance Sheet'!F18,0)</f>
        <v>11.728257292678794</v>
      </c>
      <c r="G21" s="5">
        <f>IF('Balance Sheet'!G18&gt;0,'Profit &amp; Loss'!G4/'Balance Sheet'!G18,0)</f>
        <v>11.64616211538371</v>
      </c>
      <c r="H21" s="5">
        <f>IF('Balance Sheet'!H18&gt;0,'Profit &amp; Loss'!H4/'Balance Sheet'!H18,0)</f>
        <v>6.6435610139529491</v>
      </c>
      <c r="I21" s="5">
        <f>IF('Balance Sheet'!I18&gt;0,'Profit &amp; Loss'!I4/'Balance Sheet'!I18,0)</f>
        <v>8.8736243519043541</v>
      </c>
      <c r="J21" s="5">
        <f>IF('Balance Sheet'!J18&gt;0,'Profit &amp; Loss'!J4/'Balance Sheet'!J18,0)</f>
        <v>13.976853318360821</v>
      </c>
      <c r="K21" s="5">
        <f>IF('Balance Sheet'!K18&gt;0,'Profit &amp; Loss'!K4/'Balance Sheet'!K18,0)</f>
        <v>11.104940283810571</v>
      </c>
    </row>
    <row r="23" spans="1:11" s="8" customFormat="1" x14ac:dyDescent="0.25">
      <c r="A23" s="8" t="s">
        <v>59</v>
      </c>
      <c r="B23" s="14">
        <f>IF(SUM('Balance Sheet'!B4:B5)&gt;0,'Profit &amp; Loss'!B12/SUM('Balance Sheet'!B4:B5),"")</f>
        <v>0.10159641438501914</v>
      </c>
      <c r="C23" s="14">
        <f>IF(SUM('Balance Sheet'!C4:C5)&gt;0,'Profit &amp; Loss'!C12/SUM('Balance Sheet'!C4:C5),"")</f>
        <v>6.5087574345227148E-2</v>
      </c>
      <c r="D23" s="14">
        <f>IF(SUM('Balance Sheet'!D4:D5)&gt;0,'Profit &amp; Loss'!D12/SUM('Balance Sheet'!D4:D5),"")</f>
        <v>0.12562297689093851</v>
      </c>
      <c r="E23" s="14">
        <f>IF(SUM('Balance Sheet'!E4:E5)&gt;0,'Profit &amp; Loss'!E12/SUM('Balance Sheet'!E4:E5),"")</f>
        <v>0.10835234750030304</v>
      </c>
      <c r="F23" s="14">
        <f>IF(SUM('Balance Sheet'!F4:F5)&gt;0,'Profit &amp; Loss'!F12/SUM('Balance Sheet'!F4:F5),"")</f>
        <v>0.14080756578075471</v>
      </c>
      <c r="G23" s="14">
        <f>IF(SUM('Balance Sheet'!G4:G5)&gt;0,'Profit &amp; Loss'!G12/SUM('Balance Sheet'!G4:G5),"")</f>
        <v>5.2673611415833675E-2</v>
      </c>
      <c r="H23" s="14">
        <f>IF(SUM('Balance Sheet'!H4:H5)&gt;0,'Profit &amp; Loss'!H12/SUM('Balance Sheet'!H4:H5),"")</f>
        <v>7.3781912190727342E-2</v>
      </c>
      <c r="I23" s="14">
        <f>IF(SUM('Balance Sheet'!I4:I5)&gt;0,'Profit &amp; Loss'!I12/SUM('Balance Sheet'!I4:I5),"")</f>
        <v>0.17542042206771399</v>
      </c>
      <c r="J23" s="14">
        <f>IF(SUM('Balance Sheet'!J4:J5)&gt;0,'Profit &amp; Loss'!J12/SUM('Balance Sheet'!J4:J5),"")</f>
        <v>0.12628120776504889</v>
      </c>
      <c r="K23" s="14">
        <f>IF(SUM('Balance Sheet'!K4:K5)&gt;0,'Profit &amp; Loss'!K12/SUM('Balance Sheet'!K4:K5),"")</f>
        <v>0.14602707572246884</v>
      </c>
    </row>
    <row r="24" spans="1:11" s="8" customFormat="1" x14ac:dyDescent="0.25">
      <c r="A24" s="8" t="s">
        <v>60</v>
      </c>
      <c r="B24" s="14"/>
      <c r="C24" s="14">
        <f>IF((B4+B5+B6+C4+C5+C6)&gt;0,('Profit &amp; Loss'!C10+'Profit &amp; Loss'!C9)*2/(B4+B5+B6+C4+C5+C6),"")</f>
        <v>9.9716130624793134E-2</v>
      </c>
      <c r="D24" s="14">
        <f>IF((C4+C5+C6+D4+D5+D6)&gt;0,('Profit &amp; Loss'!D10+'Profit &amp; Loss'!D9)*2/(C4+C5+C6+D4+D5+D6),"")</f>
        <v>0.17502867816961135</v>
      </c>
      <c r="E24" s="14">
        <f>IF((D4+D5+D6+E4+E5+E6)&gt;0,('Profit &amp; Loss'!E10+'Profit &amp; Loss'!E9)*2/(D4+D5+D6+E4+E5+E6),"")</f>
        <v>0.15113776911534715</v>
      </c>
      <c r="F24" s="14">
        <f>IF((E4+E5+E6+F4+F5+F6)&gt;0,('Profit &amp; Loss'!F10+'Profit &amp; Loss'!F9)*2/(E4+E5+E6+F4+F5+F6),"")</f>
        <v>0.19105186168975599</v>
      </c>
      <c r="G24" s="14">
        <f>IF((F4+F5+F6+G4+G5+G6)&gt;0,('Profit &amp; Loss'!G10+'Profit &amp; Loss'!G9)*2/(F4+F5+F6+G4+G5+G6),"")</f>
        <v>8.0247709280130294E-2</v>
      </c>
      <c r="H24" s="14">
        <f>IF((G4+G5+G6+H4+H5+H6)&gt;0,('Profit &amp; Loss'!H10+'Profit &amp; Loss'!H9)*2/(G4+G5+G6+H4+H5+H6),"")</f>
        <v>0.10223080666004952</v>
      </c>
      <c r="I24" s="14">
        <f>IF((H4+H5+H6+I4+I5+I6)&gt;0,('Profit &amp; Loss'!I10+'Profit &amp; Loss'!I9)*2/(H4+H5+H6+I4+I5+I6),"")</f>
        <v>0.16254090155206638</v>
      </c>
      <c r="J24" s="14">
        <f>IF((I4+I5+I6+J4+J5+J6)&gt;0,('Profit &amp; Loss'!J10+'Profit &amp; Loss'!J9)*2/(I4+I5+I6+J4+J5+J6),"")</f>
        <v>0.12665511573179444</v>
      </c>
      <c r="K24" s="14">
        <f>IF((J4+J5+J6+K4+K5+K6)&gt;0,('Profit &amp; Loss'!K10+'Profit &amp; Loss'!K9)*2/(J4+J5+J6+K4+K5+K6),"")</f>
        <v>0.1906673742371307</v>
      </c>
    </row>
    <row r="25" spans="1:11" s="18" customFormat="1" x14ac:dyDescent="0.25"/>
  </sheetData>
  <hyperlinks>
    <hyperlink ref="J1" r:id="rId1"/>
  </hyperlinks>
  <printOptions gridLines="1"/>
  <pageMargins left="0.7" right="0.7" top="0.75" bottom="0.75" header="0.3" footer="0.3"/>
  <pageSetup paperSize="9" scale="74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style="6" bestFit="1" customWidth="1"/>
    <col min="2" max="6" width="13.42578125" style="6" customWidth="1"/>
    <col min="7" max="11" width="13.42578125" style="6" bestFit="1" customWidth="1"/>
    <col min="12" max="16384" width="8.85546875" style="6"/>
  </cols>
  <sheetData>
    <row r="1" spans="1:11" s="8" customFormat="1" x14ac:dyDescent="0.25">
      <c r="A1" s="8" t="str">
        <f>'Balance Sheet'!A1</f>
        <v>OIL &amp; NATURAL GAS CORPN LTD</v>
      </c>
      <c r="E1" t="str">
        <f>UPDATE</f>
        <v/>
      </c>
      <c r="F1"/>
      <c r="J1" s="4" t="s">
        <v>1</v>
      </c>
      <c r="K1" s="4"/>
    </row>
    <row r="3" spans="1:11" s="2" customFormat="1" x14ac:dyDescent="0.25">
      <c r="A3" s="15" t="s">
        <v>2</v>
      </c>
      <c r="B3" s="16">
        <f>'Data Sheet'!B81</f>
        <v>42094</v>
      </c>
      <c r="C3" s="16">
        <f>'Data Sheet'!C81</f>
        <v>42460</v>
      </c>
      <c r="D3" s="16">
        <f>'Data Sheet'!D81</f>
        <v>42825</v>
      </c>
      <c r="E3" s="16">
        <f>'Data Sheet'!E81</f>
        <v>43190</v>
      </c>
      <c r="F3" s="16">
        <f>'Data Sheet'!F81</f>
        <v>43555</v>
      </c>
      <c r="G3" s="16">
        <f>'Data Sheet'!G81</f>
        <v>43921</v>
      </c>
      <c r="H3" s="16">
        <f>'Data Sheet'!H81</f>
        <v>44286</v>
      </c>
      <c r="I3" s="16">
        <f>'Data Sheet'!I81</f>
        <v>44651</v>
      </c>
      <c r="J3" s="16">
        <f>'Data Sheet'!J81</f>
        <v>45016</v>
      </c>
      <c r="K3" s="16">
        <f>'Data Sheet'!K81</f>
        <v>45382</v>
      </c>
    </row>
    <row r="4" spans="1:11" s="8" customFormat="1" x14ac:dyDescent="0.25">
      <c r="A4" s="8" t="s">
        <v>32</v>
      </c>
      <c r="B4" s="1">
        <f>'Data Sheet'!B82</f>
        <v>33950.42</v>
      </c>
      <c r="C4" s="1">
        <f>'Data Sheet'!C82</f>
        <v>46292.49</v>
      </c>
      <c r="D4" s="1">
        <f>'Data Sheet'!D82</f>
        <v>45780.480000000003</v>
      </c>
      <c r="E4" s="1">
        <f>'Data Sheet'!E82</f>
        <v>56792.1</v>
      </c>
      <c r="F4" s="1">
        <f>'Data Sheet'!F82</f>
        <v>61457.599999999999</v>
      </c>
      <c r="G4" s="1">
        <f>'Data Sheet'!G82</f>
        <v>70592.98</v>
      </c>
      <c r="H4" s="1">
        <f>'Data Sheet'!H82</f>
        <v>47185.19</v>
      </c>
      <c r="I4" s="1">
        <f>'Data Sheet'!I82</f>
        <v>78248.25</v>
      </c>
      <c r="J4" s="1">
        <f>'Data Sheet'!J82</f>
        <v>86062.1</v>
      </c>
      <c r="K4" s="1">
        <f>'Data Sheet'!K82</f>
        <v>99262.69</v>
      </c>
    </row>
    <row r="5" spans="1:11" x14ac:dyDescent="0.25">
      <c r="A5" s="6" t="s">
        <v>33</v>
      </c>
      <c r="B5" s="9">
        <f>'Data Sheet'!B83</f>
        <v>-30058.33</v>
      </c>
      <c r="C5" s="9">
        <f>'Data Sheet'!C83</f>
        <v>-38255.870000000003</v>
      </c>
      <c r="D5" s="9">
        <f>'Data Sheet'!D83</f>
        <v>-43814.55</v>
      </c>
      <c r="E5" s="9">
        <f>'Data Sheet'!E83</f>
        <v>-66798.14</v>
      </c>
      <c r="F5" s="9">
        <f>'Data Sheet'!F83</f>
        <v>-37131.629999999997</v>
      </c>
      <c r="G5" s="9">
        <f>'Data Sheet'!G83</f>
        <v>-53159.05</v>
      </c>
      <c r="H5" s="9">
        <f>'Data Sheet'!H83</f>
        <v>-39141.15</v>
      </c>
      <c r="I5" s="9">
        <f>'Data Sheet'!I83</f>
        <v>-41197.15</v>
      </c>
      <c r="J5" s="9">
        <f>'Data Sheet'!J83</f>
        <v>-74689.86</v>
      </c>
      <c r="K5" s="9">
        <f>'Data Sheet'!K83</f>
        <v>-57203.42</v>
      </c>
    </row>
    <row r="6" spans="1:11" x14ac:dyDescent="0.25">
      <c r="A6" s="6" t="s">
        <v>34</v>
      </c>
      <c r="B6" s="9">
        <f>'Data Sheet'!B84</f>
        <v>-10640.78</v>
      </c>
      <c r="C6" s="9">
        <f>'Data Sheet'!C84</f>
        <v>-8972</v>
      </c>
      <c r="D6" s="9">
        <f>'Data Sheet'!D84</f>
        <v>-1867.05</v>
      </c>
      <c r="E6" s="9">
        <f>'Data Sheet'!E84</f>
        <v>9909.36</v>
      </c>
      <c r="F6" s="9">
        <f>'Data Sheet'!F84</f>
        <v>-23324.5</v>
      </c>
      <c r="G6" s="9">
        <f>'Data Sheet'!G84</f>
        <v>-16726.36</v>
      </c>
      <c r="H6" s="9">
        <f>'Data Sheet'!H84</f>
        <v>-8239.48</v>
      </c>
      <c r="I6" s="9">
        <f>'Data Sheet'!I84</f>
        <v>-35790.019999999997</v>
      </c>
      <c r="J6" s="9">
        <f>'Data Sheet'!J84</f>
        <v>-12876.23</v>
      </c>
      <c r="K6" s="9">
        <f>'Data Sheet'!K84</f>
        <v>-45650.29</v>
      </c>
    </row>
    <row r="7" spans="1:11" s="8" customFormat="1" x14ac:dyDescent="0.25">
      <c r="A7" s="8" t="s">
        <v>35</v>
      </c>
      <c r="B7" s="1">
        <f>'Data Sheet'!B85</f>
        <v>-6748.68</v>
      </c>
      <c r="C7" s="1">
        <f>'Data Sheet'!C85</f>
        <v>-935.38</v>
      </c>
      <c r="D7" s="1">
        <f>'Data Sheet'!D85</f>
        <v>98.87</v>
      </c>
      <c r="E7" s="1">
        <f>'Data Sheet'!E85</f>
        <v>-96.69</v>
      </c>
      <c r="F7" s="1">
        <f>'Data Sheet'!F85</f>
        <v>1001.47</v>
      </c>
      <c r="G7" s="1">
        <f>'Data Sheet'!G85</f>
        <v>707.57</v>
      </c>
      <c r="H7" s="1">
        <f>'Data Sheet'!H85</f>
        <v>-195.44</v>
      </c>
      <c r="I7" s="1">
        <f>'Data Sheet'!I85</f>
        <v>1261.0899999999999</v>
      </c>
      <c r="J7" s="1">
        <f>'Data Sheet'!J85</f>
        <v>-1503.98</v>
      </c>
      <c r="K7" s="1">
        <f>'Data Sheet'!K85</f>
        <v>-3591.02</v>
      </c>
    </row>
    <row r="8" spans="1:11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5"/>
  </sheetData>
  <hyperlinks>
    <hyperlink ref="J1" r:id="rId1"/>
  </hyperlinks>
  <printOptions gridLines="1"/>
  <pageMargins left="0.7" right="0.7" top="0.75" bottom="0.75" header="0.3" footer="0.3"/>
  <pageSetup paperSize="9" scale="81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G26" sqref="G26"/>
    </sheetView>
  </sheetViews>
  <sheetFormatPr defaultColWidth="8.85546875" defaultRowHeight="15" x14ac:dyDescent="0.25"/>
  <cols>
    <col min="1" max="1" width="8.85546875" style="8"/>
    <col min="2" max="2" width="10.42578125" style="11" customWidth="1"/>
    <col min="3" max="3" width="13.28515625" style="26" customWidth="1"/>
    <col min="4" max="5" width="8.85546875" style="11"/>
    <col min="6" max="6" width="6.85546875" style="11" customWidth="1"/>
    <col min="7" max="16384" width="8.85546875" style="11"/>
  </cols>
  <sheetData>
    <row r="1" spans="1:7" ht="21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x14ac:dyDescent="0.25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x14ac:dyDescent="0.25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O110"/>
  <sheetViews>
    <sheetView showGridLines="0" zoomScale="130" zoomScaleNormal="130" workbookViewId="0">
      <pane ySplit="3" topLeftCell="A4" activePane="bottomLeft" state="frozen"/>
      <selection pane="bottomLeft" activeCell="N9" sqref="N9"/>
    </sheetView>
  </sheetViews>
  <sheetFormatPr defaultRowHeight="15" outlineLevelRow="1" x14ac:dyDescent="0.25"/>
  <cols>
    <col min="1" max="1" width="1.85546875" customWidth="1"/>
    <col min="2" max="2" width="29.42578125" customWidth="1"/>
    <col min="3" max="13" width="13.7109375" customWidth="1"/>
  </cols>
  <sheetData>
    <row r="2" spans="1:15" x14ac:dyDescent="0.25">
      <c r="B2" s="252" t="str">
        <f>"Historical Financial Statement - "&amp;'Profit &amp; Loss'!A1</f>
        <v>Historical Financial Statement - OIL &amp; NATURAL GAS CORPN LTD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</row>
    <row r="3" spans="1:15" x14ac:dyDescent="0.25">
      <c r="B3" s="133" t="s">
        <v>93</v>
      </c>
      <c r="C3" s="134">
        <f>Annual[[#This Row],[Column2]]</f>
        <v>42094</v>
      </c>
      <c r="D3" s="134">
        <f>Annual[[#This Row],[Column3]]</f>
        <v>42460</v>
      </c>
      <c r="E3" s="134">
        <f>Annual[[#This Row],[Column4]]</f>
        <v>42825</v>
      </c>
      <c r="F3" s="134">
        <f>Annual[[#This Row],[Column5]]</f>
        <v>43190</v>
      </c>
      <c r="G3" s="134">
        <f>Annual[[#This Row],[Column6]]</f>
        <v>43555</v>
      </c>
      <c r="H3" s="134">
        <f>Annual[[#This Row],[Column7]]</f>
        <v>43921</v>
      </c>
      <c r="I3" s="134">
        <f>Annual[[#This Row],[Column8]]</f>
        <v>44286</v>
      </c>
      <c r="J3" s="134">
        <f>Annual[[#This Row],[Column9]]</f>
        <v>44651</v>
      </c>
      <c r="K3" s="134">
        <f>Annual[[#This Row],[Column10]]</f>
        <v>45016</v>
      </c>
      <c r="L3" s="134">
        <f>Annual[[#This Row],[Column11]]</f>
        <v>45382</v>
      </c>
      <c r="M3" s="135" t="s">
        <v>94</v>
      </c>
    </row>
    <row r="4" spans="1:15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  <c r="N4" s="38"/>
      <c r="O4" s="38"/>
    </row>
    <row r="5" spans="1:15" x14ac:dyDescent="0.25">
      <c r="A5" t="s">
        <v>95</v>
      </c>
      <c r="B5" s="39" t="s">
        <v>96</v>
      </c>
      <c r="C5" s="39"/>
      <c r="D5" s="39"/>
      <c r="E5" s="39"/>
      <c r="F5" s="40"/>
      <c r="G5" s="40"/>
      <c r="H5" s="40"/>
      <c r="I5" s="40"/>
      <c r="J5" s="40"/>
      <c r="K5" s="40"/>
      <c r="L5" s="40"/>
      <c r="M5" s="40"/>
    </row>
    <row r="6" spans="1:15" s="44" customFormat="1" x14ac:dyDescent="0.25">
      <c r="B6" s="52"/>
      <c r="C6" s="52"/>
      <c r="D6" s="52"/>
      <c r="E6" s="52"/>
    </row>
    <row r="7" spans="1:15" outlineLevel="1" x14ac:dyDescent="0.25">
      <c r="B7" t="s">
        <v>6</v>
      </c>
      <c r="C7" s="37">
        <f>IFERROR('Profit &amp; Loss'!B4,0)</f>
        <v>160922.64000000001</v>
      </c>
      <c r="D7" s="37">
        <f>IFERROR('Profit &amp; Loss'!C4,0)</f>
        <v>124035.71</v>
      </c>
      <c r="E7" s="37">
        <f>IFERROR('Profit &amp; Loss'!D4,0)</f>
        <v>282506.11</v>
      </c>
      <c r="F7" s="37">
        <f>IFERROR('Profit &amp; Loss'!E4,0)</f>
        <v>322705.76</v>
      </c>
      <c r="G7" s="37">
        <f>IFERROR('Profit &amp; Loss'!F4,0)</f>
        <v>421623.93</v>
      </c>
      <c r="H7" s="37">
        <f>IFERROR('Profit &amp; Loss'!G4,0)</f>
        <v>396727.91</v>
      </c>
      <c r="I7" s="37">
        <f>IFERROR('Profit &amp; Loss'!H4,0)</f>
        <v>303848.90999999997</v>
      </c>
      <c r="J7" s="37">
        <f>IFERROR('Profit &amp; Loss'!I4,0)</f>
        <v>491246.24</v>
      </c>
      <c r="K7" s="37">
        <f>IFERROR('Profit &amp; Loss'!J4,0)</f>
        <v>632291.18000000005</v>
      </c>
      <c r="L7" s="37">
        <f>IFERROR('Profit &amp; Loss'!K4,0)</f>
        <v>591396.26</v>
      </c>
      <c r="M7" s="51">
        <f>IFERROR(SUM(Quarters!H4:K4),0)</f>
        <v>659221.21</v>
      </c>
    </row>
    <row r="8" spans="1:15" outlineLevel="1" x14ac:dyDescent="0.25">
      <c r="B8" s="35" t="s">
        <v>98</v>
      </c>
      <c r="C8" s="36" t="s">
        <v>97</v>
      </c>
      <c r="D8" s="36">
        <f t="shared" ref="D8" si="0">D7/C7 -1</f>
        <v>-0.22922150668171992</v>
      </c>
      <c r="E8" s="36">
        <f t="shared" ref="E8" si="1">E7/D7 -1</f>
        <v>1.277619163061992</v>
      </c>
      <c r="F8" s="36">
        <f t="shared" ref="F8" si="2">F7/E7 -1</f>
        <v>0.14229656838218485</v>
      </c>
      <c r="G8" s="36">
        <f t="shared" ref="G8:L8" si="3">G7/F7 -1</f>
        <v>0.30652743849381547</v>
      </c>
      <c r="H8" s="36">
        <f t="shared" si="3"/>
        <v>-5.9047929276689781E-2</v>
      </c>
      <c r="I8" s="36">
        <f t="shared" si="3"/>
        <v>-0.23411259369173198</v>
      </c>
      <c r="J8" s="36">
        <f t="shared" si="3"/>
        <v>0.61674511190446601</v>
      </c>
      <c r="K8" s="36">
        <f t="shared" si="3"/>
        <v>0.28711657925361433</v>
      </c>
      <c r="L8" s="36">
        <f t="shared" si="3"/>
        <v>-6.4677353240954694E-2</v>
      </c>
      <c r="M8" s="36">
        <f>M7/L7 -1</f>
        <v>0.11468613278007522</v>
      </c>
    </row>
    <row r="9" spans="1:15" outlineLevel="1" x14ac:dyDescent="0.25"/>
    <row r="10" spans="1:15" outlineLevel="1" x14ac:dyDescent="0.25">
      <c r="B10" t="s">
        <v>99</v>
      </c>
      <c r="C10" s="37">
        <f>IFERROR(SUM('Data Sheet'!B18,'Data Sheet'!B20:B22)-1*'Data Sheet'!B19,0)</f>
        <v>82045.099999999991</v>
      </c>
      <c r="D10" s="37">
        <f>IFERROR(SUM('Data Sheet'!C18,'Data Sheet'!C20:C22)-1*'Data Sheet'!C19,0)</f>
        <v>56921.44999999999</v>
      </c>
      <c r="E10" s="37">
        <f>IFERROR(SUM('Data Sheet'!D18,'Data Sheet'!D20:D22)-1*'Data Sheet'!D19,0)</f>
        <v>203938.19</v>
      </c>
      <c r="F10" s="37">
        <f>IFERROR(SUM('Data Sheet'!E18,'Data Sheet'!E20:E22)-1*'Data Sheet'!E19,0)</f>
        <v>237810.82</v>
      </c>
      <c r="G10" s="37">
        <f>IFERROR(SUM('Data Sheet'!F18,'Data Sheet'!F20:F22)-1*'Data Sheet'!F19,0)</f>
        <v>309596.56</v>
      </c>
      <c r="H10" s="37">
        <f>IFERROR(SUM('Data Sheet'!G18,'Data Sheet'!G20:G22)-1*'Data Sheet'!G19,0)</f>
        <v>309680.76</v>
      </c>
      <c r="I10" s="37">
        <f>IFERROR(SUM('Data Sheet'!H18,'Data Sheet'!H20:H22)-1*'Data Sheet'!H19,0)</f>
        <v>231708.13999999998</v>
      </c>
      <c r="J10" s="37">
        <f>IFERROR(SUM('Data Sheet'!I18,'Data Sheet'!I20:I22)-1*'Data Sheet'!I19,0)</f>
        <v>377208.46</v>
      </c>
      <c r="K10" s="37">
        <f>IFERROR(SUM('Data Sheet'!J18,'Data Sheet'!J20:J22)-1*'Data Sheet'!J19,0)</f>
        <v>507861.55999999994</v>
      </c>
      <c r="L10" s="37">
        <f>IFERROR(SUM('Data Sheet'!K18,'Data Sheet'!K20:K22)-1*'Data Sheet'!K19,0)</f>
        <v>453414.86</v>
      </c>
      <c r="M10" s="37">
        <f>IFERROR(SUM('Data Sheet'!H43:K43),0)</f>
        <v>569596.70000000007</v>
      </c>
    </row>
    <row r="11" spans="1:15" outlineLevel="1" x14ac:dyDescent="0.25">
      <c r="B11" s="35" t="s">
        <v>100</v>
      </c>
      <c r="C11" s="36">
        <f t="shared" ref="C11" si="4">C10/C7</f>
        <v>0.50984187184599994</v>
      </c>
      <c r="D11" s="36">
        <f t="shared" ref="D11" si="5">D10/D7</f>
        <v>0.45891179241848967</v>
      </c>
      <c r="E11" s="36">
        <f t="shared" ref="E11" si="6">E10/E7</f>
        <v>0.72188948408938847</v>
      </c>
      <c r="F11" s="36">
        <f t="shared" ref="F11:M11" si="7">F10/F7</f>
        <v>0.73692772016216879</v>
      </c>
      <c r="G11" s="36">
        <f t="shared" si="7"/>
        <v>0.73429551306539931</v>
      </c>
      <c r="H11" s="36">
        <f t="shared" si="7"/>
        <v>0.78058727957909502</v>
      </c>
      <c r="I11" s="36">
        <f t="shared" si="7"/>
        <v>0.7625768346511429</v>
      </c>
      <c r="J11" s="36">
        <f t="shared" si="7"/>
        <v>0.76786024866063107</v>
      </c>
      <c r="K11" s="36">
        <f t="shared" si="7"/>
        <v>0.80320835726349982</v>
      </c>
      <c r="L11" s="36">
        <f t="shared" si="7"/>
        <v>0.76668536929875064</v>
      </c>
      <c r="M11" s="36">
        <f t="shared" si="7"/>
        <v>0.86404486287690907</v>
      </c>
    </row>
    <row r="12" spans="1:15" outlineLevel="1" x14ac:dyDescent="0.25"/>
    <row r="13" spans="1:15" s="43" customFormat="1" outlineLevel="1" x14ac:dyDescent="0.25">
      <c r="B13" s="41" t="s">
        <v>101</v>
      </c>
      <c r="C13" s="42">
        <f t="shared" ref="C13:E13" si="8">C7-C10</f>
        <v>78877.540000000023</v>
      </c>
      <c r="D13" s="42">
        <f t="shared" si="8"/>
        <v>67114.260000000009</v>
      </c>
      <c r="E13" s="42">
        <f t="shared" si="8"/>
        <v>78567.919999999984</v>
      </c>
      <c r="F13" s="42">
        <f t="shared" ref="F13:L13" si="9">F7-F10</f>
        <v>84894.94</v>
      </c>
      <c r="G13" s="42">
        <f t="shared" si="9"/>
        <v>112027.37</v>
      </c>
      <c r="H13" s="42">
        <f t="shared" si="9"/>
        <v>87047.149999999965</v>
      </c>
      <c r="I13" s="42">
        <f t="shared" si="9"/>
        <v>72140.76999999999</v>
      </c>
      <c r="J13" s="42">
        <f t="shared" si="9"/>
        <v>114037.77999999997</v>
      </c>
      <c r="K13" s="42">
        <f t="shared" si="9"/>
        <v>124429.62000000011</v>
      </c>
      <c r="L13" s="42">
        <f t="shared" si="9"/>
        <v>137981.40000000002</v>
      </c>
      <c r="M13" s="42">
        <f t="shared" ref="M13" si="10">M7-M10</f>
        <v>89624.509999999893</v>
      </c>
    </row>
    <row r="14" spans="1:15" outlineLevel="1" x14ac:dyDescent="0.25">
      <c r="B14" s="35" t="s">
        <v>105</v>
      </c>
      <c r="C14" s="36">
        <f t="shared" ref="C14" si="11">C13/C7</f>
        <v>0.49015812815400006</v>
      </c>
      <c r="D14" s="36">
        <f t="shared" ref="D14" si="12">D13/D7</f>
        <v>0.54108820758151022</v>
      </c>
      <c r="E14" s="36">
        <f t="shared" ref="E14" si="13">E13/E7</f>
        <v>0.27811051591061159</v>
      </c>
      <c r="F14" s="36">
        <f t="shared" ref="F14:M14" si="14">F13/F7</f>
        <v>0.26307227983783121</v>
      </c>
      <c r="G14" s="36">
        <f t="shared" si="14"/>
        <v>0.26570448693460069</v>
      </c>
      <c r="H14" s="36">
        <f t="shared" si="14"/>
        <v>0.21941272042090501</v>
      </c>
      <c r="I14" s="36">
        <f t="shared" si="14"/>
        <v>0.23742316534885707</v>
      </c>
      <c r="J14" s="36">
        <f t="shared" si="14"/>
        <v>0.23213975133936898</v>
      </c>
      <c r="K14" s="36">
        <f t="shared" si="14"/>
        <v>0.19679164273650013</v>
      </c>
      <c r="L14" s="36">
        <f t="shared" si="14"/>
        <v>0.2333146307012493</v>
      </c>
      <c r="M14" s="36">
        <f t="shared" si="14"/>
        <v>0.1359551371230909</v>
      </c>
    </row>
    <row r="15" spans="1:15" outlineLevel="1" x14ac:dyDescent="0.25"/>
    <row r="16" spans="1:15" outlineLevel="1" x14ac:dyDescent="0.25">
      <c r="B16" t="s">
        <v>102</v>
      </c>
      <c r="C16" s="37">
        <f>IFERROR(SUM('Data Sheet'!B23:B24),0)</f>
        <v>36565.22</v>
      </c>
      <c r="D16" s="37">
        <f>IFERROR(SUM('Data Sheet'!C23:C24),0)</f>
        <v>27979.629999999997</v>
      </c>
      <c r="E16" s="37">
        <f>IFERROR(SUM('Data Sheet'!D23:D24),0)</f>
        <v>25764.25</v>
      </c>
      <c r="F16" s="37">
        <f>IFERROR(SUM('Data Sheet'!E23:E24),0)</f>
        <v>28005.88</v>
      </c>
      <c r="G16" s="37">
        <f>IFERROR(SUM('Data Sheet'!F23:F24),0)</f>
        <v>37208.380000000005</v>
      </c>
      <c r="H16" s="37">
        <f>IFERROR(SUM('Data Sheet'!G23:G24),0)</f>
        <v>34942.17</v>
      </c>
      <c r="I16" s="37">
        <f>IFERROR(SUM('Data Sheet'!H23:H24),0)</f>
        <v>22667.33</v>
      </c>
      <c r="J16" s="37">
        <f>IFERROR(SUM('Data Sheet'!I23:I24),0)</f>
        <v>34164.19</v>
      </c>
      <c r="K16" s="37">
        <f>IFERROR(SUM('Data Sheet'!J23:J24),0)</f>
        <v>48902.630000000005</v>
      </c>
      <c r="L16" s="37">
        <f>IFERROR(SUM('Data Sheet'!K23:K24),0)</f>
        <v>35145.96</v>
      </c>
      <c r="M16" s="37">
        <f>IFERROR(SUM('Data Sheet'!L23:L24),0)</f>
        <v>0</v>
      </c>
    </row>
    <row r="17" spans="2:13" outlineLevel="1" x14ac:dyDescent="0.25">
      <c r="B17" s="35" t="s">
        <v>104</v>
      </c>
      <c r="C17" s="36">
        <f t="shared" ref="C17:E17" si="15">C16/C7</f>
        <v>0.22722234733409791</v>
      </c>
      <c r="D17" s="36">
        <f t="shared" si="15"/>
        <v>0.22557721481982887</v>
      </c>
      <c r="E17" s="36">
        <f t="shared" si="15"/>
        <v>9.1198912476618654E-2</v>
      </c>
      <c r="F17" s="36">
        <f>F16/F7</f>
        <v>8.678456808456099E-2</v>
      </c>
      <c r="G17" s="36">
        <f t="shared" ref="G17:M17" si="16">G16/G7</f>
        <v>8.825016170215956E-2</v>
      </c>
      <c r="H17" s="36">
        <f t="shared" si="16"/>
        <v>8.8075905725916795E-2</v>
      </c>
      <c r="I17" s="36">
        <f t="shared" si="16"/>
        <v>7.4600662546395191E-2</v>
      </c>
      <c r="J17" s="36">
        <f t="shared" si="16"/>
        <v>6.9545957237250308E-2</v>
      </c>
      <c r="K17" s="36">
        <f t="shared" si="16"/>
        <v>7.7341945525793987E-2</v>
      </c>
      <c r="L17" s="36">
        <f t="shared" si="16"/>
        <v>5.9428782995685499E-2</v>
      </c>
      <c r="M17" s="36">
        <f t="shared" si="16"/>
        <v>0</v>
      </c>
    </row>
    <row r="18" spans="2:13" outlineLevel="1" x14ac:dyDescent="0.25"/>
    <row r="19" spans="2:13" s="43" customFormat="1" outlineLevel="1" x14ac:dyDescent="0.25">
      <c r="B19" s="41" t="s">
        <v>103</v>
      </c>
      <c r="C19" s="42">
        <f t="shared" ref="C19:E19" si="17">C13-C16</f>
        <v>42312.320000000022</v>
      </c>
      <c r="D19" s="42">
        <f t="shared" si="17"/>
        <v>39134.630000000012</v>
      </c>
      <c r="E19" s="42">
        <f t="shared" si="17"/>
        <v>52803.669999999984</v>
      </c>
      <c r="F19" s="42">
        <f>F13-F16</f>
        <v>56889.06</v>
      </c>
      <c r="G19" s="42">
        <f t="shared" ref="G19:M19" si="18">G13-G16</f>
        <v>74818.989999999991</v>
      </c>
      <c r="H19" s="42">
        <f t="shared" si="18"/>
        <v>52104.979999999967</v>
      </c>
      <c r="I19" s="42">
        <f t="shared" si="18"/>
        <v>49473.439999999988</v>
      </c>
      <c r="J19" s="42">
        <f t="shared" si="18"/>
        <v>79873.589999999967</v>
      </c>
      <c r="K19" s="42">
        <f t="shared" si="18"/>
        <v>75526.990000000107</v>
      </c>
      <c r="L19" s="42">
        <f t="shared" si="18"/>
        <v>102835.44000000003</v>
      </c>
      <c r="M19" s="42">
        <f t="shared" si="18"/>
        <v>89624.509999999893</v>
      </c>
    </row>
    <row r="20" spans="2:13" outlineLevel="1" x14ac:dyDescent="0.25">
      <c r="B20" s="35" t="s">
        <v>106</v>
      </c>
      <c r="C20" s="36">
        <f t="shared" ref="C20:E20" si="19">C19/C7</f>
        <v>0.26293578081990215</v>
      </c>
      <c r="D20" s="36">
        <f t="shared" si="19"/>
        <v>0.31551099276168137</v>
      </c>
      <c r="E20" s="36">
        <f t="shared" si="19"/>
        <v>0.18691160343399293</v>
      </c>
      <c r="F20" s="36">
        <f>F19/F7</f>
        <v>0.17628771175327021</v>
      </c>
      <c r="G20" s="36">
        <f t="shared" ref="G20:M20" si="20">G19/G7</f>
        <v>0.17745432523244112</v>
      </c>
      <c r="H20" s="36">
        <f t="shared" si="20"/>
        <v>0.13133681469498823</v>
      </c>
      <c r="I20" s="36">
        <f t="shared" si="20"/>
        <v>0.16282250280246188</v>
      </c>
      <c r="J20" s="36">
        <f t="shared" si="20"/>
        <v>0.16259379410211866</v>
      </c>
      <c r="K20" s="36">
        <f t="shared" si="20"/>
        <v>0.11944969721070615</v>
      </c>
      <c r="L20" s="36">
        <f t="shared" si="20"/>
        <v>0.17388584770556384</v>
      </c>
      <c r="M20" s="36">
        <f t="shared" si="20"/>
        <v>0.1359551371230909</v>
      </c>
    </row>
    <row r="21" spans="2:13" outlineLevel="1" x14ac:dyDescent="0.25"/>
    <row r="22" spans="2:13" outlineLevel="1" x14ac:dyDescent="0.25">
      <c r="B22" t="s">
        <v>11</v>
      </c>
      <c r="C22" s="37">
        <f>IFERROR('Data Sheet'!B27,0)</f>
        <v>2863.75</v>
      </c>
      <c r="D22" s="37">
        <f>IFERROR('Data Sheet'!C27,0)</f>
        <v>3765.58</v>
      </c>
      <c r="E22" s="37">
        <f>IFERROR('Data Sheet'!D27,0)</f>
        <v>3591.11</v>
      </c>
      <c r="F22" s="37">
        <f>IFERROR('Data Sheet'!E27,0)</f>
        <v>4999.04</v>
      </c>
      <c r="G22" s="37">
        <f>IFERROR('Data Sheet'!F27,0)</f>
        <v>5836.73</v>
      </c>
      <c r="H22" s="37">
        <f>IFERROR('Data Sheet'!G27,0)</f>
        <v>7489.34</v>
      </c>
      <c r="I22" s="37">
        <f>IFERROR('Data Sheet'!H27,0)</f>
        <v>5079.03</v>
      </c>
      <c r="J22" s="37">
        <f>IFERROR('Data Sheet'!I27,0)</f>
        <v>5696.04</v>
      </c>
      <c r="K22" s="37">
        <f>IFERROR('Data Sheet'!J27,0)</f>
        <v>7889.36</v>
      </c>
      <c r="L22" s="37">
        <f>IFERROR('Data Sheet'!K27,0)</f>
        <v>10194.17</v>
      </c>
      <c r="M22" s="37">
        <f>IFERROR(SUM('Data Sheet'!H46:K46),0)</f>
        <v>13717.4</v>
      </c>
    </row>
    <row r="23" spans="2:13" outlineLevel="1" x14ac:dyDescent="0.25">
      <c r="B23" s="35" t="s">
        <v>107</v>
      </c>
      <c r="C23" s="36">
        <f t="shared" ref="C23:E23" si="21">C22/C7</f>
        <v>1.7795817915987458E-2</v>
      </c>
      <c r="D23" s="36">
        <f t="shared" si="21"/>
        <v>3.0358837789536575E-2</v>
      </c>
      <c r="E23" s="36">
        <f t="shared" si="21"/>
        <v>1.2711618874367002E-2</v>
      </c>
      <c r="F23" s="36">
        <f>F22/F7</f>
        <v>1.5491015716608219E-2</v>
      </c>
      <c r="G23" s="36">
        <f t="shared" ref="G23:M23" si="22">G22/G7</f>
        <v>1.3843450489159853E-2</v>
      </c>
      <c r="H23" s="36">
        <f t="shared" si="22"/>
        <v>1.8877774442438398E-2</v>
      </c>
      <c r="I23" s="36">
        <f t="shared" si="22"/>
        <v>1.67156433110127E-2</v>
      </c>
      <c r="J23" s="36">
        <f t="shared" si="22"/>
        <v>1.1595081114513977E-2</v>
      </c>
      <c r="K23" s="36">
        <f t="shared" si="22"/>
        <v>1.2477415864001138E-2</v>
      </c>
      <c r="L23" s="36">
        <f t="shared" si="22"/>
        <v>1.7237461055299875E-2</v>
      </c>
      <c r="M23" s="36">
        <f t="shared" si="22"/>
        <v>2.0808493100517807E-2</v>
      </c>
    </row>
    <row r="24" spans="2:13" outlineLevel="1" x14ac:dyDescent="0.25"/>
    <row r="25" spans="2:13" outlineLevel="1" x14ac:dyDescent="0.25">
      <c r="B25" t="s">
        <v>10</v>
      </c>
      <c r="C25" s="37">
        <f>IFERROR('Data Sheet'!B26,0)</f>
        <v>18032.97</v>
      </c>
      <c r="D25" s="37">
        <f>IFERROR('Data Sheet'!C26,0)</f>
        <v>16384.060000000001</v>
      </c>
      <c r="E25" s="37">
        <f>IFERROR('Data Sheet'!D26,0)</f>
        <v>20219.2</v>
      </c>
      <c r="F25" s="37">
        <f>IFERROR('Data Sheet'!E26,0)</f>
        <v>23111.91</v>
      </c>
      <c r="G25" s="37">
        <f>IFERROR('Data Sheet'!F26,0)</f>
        <v>23703.7</v>
      </c>
      <c r="H25" s="37">
        <f>IFERROR('Data Sheet'!G26,0)</f>
        <v>26634.880000000001</v>
      </c>
      <c r="I25" s="37">
        <f>IFERROR('Data Sheet'!H26,0)</f>
        <v>25538.47</v>
      </c>
      <c r="J25" s="37">
        <f>IFERROR('Data Sheet'!I26,0)</f>
        <v>26883.16</v>
      </c>
      <c r="K25" s="37">
        <f>IFERROR('Data Sheet'!J26,0)</f>
        <v>24557.06</v>
      </c>
      <c r="L25" s="37">
        <f>IFERROR('Data Sheet'!K26,0)</f>
        <v>28762.75</v>
      </c>
      <c r="M25" s="37">
        <f>IFERROR(SUM('Data Sheet'!H45:K45),0)</f>
        <v>34025.550000000003</v>
      </c>
    </row>
    <row r="26" spans="2:13" outlineLevel="1" x14ac:dyDescent="0.25">
      <c r="B26" s="35" t="s">
        <v>108</v>
      </c>
      <c r="C26" s="36">
        <f t="shared" ref="C26:E26" si="23">C25/C7</f>
        <v>0.11205986926388978</v>
      </c>
      <c r="D26" s="36">
        <f t="shared" si="23"/>
        <v>0.13209147591447656</v>
      </c>
      <c r="E26" s="36">
        <f t="shared" si="23"/>
        <v>7.1570841423571341E-2</v>
      </c>
      <c r="F26" s="36">
        <f>F25/F7</f>
        <v>7.1619143085639367E-2</v>
      </c>
      <c r="G26" s="36">
        <f t="shared" ref="G26:M26" si="24">G25/G7</f>
        <v>5.6220006298029625E-2</v>
      </c>
      <c r="H26" s="36">
        <f t="shared" si="24"/>
        <v>6.7136390782287045E-2</v>
      </c>
      <c r="I26" s="36">
        <f t="shared" si="24"/>
        <v>8.4049898352441033E-2</v>
      </c>
      <c r="J26" s="36">
        <f t="shared" si="24"/>
        <v>5.4724408679443531E-2</v>
      </c>
      <c r="K26" s="36">
        <f t="shared" si="24"/>
        <v>3.8838213748292362E-2</v>
      </c>
      <c r="L26" s="36">
        <f t="shared" si="24"/>
        <v>4.863532616861662E-2</v>
      </c>
      <c r="M26" s="36">
        <f t="shared" si="24"/>
        <v>5.1614768280893154E-2</v>
      </c>
    </row>
    <row r="27" spans="2:13" outlineLevel="1" x14ac:dyDescent="0.25"/>
    <row r="28" spans="2:13" s="43" customFormat="1" outlineLevel="1" x14ac:dyDescent="0.25">
      <c r="B28" s="41" t="s">
        <v>109</v>
      </c>
      <c r="C28" s="42">
        <f>IFERROR(C19-SUM(C25+C22),0)</f>
        <v>21415.60000000002</v>
      </c>
      <c r="D28" s="42">
        <f t="shared" ref="D28:L28" si="25">IFERROR(D19-SUM(D25+D22),0)</f>
        <v>18984.990000000013</v>
      </c>
      <c r="E28" s="42">
        <f t="shared" si="25"/>
        <v>28993.359999999982</v>
      </c>
      <c r="F28" s="42">
        <f t="shared" si="25"/>
        <v>28778.109999999997</v>
      </c>
      <c r="G28" s="42">
        <f t="shared" si="25"/>
        <v>45278.55999999999</v>
      </c>
      <c r="H28" s="42">
        <f t="shared" si="25"/>
        <v>17980.759999999966</v>
      </c>
      <c r="I28" s="42">
        <f t="shared" si="25"/>
        <v>18855.939999999988</v>
      </c>
      <c r="J28" s="42">
        <f t="shared" si="25"/>
        <v>47294.38999999997</v>
      </c>
      <c r="K28" s="42">
        <f t="shared" si="25"/>
        <v>43080.570000000109</v>
      </c>
      <c r="L28" s="42">
        <f t="shared" si="25"/>
        <v>63878.520000000033</v>
      </c>
      <c r="M28" s="42">
        <f>IFERROR(SUM('Data Sheet'!H47:K47),0)</f>
        <v>54620.320000000007</v>
      </c>
    </row>
    <row r="29" spans="2:13" outlineLevel="1" x14ac:dyDescent="0.25">
      <c r="B29" s="35" t="s">
        <v>110</v>
      </c>
      <c r="C29" s="36">
        <f>C28/C7</f>
        <v>0.1330800936400249</v>
      </c>
      <c r="D29" s="36">
        <f t="shared" ref="D29:M29" si="26">D28/D7</f>
        <v>0.15306067905766824</v>
      </c>
      <c r="E29" s="36">
        <f t="shared" si="26"/>
        <v>0.10262914313605459</v>
      </c>
      <c r="F29" s="36">
        <f t="shared" si="26"/>
        <v>8.9177552951022615E-2</v>
      </c>
      <c r="G29" s="36">
        <f t="shared" si="26"/>
        <v>0.10739086844525166</v>
      </c>
      <c r="H29" s="36">
        <f t="shared" si="26"/>
        <v>4.53226494702628E-2</v>
      </c>
      <c r="I29" s="36">
        <f t="shared" si="26"/>
        <v>6.2056961139008167E-2</v>
      </c>
      <c r="J29" s="36">
        <f t="shared" si="26"/>
        <v>9.6274304308161154E-2</v>
      </c>
      <c r="K29" s="36">
        <f t="shared" si="26"/>
        <v>6.8134067598412659E-2</v>
      </c>
      <c r="L29" s="36">
        <f t="shared" si="26"/>
        <v>0.10801306048164734</v>
      </c>
      <c r="M29" s="36">
        <f t="shared" si="26"/>
        <v>8.2855829229159683E-2</v>
      </c>
    </row>
    <row r="30" spans="2:13" outlineLevel="1" x14ac:dyDescent="0.25"/>
    <row r="31" spans="2:13" outlineLevel="1" x14ac:dyDescent="0.25">
      <c r="B31" t="s">
        <v>111</v>
      </c>
      <c r="C31" s="37">
        <f>IFERROR('Data Sheet'!B29,0)</f>
        <v>9697.41</v>
      </c>
      <c r="D31" s="37">
        <f>IFERROR('Data Sheet'!C29,0)</f>
        <v>6950.7</v>
      </c>
      <c r="E31" s="37">
        <f>IFERROR('Data Sheet'!D29,0)</f>
        <v>12548.42</v>
      </c>
      <c r="F31" s="37">
        <f>IFERROR('Data Sheet'!E29,0)</f>
        <v>13139.52</v>
      </c>
      <c r="G31" s="37">
        <f>IFERROR('Data Sheet'!F29,0)</f>
        <v>20907.650000000001</v>
      </c>
      <c r="H31" s="37">
        <f>IFERROR('Data Sheet'!G29,0)</f>
        <v>7506.19</v>
      </c>
      <c r="I31" s="37">
        <f>IFERROR('Data Sheet'!H29,0)</f>
        <v>8766.2000000000007</v>
      </c>
      <c r="J31" s="37">
        <f>IFERROR('Data Sheet'!I29,0)</f>
        <v>4797.04</v>
      </c>
      <c r="K31" s="37">
        <f>IFERROR('Data Sheet'!J29,0)</f>
        <v>10273.15</v>
      </c>
      <c r="L31" s="37">
        <f>IFERROR('Data Sheet'!K29,0)</f>
        <v>19759.23</v>
      </c>
      <c r="M31" s="37">
        <f>IFERROR(SUM('Data Sheet'!H29:K29),0)</f>
        <v>43595.619999999995</v>
      </c>
    </row>
    <row r="32" spans="2:13" outlineLevel="1" x14ac:dyDescent="0.25">
      <c r="B32" s="35" t="s">
        <v>112</v>
      </c>
      <c r="C32" s="36">
        <f>C31/C28</f>
        <v>0.45281990698369368</v>
      </c>
      <c r="D32" s="36">
        <f t="shared" ref="D32:M32" si="27">D31/D28</f>
        <v>0.36611554707166005</v>
      </c>
      <c r="E32" s="36">
        <f t="shared" si="27"/>
        <v>0.43280323494758827</v>
      </c>
      <c r="F32" s="36">
        <f t="shared" si="27"/>
        <v>0.45658036611855335</v>
      </c>
      <c r="G32" s="36">
        <f t="shared" si="27"/>
        <v>0.46175607174786493</v>
      </c>
      <c r="H32" s="36">
        <f t="shared" si="27"/>
        <v>0.41745677045909152</v>
      </c>
      <c r="I32" s="36">
        <f t="shared" si="27"/>
        <v>0.46490389765771456</v>
      </c>
      <c r="J32" s="36">
        <f t="shared" si="27"/>
        <v>0.10142936614680945</v>
      </c>
      <c r="K32" s="36">
        <f t="shared" si="27"/>
        <v>0.23846365078270723</v>
      </c>
      <c r="L32" s="36">
        <f t="shared" si="27"/>
        <v>0.30932510646771388</v>
      </c>
      <c r="M32" s="36">
        <f t="shared" si="27"/>
        <v>0.79815753551059365</v>
      </c>
    </row>
    <row r="33" spans="2:13" outlineLevel="1" x14ac:dyDescent="0.25"/>
    <row r="34" spans="2:13" s="43" customFormat="1" outlineLevel="1" x14ac:dyDescent="0.25">
      <c r="B34" s="41" t="s">
        <v>113</v>
      </c>
      <c r="C34" s="42">
        <f>C28-C31</f>
        <v>11718.190000000021</v>
      </c>
      <c r="D34" s="42">
        <f t="shared" ref="D34:M34" si="28">D28-D31</f>
        <v>12034.290000000012</v>
      </c>
      <c r="E34" s="42">
        <f t="shared" si="28"/>
        <v>16444.939999999981</v>
      </c>
      <c r="F34" s="42">
        <f t="shared" si="28"/>
        <v>15638.589999999997</v>
      </c>
      <c r="G34" s="42">
        <f t="shared" si="28"/>
        <v>24370.909999999989</v>
      </c>
      <c r="H34" s="42">
        <f t="shared" si="28"/>
        <v>10474.569999999967</v>
      </c>
      <c r="I34" s="42">
        <f t="shared" si="28"/>
        <v>10089.739999999987</v>
      </c>
      <c r="J34" s="42">
        <f t="shared" si="28"/>
        <v>42497.349999999969</v>
      </c>
      <c r="K34" s="42">
        <f t="shared" si="28"/>
        <v>32807.420000000107</v>
      </c>
      <c r="L34" s="42">
        <f t="shared" si="28"/>
        <v>44119.290000000037</v>
      </c>
      <c r="M34" s="42">
        <f t="shared" si="28"/>
        <v>11024.700000000012</v>
      </c>
    </row>
    <row r="35" spans="2:13" outlineLevel="1" x14ac:dyDescent="0.25">
      <c r="B35" s="35" t="s">
        <v>114</v>
      </c>
      <c r="C35" s="36">
        <f>C34/C7</f>
        <v>7.2818778016567581E-2</v>
      </c>
      <c r="D35" s="36">
        <f t="shared" ref="D35:L35" si="29">D34/D7</f>
        <v>9.7022784809310245E-2</v>
      </c>
      <c r="E35" s="36">
        <f t="shared" si="29"/>
        <v>5.8210917986871086E-2</v>
      </c>
      <c r="F35" s="36">
        <f t="shared" si="29"/>
        <v>4.8460833175088029E-2</v>
      </c>
      <c r="G35" s="36">
        <f t="shared" si="29"/>
        <v>5.7802482890380508E-2</v>
      </c>
      <c r="H35" s="36">
        <f t="shared" si="29"/>
        <v>2.6402402593757437E-2</v>
      </c>
      <c r="I35" s="36">
        <f t="shared" si="29"/>
        <v>3.3206438028689944E-2</v>
      </c>
      <c r="J35" s="36">
        <f t="shared" si="29"/>
        <v>8.6509262645959331E-2</v>
      </c>
      <c r="K35" s="36">
        <f t="shared" si="29"/>
        <v>5.1886569096219408E-2</v>
      </c>
      <c r="L35" s="36">
        <f t="shared" si="29"/>
        <v>7.4601909048258155E-2</v>
      </c>
      <c r="M35" s="36">
        <f t="shared" ref="M35" si="30">M34/M7</f>
        <v>1.6723824768926976E-2</v>
      </c>
    </row>
    <row r="36" spans="2:13" outlineLevel="1" x14ac:dyDescent="0.25"/>
    <row r="37" spans="2:13" outlineLevel="1" x14ac:dyDescent="0.25">
      <c r="B37" t="s">
        <v>115</v>
      </c>
      <c r="C37" s="37">
        <f>IFERROR('Data Sheet'!B93,0)</f>
        <v>1283.32</v>
      </c>
      <c r="D37" s="37">
        <f>IFERROR('Data Sheet'!C93,0)</f>
        <v>1283.32</v>
      </c>
      <c r="E37" s="37">
        <f>IFERROR('Data Sheet'!D93,0)</f>
        <v>1283.32</v>
      </c>
      <c r="F37" s="37">
        <f>IFERROR('Data Sheet'!E93,0)</f>
        <v>1283.32</v>
      </c>
      <c r="G37" s="37">
        <f>IFERROR('Data Sheet'!F93,0)</f>
        <v>1258.03</v>
      </c>
      <c r="H37" s="37">
        <f>IFERROR('Data Sheet'!G93,0)</f>
        <v>1258.03</v>
      </c>
      <c r="I37" s="37">
        <f>IFERROR('Data Sheet'!H93,0)</f>
        <v>1258.03</v>
      </c>
      <c r="J37" s="37">
        <f>IFERROR('Data Sheet'!I93,0)</f>
        <v>1258.03</v>
      </c>
      <c r="K37" s="37">
        <f>IFERROR('Data Sheet'!J93,0)</f>
        <v>1258.03</v>
      </c>
      <c r="L37" s="37">
        <f>IFERROR('Data Sheet'!K93,0)</f>
        <v>1258.03</v>
      </c>
      <c r="M37" s="37">
        <f>IFERROR('Data Sheet'!L93,0)</f>
        <v>0</v>
      </c>
    </row>
    <row r="38" spans="2:13" outlineLevel="1" x14ac:dyDescent="0.25"/>
    <row r="39" spans="2:13" outlineLevel="1" x14ac:dyDescent="0.25">
      <c r="B39" t="s">
        <v>57</v>
      </c>
      <c r="C39" s="37">
        <f>IFERROR(C34/C37,0)</f>
        <v>9.1311520119689717</v>
      </c>
      <c r="D39" s="37">
        <f t="shared" ref="D39:L39" si="31">IFERROR(D34/D37,0)</f>
        <v>9.3774662593897169</v>
      </c>
      <c r="E39" s="37">
        <f t="shared" si="31"/>
        <v>12.814372097372425</v>
      </c>
      <c r="F39" s="37">
        <f t="shared" si="31"/>
        <v>12.186040893931363</v>
      </c>
      <c r="G39" s="37">
        <f t="shared" si="31"/>
        <v>19.372280470259046</v>
      </c>
      <c r="H39" s="37">
        <f t="shared" si="31"/>
        <v>8.3261686923205076</v>
      </c>
      <c r="I39" s="37">
        <f t="shared" si="31"/>
        <v>8.0202697868890152</v>
      </c>
      <c r="J39" s="37">
        <f t="shared" si="31"/>
        <v>33.780871680325568</v>
      </c>
      <c r="K39" s="37">
        <f t="shared" si="31"/>
        <v>26.078408305048455</v>
      </c>
      <c r="L39" s="37">
        <f t="shared" si="31"/>
        <v>35.070141411572088</v>
      </c>
      <c r="M39" s="37">
        <f t="shared" ref="M39" si="32">IFERROR(M34/M37,0)</f>
        <v>0</v>
      </c>
    </row>
    <row r="40" spans="2:13" outlineLevel="1" x14ac:dyDescent="0.25">
      <c r="B40" s="35" t="s">
        <v>117</v>
      </c>
      <c r="C40" s="36"/>
      <c r="D40" s="36">
        <f>D39/C39 -1</f>
        <v>2.6975155719440425E-2</v>
      </c>
      <c r="E40" s="36">
        <f t="shared" ref="E40:M40" si="33">E39/D39 -1</f>
        <v>0.36650687327627685</v>
      </c>
      <c r="F40" s="36">
        <f t="shared" si="33"/>
        <v>-4.9033319671581976E-2</v>
      </c>
      <c r="G40" s="36">
        <f t="shared" si="33"/>
        <v>0.5897107714373766</v>
      </c>
      <c r="H40" s="36">
        <f t="shared" si="33"/>
        <v>-0.57020193337056457</v>
      </c>
      <c r="I40" s="36">
        <f t="shared" si="33"/>
        <v>-3.6739455653070352E-2</v>
      </c>
      <c r="J40" s="36">
        <f t="shared" si="33"/>
        <v>3.211937076673931</v>
      </c>
      <c r="K40" s="36">
        <f t="shared" si="33"/>
        <v>-0.22801257019555032</v>
      </c>
      <c r="L40" s="36">
        <f t="shared" si="33"/>
        <v>0.34479608576352194</v>
      </c>
      <c r="M40" s="36">
        <f t="shared" si="33"/>
        <v>-1</v>
      </c>
    </row>
    <row r="41" spans="2:13" outlineLevel="1" x14ac:dyDescent="0.25"/>
    <row r="42" spans="2:13" outlineLevel="1" x14ac:dyDescent="0.25">
      <c r="B42" t="s">
        <v>116</v>
      </c>
      <c r="C42" s="37">
        <f>IFERROR('Data Sheet'!B31/C37,0)</f>
        <v>6.3333696973475053</v>
      </c>
      <c r="D42" s="37">
        <f>IFERROR('Data Sheet'!C31/D37,0)</f>
        <v>5.6667004332512549</v>
      </c>
      <c r="E42" s="37">
        <f>IFERROR('Data Sheet'!D31/E37,0)</f>
        <v>7.5500342860705052</v>
      </c>
      <c r="F42" s="37">
        <f>IFERROR('Data Sheet'!E31/F37,0)</f>
        <v>6.6000296106972547</v>
      </c>
      <c r="G42" s="37">
        <f>IFERROR('Data Sheet'!F31/G37,0)</f>
        <v>6.9999999999999991</v>
      </c>
      <c r="H42" s="37">
        <f>IFERROR('Data Sheet'!G31/H37,0)</f>
        <v>5</v>
      </c>
      <c r="I42" s="37">
        <f>IFERROR('Data Sheet'!H31/I37,0)</f>
        <v>3.5999936408511717</v>
      </c>
      <c r="J42" s="37">
        <f>IFERROR('Data Sheet'!I31/J37,0)</f>
        <v>10.499980127659914</v>
      </c>
      <c r="K42" s="37">
        <f>IFERROR('Data Sheet'!J31/K37,0)</f>
        <v>11.249986089361938</v>
      </c>
      <c r="L42" s="37">
        <f>IFERROR('Data Sheet'!K31/L37,0)</f>
        <v>12.249978140425904</v>
      </c>
      <c r="M42" s="37">
        <f>IFERROR('Data Sheet'!L31/M37,0)</f>
        <v>0</v>
      </c>
    </row>
    <row r="43" spans="2:13" outlineLevel="1" x14ac:dyDescent="0.25">
      <c r="B43" s="35" t="s">
        <v>118</v>
      </c>
      <c r="C43" s="36">
        <f>C42/C39</f>
        <v>0.69360029151259595</v>
      </c>
      <c r="D43" s="36">
        <f t="shared" ref="D43:L43" si="34">D42/D39</f>
        <v>0.6042890772949624</v>
      </c>
      <c r="E43" s="36">
        <f t="shared" si="34"/>
        <v>0.58918487996915847</v>
      </c>
      <c r="F43" s="36">
        <f t="shared" si="34"/>
        <v>0.54160573299766812</v>
      </c>
      <c r="G43" s="36">
        <f t="shared" si="34"/>
        <v>0.3613410414301314</v>
      </c>
      <c r="H43" s="36">
        <f t="shared" si="34"/>
        <v>0.60051629804374018</v>
      </c>
      <c r="I43" s="36">
        <f t="shared" si="34"/>
        <v>0.44886191319102425</v>
      </c>
      <c r="J43" s="36">
        <f t="shared" si="34"/>
        <v>0.31082620445745462</v>
      </c>
      <c r="K43" s="36">
        <f t="shared" si="34"/>
        <v>0.43139082561200948</v>
      </c>
      <c r="L43" s="36">
        <f t="shared" si="34"/>
        <v>0.34929936542496465</v>
      </c>
      <c r="M43" s="36" t="e">
        <f t="shared" ref="M43" si="35">M42/M39</f>
        <v>#DIV/0!</v>
      </c>
    </row>
    <row r="44" spans="2:13" outlineLevel="1" x14ac:dyDescent="0.25"/>
    <row r="45" spans="2:13" outlineLevel="1" x14ac:dyDescent="0.25">
      <c r="B45" t="s">
        <v>119</v>
      </c>
      <c r="C45" s="37">
        <f>C39-C42</f>
        <v>2.7977823146214664</v>
      </c>
      <c r="D45" s="37">
        <f t="shared" ref="D45:L45" si="36">D39-D42</f>
        <v>3.710765826138462</v>
      </c>
      <c r="E45" s="37">
        <f t="shared" si="36"/>
        <v>5.2643378113019201</v>
      </c>
      <c r="F45" s="37">
        <f t="shared" si="36"/>
        <v>5.5860112832341082</v>
      </c>
      <c r="G45" s="37">
        <f t="shared" si="36"/>
        <v>12.372280470259046</v>
      </c>
      <c r="H45" s="37">
        <f t="shared" si="36"/>
        <v>3.3261686923205076</v>
      </c>
      <c r="I45" s="37">
        <f t="shared" si="36"/>
        <v>4.4202761460378435</v>
      </c>
      <c r="J45" s="37">
        <f t="shared" si="36"/>
        <v>23.280891552665654</v>
      </c>
      <c r="K45" s="37">
        <f t="shared" si="36"/>
        <v>14.828422215686517</v>
      </c>
      <c r="L45" s="37">
        <f t="shared" si="36"/>
        <v>22.820163271146185</v>
      </c>
      <c r="M45" s="37">
        <f t="shared" ref="M45" si="37">M39-M42</f>
        <v>0</v>
      </c>
    </row>
    <row r="46" spans="2:13" outlineLevel="1" x14ac:dyDescent="0.25">
      <c r="C46" s="36">
        <f>C45/C39</f>
        <v>0.30639970848740411</v>
      </c>
      <c r="D46" s="36">
        <f t="shared" ref="D46:L46" si="38">D45/D39</f>
        <v>0.39571092270503755</v>
      </c>
      <c r="E46" s="36">
        <f t="shared" si="38"/>
        <v>0.41081512003084159</v>
      </c>
      <c r="F46" s="36">
        <f t="shared" si="38"/>
        <v>0.45839426700233188</v>
      </c>
      <c r="G46" s="36">
        <f t="shared" si="38"/>
        <v>0.63865895856986854</v>
      </c>
      <c r="H46" s="36">
        <f>H45/H39</f>
        <v>0.39948370195625987</v>
      </c>
      <c r="I46" s="36">
        <f t="shared" si="38"/>
        <v>0.5511380868089758</v>
      </c>
      <c r="J46" s="36">
        <f t="shared" si="38"/>
        <v>0.68917379554254543</v>
      </c>
      <c r="K46" s="36">
        <f t="shared" si="38"/>
        <v>0.56860917438799052</v>
      </c>
      <c r="L46" s="36">
        <f t="shared" si="38"/>
        <v>0.65070063457503535</v>
      </c>
      <c r="M46" s="36" t="e">
        <f t="shared" ref="M46" si="39">M45/M39</f>
        <v>#DIV/0!</v>
      </c>
    </row>
    <row r="47" spans="2:13" outlineLevel="1" x14ac:dyDescent="0.25"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2:13" outlineLevel="1" x14ac:dyDescent="0.25"/>
    <row r="49" spans="1:13" s="44" customFormat="1" x14ac:dyDescent="0.25">
      <c r="A49" s="44" t="s">
        <v>95</v>
      </c>
      <c r="B49" s="40" t="s">
        <v>120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 s="44" customFormat="1" x14ac:dyDescent="0.25"/>
    <row r="51" spans="1:13" outlineLevel="1" x14ac:dyDescent="0.25">
      <c r="B51" s="9" t="s">
        <v>24</v>
      </c>
      <c r="C51" s="37">
        <f>IFERROR('Data Sheet'!B57,0)</f>
        <v>4277.76</v>
      </c>
      <c r="D51" s="37">
        <f>IFERROR('Data Sheet'!C57,0)</f>
        <v>4277.76</v>
      </c>
      <c r="E51" s="37">
        <f>IFERROR('Data Sheet'!D57,0)</f>
        <v>6416.63</v>
      </c>
      <c r="F51" s="37">
        <f>IFERROR('Data Sheet'!E57,0)</f>
        <v>6416.63</v>
      </c>
      <c r="G51" s="37">
        <f>IFERROR('Data Sheet'!F57,0)</f>
        <v>6290.15</v>
      </c>
      <c r="H51" s="37">
        <f>IFERROR('Data Sheet'!G57,0)</f>
        <v>6290.15</v>
      </c>
      <c r="I51" s="37">
        <f>IFERROR('Data Sheet'!H57,0)</f>
        <v>6290.14</v>
      </c>
      <c r="J51" s="37">
        <f>IFERROR('Data Sheet'!I57,0)</f>
        <v>6290.14</v>
      </c>
      <c r="K51" s="37">
        <f>IFERROR('Data Sheet'!J57,0)</f>
        <v>6290.14</v>
      </c>
      <c r="L51" s="37">
        <f>IFERROR('Data Sheet'!K57,0)</f>
        <v>6290.14</v>
      </c>
      <c r="M51" s="37"/>
    </row>
    <row r="52" spans="1:13" outlineLevel="1" x14ac:dyDescent="0.25">
      <c r="B52" s="9" t="s">
        <v>25</v>
      </c>
      <c r="C52" s="37">
        <f>IFERROR('Data Sheet'!B58,0)</f>
        <v>176176.64000000001</v>
      </c>
      <c r="D52" s="37">
        <f>IFERROR('Data Sheet'!C58,0)</f>
        <v>193535.88</v>
      </c>
      <c r="E52" s="37">
        <f>IFERROR('Data Sheet'!D58,0)</f>
        <v>187968.59</v>
      </c>
      <c r="F52" s="37">
        <f>IFERROR('Data Sheet'!E58,0)</f>
        <v>197602.3</v>
      </c>
      <c r="G52" s="37">
        <f>IFERROR('Data Sheet'!F58,0)</f>
        <v>210644.5</v>
      </c>
      <c r="H52" s="37">
        <f>IFERROR('Data Sheet'!G58,0)</f>
        <v>198814.45</v>
      </c>
      <c r="I52" s="37">
        <f>IFERROR('Data Sheet'!H58,0)</f>
        <v>214690.85</v>
      </c>
      <c r="J52" s="37">
        <f>IFERROR('Data Sheet'!I58,0)</f>
        <v>253212.77</v>
      </c>
      <c r="K52" s="37">
        <f>IFERROR('Data Sheet'!J58,0)</f>
        <v>274357.15999999997</v>
      </c>
      <c r="L52" s="37">
        <f>IFERROR('Data Sheet'!K58,0)</f>
        <v>330780.09000000003</v>
      </c>
      <c r="M52" s="37"/>
    </row>
    <row r="53" spans="1:13" outlineLevel="1" x14ac:dyDescent="0.25">
      <c r="B53" s="9" t="s">
        <v>71</v>
      </c>
      <c r="C53" s="37">
        <f>IFERROR('Data Sheet'!B59,0)</f>
        <v>53944.47</v>
      </c>
      <c r="D53" s="37">
        <f>IFERROR('Data Sheet'!C59,0)</f>
        <v>45500.17</v>
      </c>
      <c r="E53" s="37">
        <f>IFERROR('Data Sheet'!D59,0)</f>
        <v>80029.27</v>
      </c>
      <c r="F53" s="37">
        <f>IFERROR('Data Sheet'!E59,0)</f>
        <v>106549.94</v>
      </c>
      <c r="G53" s="37">
        <f>IFERROR('Data Sheet'!F59,0)</f>
        <v>107741.69</v>
      </c>
      <c r="H53" s="37">
        <f>IFERROR('Data Sheet'!G59,0)</f>
        <v>129472.52</v>
      </c>
      <c r="I53" s="37">
        <f>IFERROR('Data Sheet'!H59,0)</f>
        <v>133186.92000000001</v>
      </c>
      <c r="J53" s="37">
        <f>IFERROR('Data Sheet'!I59,0)</f>
        <v>121985.86</v>
      </c>
      <c r="K53" s="37">
        <f>IFERROR('Data Sheet'!J59,0)</f>
        <v>142254.81</v>
      </c>
      <c r="L53" s="37">
        <f>IFERROR('Data Sheet'!K59,0)</f>
        <v>153180.53</v>
      </c>
      <c r="M53" s="37"/>
    </row>
    <row r="54" spans="1:13" outlineLevel="1" x14ac:dyDescent="0.25">
      <c r="B54" s="9" t="s">
        <v>72</v>
      </c>
      <c r="C54" s="37">
        <f>IFERROR('Data Sheet'!B60,0)</f>
        <v>103447.69</v>
      </c>
      <c r="D54" s="37">
        <f>IFERROR('Data Sheet'!C60,0)</f>
        <v>98458.57</v>
      </c>
      <c r="E54" s="37">
        <f>IFERROR('Data Sheet'!D60,0)</f>
        <v>170110.83</v>
      </c>
      <c r="F54" s="37">
        <f>IFERROR('Data Sheet'!E60,0)</f>
        <v>148663.53</v>
      </c>
      <c r="G54" s="37">
        <f>IFERROR('Data Sheet'!F60,0)</f>
        <v>167666.95000000001</v>
      </c>
      <c r="H54" s="37">
        <f>IFERROR('Data Sheet'!G60,0)</f>
        <v>173786.92</v>
      </c>
      <c r="I54" s="37">
        <f>IFERROR('Data Sheet'!H60,0)</f>
        <v>187579.74</v>
      </c>
      <c r="J54" s="37">
        <f>IFERROR('Data Sheet'!I60,0)</f>
        <v>201770.75</v>
      </c>
      <c r="K54" s="37">
        <f>IFERROR('Data Sheet'!J60,0)</f>
        <v>190212.41</v>
      </c>
      <c r="L54" s="37">
        <f>IFERROR('Data Sheet'!K60,0)</f>
        <v>219523.17</v>
      </c>
      <c r="M54" s="37"/>
    </row>
    <row r="55" spans="1:13" outlineLevel="1" x14ac:dyDescent="0.25">
      <c r="B55" s="47" t="s">
        <v>121</v>
      </c>
      <c r="C55" s="42">
        <f>IFERROR('Data Sheet'!B61,0)</f>
        <v>337846.56</v>
      </c>
      <c r="D55" s="42">
        <f>IFERROR('Data Sheet'!C61,0)</f>
        <v>341772.38</v>
      </c>
      <c r="E55" s="42">
        <f>IFERROR('Data Sheet'!D61,0)</f>
        <v>444525.32</v>
      </c>
      <c r="F55" s="42">
        <f>IFERROR('Data Sheet'!E61,0)</f>
        <v>459232.4</v>
      </c>
      <c r="G55" s="42">
        <f>IFERROR('Data Sheet'!F61,0)</f>
        <v>492343.29</v>
      </c>
      <c r="H55" s="42">
        <f>IFERROR('Data Sheet'!G61,0)</f>
        <v>508364.04</v>
      </c>
      <c r="I55" s="42">
        <f>IFERROR('Data Sheet'!H61,0)</f>
        <v>541747.65</v>
      </c>
      <c r="J55" s="42">
        <f>IFERROR('Data Sheet'!I61,0)</f>
        <v>583259.52</v>
      </c>
      <c r="K55" s="42">
        <f>IFERROR('Data Sheet'!J61,0)</f>
        <v>613114.52</v>
      </c>
      <c r="L55" s="42">
        <f>IFERROR('Data Sheet'!K61,0)</f>
        <v>709773.93</v>
      </c>
      <c r="M55" s="45"/>
    </row>
    <row r="56" spans="1:13" outlineLevel="1" x14ac:dyDescent="0.25">
      <c r="B56" s="1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 spans="1:13" outlineLevel="1" x14ac:dyDescent="0.25">
      <c r="B57" s="9" t="s">
        <v>122</v>
      </c>
      <c r="C57" s="37">
        <f>IFERROR('Data Sheet'!B62,0)</f>
        <v>179932.96</v>
      </c>
      <c r="D57" s="37">
        <f>IFERROR('Data Sheet'!C62,0)</f>
        <v>166276.73000000001</v>
      </c>
      <c r="E57" s="37">
        <f>IFERROR('Data Sheet'!D62,0)</f>
        <v>211125.43</v>
      </c>
      <c r="F57" s="37">
        <f>IFERROR('Data Sheet'!E62,0)</f>
        <v>226057.68</v>
      </c>
      <c r="G57" s="37">
        <f>IFERROR('Data Sheet'!F62,0)</f>
        <v>230390.7</v>
      </c>
      <c r="H57" s="37">
        <f>IFERROR('Data Sheet'!G62,0)</f>
        <v>243891.96</v>
      </c>
      <c r="I57" s="37">
        <f>IFERROR('Data Sheet'!H62,0)</f>
        <v>243746.36</v>
      </c>
      <c r="J57" s="37">
        <f>IFERROR('Data Sheet'!I62,0)</f>
        <v>254402.17</v>
      </c>
      <c r="K57" s="37">
        <f>IFERROR('Data Sheet'!J62,0)</f>
        <v>250819.44</v>
      </c>
      <c r="L57" s="37">
        <f>IFERROR('Data Sheet'!K62,0)</f>
        <v>298454.36</v>
      </c>
    </row>
    <row r="58" spans="1:13" outlineLevel="1" x14ac:dyDescent="0.25">
      <c r="B58" s="9" t="s">
        <v>28</v>
      </c>
      <c r="C58" s="37">
        <f>IFERROR('Data Sheet'!B63,0)</f>
        <v>63393.37</v>
      </c>
      <c r="D58" s="37">
        <f>IFERROR('Data Sheet'!C63,0)</f>
        <v>57668.480000000003</v>
      </c>
      <c r="E58" s="37">
        <f>IFERROR('Data Sheet'!D63,0)</f>
        <v>59042.48</v>
      </c>
      <c r="F58" s="37">
        <f>IFERROR('Data Sheet'!E63,0)</f>
        <v>61511.87</v>
      </c>
      <c r="G58" s="37">
        <f>IFERROR('Data Sheet'!F63,0)</f>
        <v>69056.44</v>
      </c>
      <c r="H58" s="37">
        <f>IFERROR('Data Sheet'!G63,0)</f>
        <v>83832.399999999994</v>
      </c>
      <c r="I58" s="37">
        <f>IFERROR('Data Sheet'!H63,0)</f>
        <v>100308.82</v>
      </c>
      <c r="J58" s="37">
        <f>IFERROR('Data Sheet'!I63,0)</f>
        <v>106719.23</v>
      </c>
      <c r="K58" s="37">
        <f>IFERROR('Data Sheet'!J63,0)</f>
        <v>113944.61</v>
      </c>
      <c r="L58" s="37">
        <f>IFERROR('Data Sheet'!K63,0)</f>
        <v>116021.68</v>
      </c>
    </row>
    <row r="59" spans="1:13" outlineLevel="1" x14ac:dyDescent="0.25">
      <c r="B59" s="9" t="s">
        <v>29</v>
      </c>
      <c r="C59" s="37">
        <f>IFERROR('Data Sheet'!B64,0)</f>
        <v>4749.1400000000003</v>
      </c>
      <c r="D59" s="37">
        <f>IFERROR('Data Sheet'!C64,0)</f>
        <v>33386.85</v>
      </c>
      <c r="E59" s="37">
        <f>IFERROR('Data Sheet'!D64,0)</f>
        <v>70745.67</v>
      </c>
      <c r="F59" s="37">
        <f>IFERROR('Data Sheet'!E64,0)</f>
        <v>67334.61</v>
      </c>
      <c r="G59" s="37">
        <f>IFERROR('Data Sheet'!F64,0)</f>
        <v>66908.92</v>
      </c>
      <c r="H59" s="37">
        <f>IFERROR('Data Sheet'!G64,0)</f>
        <v>56755.18</v>
      </c>
      <c r="I59" s="37">
        <f>IFERROR('Data Sheet'!H64,0)</f>
        <v>60320.36</v>
      </c>
      <c r="J59" s="37">
        <f>IFERROR('Data Sheet'!I64,0)</f>
        <v>66642.14</v>
      </c>
      <c r="K59" s="37">
        <f>IFERROR('Data Sheet'!J64,0)</f>
        <v>78872.61</v>
      </c>
      <c r="L59" s="37">
        <f>IFERROR('Data Sheet'!K64,0)</f>
        <v>102207.2</v>
      </c>
    </row>
    <row r="60" spans="1:13" outlineLevel="1" x14ac:dyDescent="0.25">
      <c r="B60" s="9" t="s">
        <v>73</v>
      </c>
      <c r="C60" s="37">
        <f>IFERROR('Data Sheet'!B65-SUM('Data Sheet'!B67:B69),0)</f>
        <v>43503.49</v>
      </c>
      <c r="D60" s="37">
        <f>IFERROR('Data Sheet'!C65-SUM('Data Sheet'!C67:C69),0)</f>
        <v>40657.600000000006</v>
      </c>
      <c r="E60" s="37">
        <f>IFERROR('Data Sheet'!D65-SUM('Data Sheet'!D67:D69),0)</f>
        <v>47296.600000000006</v>
      </c>
      <c r="F60" s="37">
        <f>IFERROR('Data Sheet'!E65-SUM('Data Sheet'!E67:E69),0)</f>
        <v>54112.66</v>
      </c>
      <c r="G60" s="37">
        <f>IFERROR('Data Sheet'!F65-SUM('Data Sheet'!F67:F69),0)</f>
        <v>69821.7</v>
      </c>
      <c r="H60" s="37">
        <f>IFERROR('Data Sheet'!G65-SUM('Data Sheet'!G67:G69),0)</f>
        <v>71005.73000000001</v>
      </c>
      <c r="I60" s="37">
        <f>IFERROR('Data Sheet'!H65-SUM('Data Sheet'!H67:H69),0)</f>
        <v>68428.169999999984</v>
      </c>
      <c r="J60" s="37">
        <f>IFERROR('Data Sheet'!I65-SUM('Data Sheet'!I67:I69),0)</f>
        <v>74107.49000000002</v>
      </c>
      <c r="K60" s="37">
        <f>IFERROR('Data Sheet'!J65-SUM('Data Sheet'!J67:J69),0)</f>
        <v>76347.499999999985</v>
      </c>
      <c r="L60" s="37">
        <f>IFERROR('Data Sheet'!K65-SUM('Data Sheet'!K67:K69),0)</f>
        <v>83382.86</v>
      </c>
    </row>
    <row r="61" spans="1:13" outlineLevel="1" x14ac:dyDescent="0.25">
      <c r="B61" s="47" t="s">
        <v>124</v>
      </c>
      <c r="C61" s="42">
        <f>SUM(C57:C60)</f>
        <v>291578.96000000002</v>
      </c>
      <c r="D61" s="42">
        <f t="shared" ref="D61:L61" si="40">SUM(D57:D60)</f>
        <v>297989.66000000003</v>
      </c>
      <c r="E61" s="42">
        <f t="shared" si="40"/>
        <v>388210.17999999993</v>
      </c>
      <c r="F61" s="42">
        <f t="shared" si="40"/>
        <v>409016.81999999995</v>
      </c>
      <c r="G61" s="42">
        <f t="shared" si="40"/>
        <v>436177.76</v>
      </c>
      <c r="H61" s="42">
        <f t="shared" si="40"/>
        <v>455485.27</v>
      </c>
      <c r="I61" s="42">
        <f t="shared" si="40"/>
        <v>472803.70999999996</v>
      </c>
      <c r="J61" s="42">
        <f t="shared" si="40"/>
        <v>501871.03</v>
      </c>
      <c r="K61" s="42">
        <f t="shared" si="40"/>
        <v>519984.16</v>
      </c>
      <c r="L61" s="42">
        <f t="shared" si="40"/>
        <v>600066.1</v>
      </c>
    </row>
    <row r="62" spans="1:13" outlineLevel="1" x14ac:dyDescent="0.25">
      <c r="B62" s="1"/>
    </row>
    <row r="63" spans="1:13" outlineLevel="1" x14ac:dyDescent="0.25">
      <c r="B63" s="9" t="s">
        <v>78</v>
      </c>
      <c r="C63" s="37">
        <f>IFERROR('Data Sheet'!B67,0)</f>
        <v>18815.82</v>
      </c>
      <c r="D63" s="37">
        <f>IFERROR('Data Sheet'!C67,0)</f>
        <v>8331.7099999999991</v>
      </c>
      <c r="E63" s="37">
        <f>IFERROR('Data Sheet'!D67,0)</f>
        <v>12547.12</v>
      </c>
      <c r="F63" s="37">
        <f>IFERROR('Data Sheet'!E67,0)</f>
        <v>13899.17</v>
      </c>
      <c r="G63" s="37">
        <f>IFERROR('Data Sheet'!F67,0)</f>
        <v>15396.46</v>
      </c>
      <c r="H63" s="37">
        <f>IFERROR('Data Sheet'!G67,0)</f>
        <v>9173.41</v>
      </c>
      <c r="I63" s="37">
        <f>IFERROR('Data Sheet'!H67,0)</f>
        <v>16015.83</v>
      </c>
      <c r="J63" s="37">
        <f>IFERROR('Data Sheet'!I67,0)</f>
        <v>19187.28</v>
      </c>
      <c r="K63" s="37">
        <f>IFERROR('Data Sheet'!J67,0)</f>
        <v>18751.580000000002</v>
      </c>
      <c r="L63" s="37">
        <f>IFERROR('Data Sheet'!K67,0)</f>
        <v>19762.95</v>
      </c>
    </row>
    <row r="64" spans="1:13" outlineLevel="1" x14ac:dyDescent="0.25">
      <c r="B64" s="9" t="s">
        <v>45</v>
      </c>
      <c r="C64" s="37">
        <f>IFERROR('Data Sheet'!B68,0)</f>
        <v>11354.86</v>
      </c>
      <c r="D64" s="37">
        <f>IFERROR('Data Sheet'!C68,0)</f>
        <v>10761.97</v>
      </c>
      <c r="E64" s="37">
        <f>IFERROR('Data Sheet'!D68,0)</f>
        <v>30555.38</v>
      </c>
      <c r="F64" s="37">
        <f>IFERROR('Data Sheet'!E68,0)</f>
        <v>31253.57</v>
      </c>
      <c r="G64" s="37">
        <f>IFERROR('Data Sheet'!F68,0)</f>
        <v>35949.410000000003</v>
      </c>
      <c r="H64" s="37">
        <f>IFERROR('Data Sheet'!G68,0)</f>
        <v>34065.120000000003</v>
      </c>
      <c r="I64" s="37">
        <f>IFERROR('Data Sheet'!H68,0)</f>
        <v>45735.85</v>
      </c>
      <c r="J64" s="37">
        <f>IFERROR('Data Sheet'!I68,0)</f>
        <v>55360.27</v>
      </c>
      <c r="K64" s="37">
        <f>IFERROR('Data Sheet'!J68,0)</f>
        <v>45238.45</v>
      </c>
      <c r="L64" s="37">
        <f>IFERROR('Data Sheet'!K68,0)</f>
        <v>53255.24</v>
      </c>
    </row>
    <row r="65" spans="1:13" outlineLevel="1" x14ac:dyDescent="0.25">
      <c r="B65" s="5" t="s">
        <v>87</v>
      </c>
      <c r="C65" s="37">
        <f>IFERROR('Data Sheet'!B69,0)</f>
        <v>16096.92</v>
      </c>
      <c r="D65" s="37">
        <f>IFERROR('Data Sheet'!C69,0)</f>
        <v>24689.040000000001</v>
      </c>
      <c r="E65" s="37">
        <f>IFERROR('Data Sheet'!D69,0)</f>
        <v>13212.64</v>
      </c>
      <c r="F65" s="37">
        <f>IFERROR('Data Sheet'!E69,0)</f>
        <v>5062.84</v>
      </c>
      <c r="G65" s="37">
        <f>IFERROR('Data Sheet'!F69,0)</f>
        <v>4819.66</v>
      </c>
      <c r="H65" s="37">
        <f>IFERROR('Data Sheet'!G69,0)</f>
        <v>9640.24</v>
      </c>
      <c r="I65" s="37">
        <f>IFERROR('Data Sheet'!H69,0)</f>
        <v>7192.26</v>
      </c>
      <c r="J65" s="37">
        <f>IFERROR('Data Sheet'!I69,0)</f>
        <v>6840.94</v>
      </c>
      <c r="K65" s="37">
        <f>IFERROR('Data Sheet'!J69,0)</f>
        <v>29140.33</v>
      </c>
      <c r="L65" s="37">
        <f>IFERROR('Data Sheet'!K69,0)</f>
        <v>36689.64</v>
      </c>
    </row>
    <row r="66" spans="1:13" outlineLevel="1" x14ac:dyDescent="0.25">
      <c r="B66" s="42" t="s">
        <v>125</v>
      </c>
      <c r="C66" s="42">
        <f>SUM(C63:C65)</f>
        <v>46267.6</v>
      </c>
      <c r="D66" s="42">
        <f t="shared" ref="D66:L66" si="41">SUM(D63:D65)</f>
        <v>43782.720000000001</v>
      </c>
      <c r="E66" s="42">
        <f t="shared" si="41"/>
        <v>56315.14</v>
      </c>
      <c r="F66" s="42">
        <f t="shared" si="41"/>
        <v>50215.58</v>
      </c>
      <c r="G66" s="42">
        <f t="shared" si="41"/>
        <v>56165.53</v>
      </c>
      <c r="H66" s="42">
        <f t="shared" si="41"/>
        <v>52878.77</v>
      </c>
      <c r="I66" s="42">
        <f t="shared" si="41"/>
        <v>68943.94</v>
      </c>
      <c r="J66" s="42">
        <f t="shared" si="41"/>
        <v>81388.489999999991</v>
      </c>
      <c r="K66" s="42">
        <f t="shared" si="41"/>
        <v>93130.36</v>
      </c>
      <c r="L66" s="42">
        <f t="shared" si="41"/>
        <v>109707.83</v>
      </c>
    </row>
    <row r="67" spans="1:13" outlineLevel="1" x14ac:dyDescent="0.25"/>
    <row r="68" spans="1:13" outlineLevel="1" x14ac:dyDescent="0.25">
      <c r="B68" s="48" t="s">
        <v>123</v>
      </c>
      <c r="C68" s="42">
        <f>IFERROR(C66+C61,0)</f>
        <v>337846.56</v>
      </c>
      <c r="D68" s="42">
        <f t="shared" ref="D68:L68" si="42">IFERROR(D66+D61,0)</f>
        <v>341772.38</v>
      </c>
      <c r="E68" s="42">
        <f t="shared" si="42"/>
        <v>444525.31999999995</v>
      </c>
      <c r="F68" s="42">
        <f t="shared" si="42"/>
        <v>459232.39999999997</v>
      </c>
      <c r="G68" s="42">
        <f t="shared" si="42"/>
        <v>492343.29000000004</v>
      </c>
      <c r="H68" s="42">
        <f t="shared" si="42"/>
        <v>508364.04000000004</v>
      </c>
      <c r="I68" s="42">
        <f t="shared" si="42"/>
        <v>541747.64999999991</v>
      </c>
      <c r="J68" s="42">
        <f t="shared" si="42"/>
        <v>583259.52</v>
      </c>
      <c r="K68" s="42">
        <f t="shared" si="42"/>
        <v>613114.52</v>
      </c>
      <c r="L68" s="42">
        <f t="shared" si="42"/>
        <v>709773.92999999993</v>
      </c>
    </row>
    <row r="69" spans="1:13" outlineLevel="1" x14ac:dyDescent="0.25">
      <c r="C69" s="45"/>
    </row>
    <row r="70" spans="1:13" outlineLevel="1" x14ac:dyDescent="0.25">
      <c r="B70" s="46" t="s">
        <v>126</v>
      </c>
      <c r="C70" s="46" t="b">
        <f>C68=C55</f>
        <v>1</v>
      </c>
      <c r="D70" s="46" t="b">
        <f t="shared" ref="D70:L70" si="43">D68=D55</f>
        <v>1</v>
      </c>
      <c r="E70" s="46" t="b">
        <f t="shared" si="43"/>
        <v>1</v>
      </c>
      <c r="F70" s="46" t="b">
        <f t="shared" si="43"/>
        <v>1</v>
      </c>
      <c r="G70" s="46" t="b">
        <f t="shared" si="43"/>
        <v>1</v>
      </c>
      <c r="H70" s="46" t="b">
        <f t="shared" si="43"/>
        <v>1</v>
      </c>
      <c r="I70" s="46" t="b">
        <f t="shared" si="43"/>
        <v>1</v>
      </c>
      <c r="J70" s="46" t="b">
        <f t="shared" si="43"/>
        <v>1</v>
      </c>
      <c r="K70" s="46" t="b">
        <f t="shared" si="43"/>
        <v>1</v>
      </c>
      <c r="L70" s="46" t="b">
        <f t="shared" si="43"/>
        <v>1</v>
      </c>
    </row>
    <row r="72" spans="1:13" x14ac:dyDescent="0.25">
      <c r="A72" t="s">
        <v>95</v>
      </c>
      <c r="B72" s="39" t="s">
        <v>154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</row>
    <row r="73" spans="1:13" s="44" customFormat="1" x14ac:dyDescent="0.25">
      <c r="B73" s="52"/>
    </row>
    <row r="74" spans="1:13" ht="15.75" outlineLevel="1" thickBot="1" x14ac:dyDescent="0.3">
      <c r="B74" s="53" t="s">
        <v>156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</row>
    <row r="75" spans="1:13" outlineLevel="1" x14ac:dyDescent="0.25">
      <c r="B75" t="s">
        <v>127</v>
      </c>
      <c r="C75" s="55">
        <f>IFERROR('Cash Flow Data'!E4,0)</f>
        <v>54535</v>
      </c>
      <c r="D75" s="55">
        <f>IFERROR('Cash Flow Data'!F4,0)</f>
        <v>46768</v>
      </c>
      <c r="E75" s="55">
        <f>IFERROR('Cash Flow Data'!G4,0)</f>
        <v>58077</v>
      </c>
      <c r="F75" s="55">
        <f>IFERROR('Cash Flow Data'!H4,0)</f>
        <v>67335</v>
      </c>
      <c r="G75" s="55">
        <f>IFERROR('Cash Flow Data'!I4,0)</f>
        <v>86600</v>
      </c>
      <c r="H75" s="55">
        <f>IFERROR('Cash Flow Data'!J4,0)</f>
        <v>67907</v>
      </c>
      <c r="I75" s="55">
        <f>IFERROR('Cash Flow Data'!K4,0)</f>
        <v>58661</v>
      </c>
      <c r="J75" s="55">
        <f>IFERROR('Cash Flow Data'!L4,0)</f>
        <v>88028</v>
      </c>
      <c r="K75" s="55">
        <f>IFERROR('Cash Flow Data'!M4,0)</f>
        <v>92907</v>
      </c>
      <c r="L75" s="55">
        <f>IFERROR('Cash Flow Data'!N4,0)</f>
        <v>113693</v>
      </c>
    </row>
    <row r="76" spans="1:13" outlineLevel="1" x14ac:dyDescent="0.25">
      <c r="B76" t="s">
        <v>78</v>
      </c>
      <c r="C76" s="55">
        <f>IFERROR('Cash Flow Data'!E5,0)</f>
        <v>-6040</v>
      </c>
      <c r="D76" s="55">
        <f>IFERROR('Cash Flow Data'!F5,0)</f>
        <v>7835</v>
      </c>
      <c r="E76" s="55">
        <f>IFERROR('Cash Flow Data'!G5,0)</f>
        <v>-2128</v>
      </c>
      <c r="F76" s="55">
        <f>IFERROR('Cash Flow Data'!H5,0)</f>
        <v>-1744</v>
      </c>
      <c r="G76" s="55">
        <f>IFERROR('Cash Flow Data'!I5,0)</f>
        <v>-2252</v>
      </c>
      <c r="H76" s="55">
        <f>IFERROR('Cash Flow Data'!J5,0)</f>
        <v>6145</v>
      </c>
      <c r="I76" s="55">
        <f>IFERROR('Cash Flow Data'!K5,0)</f>
        <v>-6666</v>
      </c>
      <c r="J76" s="55">
        <f>IFERROR('Cash Flow Data'!L5,0)</f>
        <v>-3067</v>
      </c>
      <c r="K76" s="55">
        <f>IFERROR('Cash Flow Data'!M5,0)</f>
        <v>615</v>
      </c>
      <c r="L76" s="55">
        <f>IFERROR('Cash Flow Data'!N5,0)</f>
        <v>-1085</v>
      </c>
    </row>
    <row r="77" spans="1:13" outlineLevel="1" x14ac:dyDescent="0.25">
      <c r="B77" t="s">
        <v>45</v>
      </c>
      <c r="C77" s="55">
        <f>IFERROR('Cash Flow Data'!E6,0)</f>
        <v>4462</v>
      </c>
      <c r="D77" s="55">
        <f>IFERROR('Cash Flow Data'!F6,0)</f>
        <v>491</v>
      </c>
      <c r="E77" s="55">
        <f>IFERROR('Cash Flow Data'!G6,0)</f>
        <v>-6594</v>
      </c>
      <c r="F77" s="55">
        <f>IFERROR('Cash Flow Data'!H6,0)</f>
        <v>-751</v>
      </c>
      <c r="G77" s="55">
        <f>IFERROR('Cash Flow Data'!I6,0)</f>
        <v>-4682</v>
      </c>
      <c r="H77" s="55">
        <f>IFERROR('Cash Flow Data'!J6,0)</f>
        <v>957</v>
      </c>
      <c r="I77" s="55">
        <f>IFERROR('Cash Flow Data'!K6,0)</f>
        <v>-11681</v>
      </c>
      <c r="J77" s="55">
        <f>IFERROR('Cash Flow Data'!L6,0)</f>
        <v>-9672</v>
      </c>
      <c r="K77" s="55">
        <f>IFERROR('Cash Flow Data'!M6,0)</f>
        <v>9235</v>
      </c>
      <c r="L77" s="55">
        <f>IFERROR('Cash Flow Data'!N6,0)</f>
        <v>-8135</v>
      </c>
    </row>
    <row r="78" spans="1:13" outlineLevel="1" x14ac:dyDescent="0.25">
      <c r="B78" t="s">
        <v>128</v>
      </c>
      <c r="C78" s="55">
        <f>IFERROR('Cash Flow Data'!E7,0)</f>
        <v>-3972</v>
      </c>
      <c r="D78" s="55">
        <f>IFERROR('Cash Flow Data'!F7,0)</f>
        <v>579</v>
      </c>
      <c r="E78" s="55">
        <f>IFERROR('Cash Flow Data'!G7,0)</f>
        <v>-6214</v>
      </c>
      <c r="F78" s="55">
        <f>IFERROR('Cash Flow Data'!H7,0)</f>
        <v>5875</v>
      </c>
      <c r="G78" s="55">
        <f>IFERROR('Cash Flow Data'!I7,0)</f>
        <v>9441</v>
      </c>
      <c r="H78" s="55">
        <f>IFERROR('Cash Flow Data'!J7,0)</f>
        <v>6161</v>
      </c>
      <c r="I78" s="55">
        <f>IFERROR('Cash Flow Data'!K7,0)</f>
        <v>13406</v>
      </c>
      <c r="J78" s="55">
        <f>IFERROR('Cash Flow Data'!L7,0)</f>
        <v>18358</v>
      </c>
      <c r="K78" s="55">
        <f>IFERROR('Cash Flow Data'!M7,0)</f>
        <v>-4639</v>
      </c>
      <c r="L78" s="55">
        <f>IFERROR('Cash Flow Data'!N7,0)</f>
        <v>9639</v>
      </c>
    </row>
    <row r="79" spans="1:13" outlineLevel="1" x14ac:dyDescent="0.25">
      <c r="B79" t="s">
        <v>129</v>
      </c>
      <c r="C79" s="55">
        <f>IFERROR('Cash Flow Data'!E8,0)</f>
        <v>-3007</v>
      </c>
      <c r="D79" s="55">
        <f>IFERROR('Cash Flow Data'!F8,0)</f>
        <v>145</v>
      </c>
      <c r="E79" s="55">
        <f>IFERROR('Cash Flow Data'!G8,0)</f>
        <v>123</v>
      </c>
      <c r="F79" s="55">
        <f>IFERROR('Cash Flow Data'!H8,0)</f>
        <v>-1866</v>
      </c>
      <c r="G79" s="55">
        <f>IFERROR('Cash Flow Data'!I8,0)</f>
        <v>-6374</v>
      </c>
      <c r="H79" s="55">
        <f>IFERROR('Cash Flow Data'!J8,0)</f>
        <v>2622</v>
      </c>
      <c r="I79" s="55">
        <f>IFERROR('Cash Flow Data'!K8,0)</f>
        <v>5236</v>
      </c>
      <c r="J79" s="55">
        <f>IFERROR('Cash Flow Data'!L8,0)</f>
        <v>-451</v>
      </c>
      <c r="K79" s="55">
        <f>IFERROR('Cash Flow Data'!M8,0)</f>
        <v>526</v>
      </c>
      <c r="L79" s="55">
        <f>IFERROR('Cash Flow Data'!N8,0)</f>
        <v>-1186</v>
      </c>
    </row>
    <row r="80" spans="1:13" outlineLevel="1" x14ac:dyDescent="0.25">
      <c r="B80" t="s">
        <v>130</v>
      </c>
      <c r="C80" s="55">
        <f>IFERROR('Cash Flow Data'!E9,0)</f>
        <v>-3078</v>
      </c>
      <c r="D80" s="55">
        <f>IFERROR('Cash Flow Data'!F9,0)</f>
        <v>-1863</v>
      </c>
      <c r="E80" s="55">
        <f>IFERROR('Cash Flow Data'!G9,0)</f>
        <v>12140</v>
      </c>
      <c r="F80" s="55">
        <f>IFERROR('Cash Flow Data'!H9,0)</f>
        <v>-1261</v>
      </c>
      <c r="G80" s="55">
        <f>IFERROR('Cash Flow Data'!I9,0)</f>
        <v>-5951</v>
      </c>
      <c r="H80" s="55">
        <f>IFERROR('Cash Flow Data'!J9,0)</f>
        <v>-3182</v>
      </c>
      <c r="I80" s="55">
        <f>IFERROR('Cash Flow Data'!K9,0)</f>
        <v>-4235</v>
      </c>
      <c r="J80" s="55">
        <f>IFERROR('Cash Flow Data'!L9,0)</f>
        <v>-1452</v>
      </c>
      <c r="K80" s="55">
        <f>IFERROR('Cash Flow Data'!M9,0)</f>
        <v>2971</v>
      </c>
      <c r="L80" s="55">
        <f>IFERROR('Cash Flow Data'!N9,0)</f>
        <v>902</v>
      </c>
    </row>
    <row r="81" spans="2:12" outlineLevel="1" x14ac:dyDescent="0.25">
      <c r="B81" t="s">
        <v>131</v>
      </c>
      <c r="C81" s="55">
        <f>IFERROR('Cash Flow Data'!E10,0)</f>
        <v>-11635</v>
      </c>
      <c r="D81" s="55">
        <f>IFERROR('Cash Flow Data'!F10,0)</f>
        <v>7186</v>
      </c>
      <c r="E81" s="55">
        <f>IFERROR('Cash Flow Data'!G10,0)</f>
        <v>-2673</v>
      </c>
      <c r="F81" s="55">
        <f>IFERROR('Cash Flow Data'!H10,0)</f>
        <v>254</v>
      </c>
      <c r="G81" s="55">
        <f>IFERROR('Cash Flow Data'!I10,0)</f>
        <v>-9817</v>
      </c>
      <c r="H81" s="55">
        <f>IFERROR('Cash Flow Data'!J10,0)</f>
        <v>12702</v>
      </c>
      <c r="I81" s="55">
        <f>IFERROR('Cash Flow Data'!K10,0)</f>
        <v>-3940</v>
      </c>
      <c r="J81" s="55">
        <f>IFERROR('Cash Flow Data'!L10,0)</f>
        <v>3716</v>
      </c>
      <c r="K81" s="55">
        <f>IFERROR('Cash Flow Data'!M10,0)</f>
        <v>8709</v>
      </c>
      <c r="L81" s="55">
        <f>IFERROR('Cash Flow Data'!N10,0)</f>
        <v>136</v>
      </c>
    </row>
    <row r="82" spans="2:12" outlineLevel="1" x14ac:dyDescent="0.25">
      <c r="B82" t="s">
        <v>132</v>
      </c>
      <c r="C82" s="55">
        <f>IFERROR('Cash Flow Data'!E11,0)</f>
        <v>-9029</v>
      </c>
      <c r="D82" s="55">
        <f>IFERROR('Cash Flow Data'!F11,0)</f>
        <v>-7662</v>
      </c>
      <c r="E82" s="55">
        <f>IFERROR('Cash Flow Data'!G11,0)</f>
        <v>-9624</v>
      </c>
      <c r="F82" s="55">
        <f>IFERROR('Cash Flow Data'!H11,0)</f>
        <v>-10798</v>
      </c>
      <c r="G82" s="55">
        <f>IFERROR('Cash Flow Data'!I11,0)</f>
        <v>-15326</v>
      </c>
      <c r="H82" s="55">
        <f>IFERROR('Cash Flow Data'!J11,0)</f>
        <v>-10017</v>
      </c>
      <c r="I82" s="55">
        <f>IFERROR('Cash Flow Data'!K11,0)</f>
        <v>-7537</v>
      </c>
      <c r="J82" s="55">
        <f>IFERROR('Cash Flow Data'!L11,0)</f>
        <v>-13496</v>
      </c>
      <c r="K82" s="55">
        <f>IFERROR('Cash Flow Data'!M11,0)</f>
        <v>-15554</v>
      </c>
      <c r="L82" s="55">
        <f>IFERROR('Cash Flow Data'!N11,0)</f>
        <v>-14566</v>
      </c>
    </row>
    <row r="83" spans="2:12" outlineLevel="1" x14ac:dyDescent="0.25">
      <c r="B83" t="s">
        <v>133</v>
      </c>
      <c r="C83" s="55">
        <f>IFERROR('Cash Flow Data'!E12,0)</f>
        <v>80</v>
      </c>
      <c r="D83" s="55">
        <f>IFERROR('Cash Flow Data'!F12,0)</f>
        <v>0</v>
      </c>
      <c r="E83" s="55">
        <f>IFERROR('Cash Flow Data'!G12,0)</f>
        <v>0</v>
      </c>
      <c r="F83" s="55">
        <f>IFERROR('Cash Flow Data'!H12,0)</f>
        <v>0</v>
      </c>
      <c r="G83" s="55">
        <f>IFERROR('Cash Flow Data'!I12,0)</f>
        <v>0</v>
      </c>
      <c r="H83" s="55">
        <f>IFERROR('Cash Flow Data'!J12,0)</f>
        <v>0</v>
      </c>
      <c r="I83" s="55">
        <f>IFERROR('Cash Flow Data'!K12,0)</f>
        <v>0</v>
      </c>
      <c r="J83" s="55">
        <f>IFERROR('Cash Flow Data'!L12,0)</f>
        <v>0</v>
      </c>
      <c r="K83" s="55">
        <f>IFERROR('Cash Flow Data'!M12,0)</f>
        <v>0</v>
      </c>
      <c r="L83" s="55">
        <f>IFERROR('Cash Flow Data'!N12,0)</f>
        <v>0</v>
      </c>
    </row>
    <row r="84" spans="2:12" outlineLevel="1" x14ac:dyDescent="0.25">
      <c r="B84" s="41" t="s">
        <v>155</v>
      </c>
      <c r="C84" s="56">
        <f>SUM(C75:C83)</f>
        <v>22316</v>
      </c>
      <c r="D84" s="56">
        <f t="shared" ref="D84:L84" si="44">SUM(D75:D83)</f>
        <v>53479</v>
      </c>
      <c r="E84" s="56">
        <f t="shared" si="44"/>
        <v>43107</v>
      </c>
      <c r="F84" s="56">
        <f t="shared" si="44"/>
        <v>57044</v>
      </c>
      <c r="G84" s="56">
        <f t="shared" si="44"/>
        <v>51639</v>
      </c>
      <c r="H84" s="56">
        <f t="shared" si="44"/>
        <v>83295</v>
      </c>
      <c r="I84" s="56">
        <f t="shared" si="44"/>
        <v>43244</v>
      </c>
      <c r="J84" s="56">
        <f t="shared" si="44"/>
        <v>81964</v>
      </c>
      <c r="K84" s="56">
        <f t="shared" si="44"/>
        <v>94770</v>
      </c>
      <c r="L84" s="56">
        <f t="shared" si="44"/>
        <v>99398</v>
      </c>
    </row>
    <row r="85" spans="2:12" outlineLevel="1" x14ac:dyDescent="0.25"/>
    <row r="86" spans="2:12" ht="15.75" outlineLevel="1" thickBot="1" x14ac:dyDescent="0.3">
      <c r="B86" s="53" t="s">
        <v>157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</row>
    <row r="87" spans="2:12" outlineLevel="1" x14ac:dyDescent="0.25">
      <c r="B87" t="s">
        <v>134</v>
      </c>
      <c r="C87" s="55">
        <f>IFERROR('Cash Flow Data'!E14,0)</f>
        <v>-16906</v>
      </c>
      <c r="D87" s="55">
        <f>IFERROR('Cash Flow Data'!F14,0)</f>
        <v>-15120</v>
      </c>
      <c r="E87" s="55">
        <f>IFERROR('Cash Flow Data'!G14,0)</f>
        <v>-20524</v>
      </c>
      <c r="F87" s="55">
        <f>IFERROR('Cash Flow Data'!H14,0)</f>
        <v>-27815</v>
      </c>
      <c r="G87" s="55">
        <f>IFERROR('Cash Flow Data'!I14,0)</f>
        <v>-25963</v>
      </c>
      <c r="H87" s="55">
        <f>IFERROR('Cash Flow Data'!J14,0)</f>
        <v>-42258</v>
      </c>
      <c r="I87" s="55">
        <f>IFERROR('Cash Flow Data'!K14,0)</f>
        <v>-32319</v>
      </c>
      <c r="J87" s="55">
        <f>IFERROR('Cash Flow Data'!L14,0)</f>
        <v>-33457</v>
      </c>
      <c r="K87" s="55">
        <f>IFERROR('Cash Flow Data'!M14,0)</f>
        <v>-38719</v>
      </c>
      <c r="L87" s="55">
        <f>IFERROR('Cash Flow Data'!N14,0)</f>
        <v>-37916</v>
      </c>
    </row>
    <row r="88" spans="2:12" outlineLevel="1" x14ac:dyDescent="0.25">
      <c r="B88" t="s">
        <v>135</v>
      </c>
      <c r="C88" s="55">
        <f>IFERROR('Cash Flow Data'!E15,0)</f>
        <v>9</v>
      </c>
      <c r="D88" s="55">
        <f>IFERROR('Cash Flow Data'!F15,0)</f>
        <v>26</v>
      </c>
      <c r="E88" s="55">
        <f>IFERROR('Cash Flow Data'!G15,0)</f>
        <v>189</v>
      </c>
      <c r="F88" s="55">
        <f>IFERROR('Cash Flow Data'!H15,0)</f>
        <v>83</v>
      </c>
      <c r="G88" s="55">
        <f>IFERROR('Cash Flow Data'!I15,0)</f>
        <v>203</v>
      </c>
      <c r="H88" s="55">
        <f>IFERROR('Cash Flow Data'!J15,0)</f>
        <v>401</v>
      </c>
      <c r="I88" s="55">
        <f>IFERROR('Cash Flow Data'!K15,0)</f>
        <v>281</v>
      </c>
      <c r="J88" s="55">
        <f>IFERROR('Cash Flow Data'!L15,0)</f>
        <v>367</v>
      </c>
      <c r="K88" s="55">
        <f>IFERROR('Cash Flow Data'!M15,0)</f>
        <v>339</v>
      </c>
      <c r="L88" s="55">
        <f>IFERROR('Cash Flow Data'!N15,0)</f>
        <v>251</v>
      </c>
    </row>
    <row r="89" spans="2:12" outlineLevel="1" x14ac:dyDescent="0.25">
      <c r="B89" t="s">
        <v>136</v>
      </c>
      <c r="C89" s="55">
        <f>IFERROR('Cash Flow Data'!E16,0)</f>
        <v>0</v>
      </c>
      <c r="D89" s="55">
        <f>IFERROR('Cash Flow Data'!F16,0)</f>
        <v>-3003</v>
      </c>
      <c r="E89" s="55">
        <f>IFERROR('Cash Flow Data'!G16,0)</f>
        <v>-631</v>
      </c>
      <c r="F89" s="55">
        <f>IFERROR('Cash Flow Data'!H16,0)</f>
        <v>-240</v>
      </c>
      <c r="G89" s="55">
        <f>IFERROR('Cash Flow Data'!I16,0)</f>
        <v>-236</v>
      </c>
      <c r="H89" s="55">
        <f>IFERROR('Cash Flow Data'!J16,0)</f>
        <v>-235</v>
      </c>
      <c r="I89" s="55">
        <f>IFERROR('Cash Flow Data'!K16,0)</f>
        <v>-327</v>
      </c>
      <c r="J89" s="55">
        <f>IFERROR('Cash Flow Data'!L16,0)</f>
        <v>-836</v>
      </c>
      <c r="K89" s="55">
        <f>IFERROR('Cash Flow Data'!M16,0)</f>
        <v>-291</v>
      </c>
      <c r="L89" s="55">
        <f>IFERROR('Cash Flow Data'!N16,0)</f>
        <v>-8</v>
      </c>
    </row>
    <row r="90" spans="2:12" outlineLevel="1" x14ac:dyDescent="0.25">
      <c r="B90" t="s">
        <v>137</v>
      </c>
      <c r="C90" s="55">
        <f>IFERROR('Cash Flow Data'!E17,0)</f>
        <v>33</v>
      </c>
      <c r="D90" s="55">
        <f>IFERROR('Cash Flow Data'!F17,0)</f>
        <v>0</v>
      </c>
      <c r="E90" s="55">
        <f>IFERROR('Cash Flow Data'!G17,0)</f>
        <v>140</v>
      </c>
      <c r="F90" s="55">
        <f>IFERROR('Cash Flow Data'!H17,0)</f>
        <v>5010</v>
      </c>
      <c r="G90" s="55">
        <f>IFERROR('Cash Flow Data'!I17,0)</f>
        <v>0</v>
      </c>
      <c r="H90" s="55">
        <f>IFERROR('Cash Flow Data'!J17,0)</f>
        <v>0</v>
      </c>
      <c r="I90" s="55">
        <f>IFERROR('Cash Flow Data'!K17,0)</f>
        <v>0</v>
      </c>
      <c r="J90" s="55">
        <f>IFERROR('Cash Flow Data'!L17,0)</f>
        <v>0</v>
      </c>
      <c r="K90" s="55">
        <f>IFERROR('Cash Flow Data'!M17,0)</f>
        <v>0</v>
      </c>
      <c r="L90" s="55">
        <f>IFERROR('Cash Flow Data'!N17,0)</f>
        <v>32</v>
      </c>
    </row>
    <row r="91" spans="2:12" outlineLevel="1" x14ac:dyDescent="0.25">
      <c r="B91" t="s">
        <v>138</v>
      </c>
      <c r="C91" s="55">
        <f>IFERROR('Cash Flow Data'!E18,0)</f>
        <v>0</v>
      </c>
      <c r="D91" s="55">
        <f>IFERROR('Cash Flow Data'!F18,0)</f>
        <v>0</v>
      </c>
      <c r="E91" s="55">
        <f>IFERROR('Cash Flow Data'!G18,0)</f>
        <v>0</v>
      </c>
      <c r="F91" s="55">
        <f>IFERROR('Cash Flow Data'!H18,0)</f>
        <v>0</v>
      </c>
      <c r="G91" s="55">
        <f>IFERROR('Cash Flow Data'!I18,0)</f>
        <v>0</v>
      </c>
      <c r="H91" s="55">
        <f>IFERROR('Cash Flow Data'!J18,0)</f>
        <v>0</v>
      </c>
      <c r="I91" s="55">
        <f>IFERROR('Cash Flow Data'!K18,0)</f>
        <v>0</v>
      </c>
      <c r="J91" s="55">
        <f>IFERROR('Cash Flow Data'!L18,0)</f>
        <v>0</v>
      </c>
      <c r="K91" s="55">
        <f>IFERROR('Cash Flow Data'!M18,0)</f>
        <v>165</v>
      </c>
      <c r="L91" s="55">
        <f>IFERROR('Cash Flow Data'!N18,0)</f>
        <v>5</v>
      </c>
    </row>
    <row r="92" spans="2:12" outlineLevel="1" x14ac:dyDescent="0.25">
      <c r="B92" t="s">
        <v>139</v>
      </c>
      <c r="C92" s="55">
        <f>IFERROR('Cash Flow Data'!E19,0)</f>
        <v>2993</v>
      </c>
      <c r="D92" s="55">
        <f>IFERROR('Cash Flow Data'!F19,0)</f>
        <v>2892</v>
      </c>
      <c r="E92" s="55">
        <f>IFERROR('Cash Flow Data'!G19,0)</f>
        <v>2807</v>
      </c>
      <c r="F92" s="55">
        <f>IFERROR('Cash Flow Data'!H19,0)</f>
        <v>2465</v>
      </c>
      <c r="G92" s="55">
        <f>IFERROR('Cash Flow Data'!I19,0)</f>
        <v>1932</v>
      </c>
      <c r="H92" s="55">
        <f>IFERROR('Cash Flow Data'!J19,0)</f>
        <v>1797</v>
      </c>
      <c r="I92" s="55">
        <f>IFERROR('Cash Flow Data'!K19,0)</f>
        <v>1606</v>
      </c>
      <c r="J92" s="55">
        <f>IFERROR('Cash Flow Data'!L19,0)</f>
        <v>1509</v>
      </c>
      <c r="K92" s="55">
        <f>IFERROR('Cash Flow Data'!M19,0)</f>
        <v>2386</v>
      </c>
      <c r="L92" s="55">
        <f>IFERROR('Cash Flow Data'!N19,0)</f>
        <v>4416</v>
      </c>
    </row>
    <row r="93" spans="2:12" outlineLevel="1" x14ac:dyDescent="0.25">
      <c r="B93" t="s">
        <v>140</v>
      </c>
      <c r="C93" s="55">
        <f>IFERROR('Cash Flow Data'!E20,0)</f>
        <v>468</v>
      </c>
      <c r="D93" s="55">
        <f>IFERROR('Cash Flow Data'!F20,0)</f>
        <v>1025</v>
      </c>
      <c r="E93" s="55">
        <f>IFERROR('Cash Flow Data'!G20,0)</f>
        <v>1864</v>
      </c>
      <c r="F93" s="55">
        <f>IFERROR('Cash Flow Data'!H20,0)</f>
        <v>4599</v>
      </c>
      <c r="G93" s="55">
        <f>IFERROR('Cash Flow Data'!I20,0)</f>
        <v>6486</v>
      </c>
      <c r="H93" s="55">
        <f>IFERROR('Cash Flow Data'!J20,0)</f>
        <v>5032</v>
      </c>
      <c r="I93" s="55">
        <f>IFERROR('Cash Flow Data'!K20,0)</f>
        <v>4310</v>
      </c>
      <c r="J93" s="55">
        <f>IFERROR('Cash Flow Data'!L20,0)</f>
        <v>4388</v>
      </c>
      <c r="K93" s="55">
        <f>IFERROR('Cash Flow Data'!M20,0)</f>
        <v>3026</v>
      </c>
      <c r="L93" s="55">
        <f>IFERROR('Cash Flow Data'!N20,0)</f>
        <v>3657</v>
      </c>
    </row>
    <row r="94" spans="2:12" outlineLevel="1" x14ac:dyDescent="0.25">
      <c r="B94" t="s">
        <v>141</v>
      </c>
      <c r="C94" s="55">
        <f>IFERROR('Cash Flow Data'!E21,0)</f>
        <v>0</v>
      </c>
      <c r="D94" s="55">
        <f>IFERROR('Cash Flow Data'!F21,0)</f>
        <v>-708</v>
      </c>
      <c r="E94" s="55">
        <f>IFERROR('Cash Flow Data'!G21,0)</f>
        <v>-12482</v>
      </c>
      <c r="F94" s="55">
        <f>IFERROR('Cash Flow Data'!H21,0)</f>
        <v>-3368</v>
      </c>
      <c r="G94" s="55">
        <f>IFERROR('Cash Flow Data'!I21,0)</f>
        <v>-1468</v>
      </c>
      <c r="H94" s="55">
        <f>IFERROR('Cash Flow Data'!J21,0)</f>
        <v>-838</v>
      </c>
      <c r="I94" s="55">
        <f>IFERROR('Cash Flow Data'!K21,0)</f>
        <v>-2526</v>
      </c>
      <c r="J94" s="55">
        <f>IFERROR('Cash Flow Data'!L21,0)</f>
        <v>-2447</v>
      </c>
      <c r="K94" s="55">
        <f>IFERROR('Cash Flow Data'!M21,0)</f>
        <v>-3536</v>
      </c>
      <c r="L94" s="55">
        <f>IFERROR('Cash Flow Data'!N21,0)</f>
        <v>-3530</v>
      </c>
    </row>
    <row r="95" spans="2:12" outlineLevel="1" x14ac:dyDescent="0.25">
      <c r="B95" t="s">
        <v>142</v>
      </c>
      <c r="C95" s="55">
        <f>IFERROR('Cash Flow Data'!E22,0)</f>
        <v>-16655</v>
      </c>
      <c r="D95" s="55">
        <f>IFERROR('Cash Flow Data'!F22,0)</f>
        <v>-23368</v>
      </c>
      <c r="E95" s="55">
        <f>IFERROR('Cash Flow Data'!G22,0)</f>
        <v>-15177</v>
      </c>
      <c r="F95" s="55">
        <f>IFERROR('Cash Flow Data'!H22,0)</f>
        <v>-47532</v>
      </c>
      <c r="G95" s="55">
        <f>IFERROR('Cash Flow Data'!I22,0)</f>
        <v>-18085</v>
      </c>
      <c r="H95" s="55">
        <f>IFERROR('Cash Flow Data'!J22,0)</f>
        <v>-17058</v>
      </c>
      <c r="I95" s="55">
        <f>IFERROR('Cash Flow Data'!K22,0)</f>
        <v>-10165</v>
      </c>
      <c r="J95" s="55">
        <f>IFERROR('Cash Flow Data'!L22,0)</f>
        <v>-10721</v>
      </c>
      <c r="K95" s="55">
        <f>IFERROR('Cash Flow Data'!M22,0)</f>
        <v>-38060</v>
      </c>
      <c r="L95" s="55">
        <f>IFERROR('Cash Flow Data'!N22,0)</f>
        <v>-24112</v>
      </c>
    </row>
    <row r="96" spans="2:12" outlineLevel="1" x14ac:dyDescent="0.25">
      <c r="B96" s="41" t="s">
        <v>158</v>
      </c>
      <c r="C96" s="56">
        <f>SUM(C87:C95)</f>
        <v>-30058</v>
      </c>
      <c r="D96" s="56">
        <f t="shared" ref="D96" si="45">SUM(D87:D95)</f>
        <v>-38256</v>
      </c>
      <c r="E96" s="56">
        <f t="shared" ref="E96" si="46">SUM(E87:E95)</f>
        <v>-43814</v>
      </c>
      <c r="F96" s="56">
        <f t="shared" ref="F96" si="47">SUM(F87:F95)</f>
        <v>-66798</v>
      </c>
      <c r="G96" s="56">
        <f t="shared" ref="G96" si="48">SUM(G87:G95)</f>
        <v>-37131</v>
      </c>
      <c r="H96" s="56">
        <f t="shared" ref="H96" si="49">SUM(H87:H95)</f>
        <v>-53159</v>
      </c>
      <c r="I96" s="56">
        <f t="shared" ref="I96" si="50">SUM(I87:I95)</f>
        <v>-39140</v>
      </c>
      <c r="J96" s="56">
        <f t="shared" ref="J96" si="51">SUM(J87:J95)</f>
        <v>-41197</v>
      </c>
      <c r="K96" s="56">
        <f t="shared" ref="K96" si="52">SUM(K87:K95)</f>
        <v>-74690</v>
      </c>
      <c r="L96" s="56">
        <f t="shared" ref="L96" si="53">SUM(L87:L95)</f>
        <v>-57205</v>
      </c>
    </row>
    <row r="97" spans="2:12" outlineLevel="1" x14ac:dyDescent="0.25"/>
    <row r="98" spans="2:12" ht="15.75" outlineLevel="1" thickBot="1" x14ac:dyDescent="0.3">
      <c r="B98" s="53" t="s">
        <v>160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</row>
    <row r="99" spans="2:12" outlineLevel="1" x14ac:dyDescent="0.25">
      <c r="B99" t="s">
        <v>143</v>
      </c>
      <c r="C99" s="55">
        <f>IFERROR('Cash Flow Data'!E24,0)</f>
        <v>0</v>
      </c>
      <c r="D99" s="55">
        <f>IFERROR('Cash Flow Data'!F24,0)</f>
        <v>0</v>
      </c>
      <c r="E99" s="55">
        <f>IFERROR('Cash Flow Data'!G24,0)</f>
        <v>0</v>
      </c>
      <c r="F99" s="55">
        <f>IFERROR('Cash Flow Data'!H24,0)</f>
        <v>0</v>
      </c>
      <c r="G99" s="55">
        <f>IFERROR('Cash Flow Data'!I24,0)</f>
        <v>0</v>
      </c>
      <c r="H99" s="55">
        <f>IFERROR('Cash Flow Data'!J24,0)</f>
        <v>0</v>
      </c>
      <c r="I99" s="55">
        <f>IFERROR('Cash Flow Data'!K24,0)</f>
        <v>0</v>
      </c>
      <c r="J99" s="55">
        <f>IFERROR('Cash Flow Data'!L24,0)</f>
        <v>0</v>
      </c>
      <c r="K99" s="55">
        <f>IFERROR('Cash Flow Data'!M24,0)</f>
        <v>0</v>
      </c>
      <c r="L99" s="55">
        <f>IFERROR('Cash Flow Data'!N24,0)</f>
        <v>0</v>
      </c>
    </row>
    <row r="100" spans="2:12" outlineLevel="1" x14ac:dyDescent="0.25">
      <c r="B100" t="s">
        <v>144</v>
      </c>
      <c r="C100" s="55">
        <f>IFERROR('Cash Flow Data'!E25,0)</f>
        <v>0</v>
      </c>
      <c r="D100" s="55">
        <f>IFERROR('Cash Flow Data'!F25,0)</f>
        <v>4138</v>
      </c>
      <c r="E100" s="55">
        <f>IFERROR('Cash Flow Data'!G25,0)</f>
        <v>15991</v>
      </c>
      <c r="F100" s="55">
        <f>IFERROR('Cash Flow Data'!H25,0)</f>
        <v>33376</v>
      </c>
      <c r="G100" s="55">
        <f>IFERROR('Cash Flow Data'!I25,0)</f>
        <v>8230</v>
      </c>
      <c r="H100" s="55">
        <f>IFERROR('Cash Flow Data'!J25,0)</f>
        <v>27871</v>
      </c>
      <c r="I100" s="55">
        <f>IFERROR('Cash Flow Data'!K25,0)</f>
        <v>18834</v>
      </c>
      <c r="J100" s="55">
        <f>IFERROR('Cash Flow Data'!L25,0)</f>
        <v>17685</v>
      </c>
      <c r="K100" s="55">
        <f>IFERROR('Cash Flow Data'!M25,0)</f>
        <v>27701</v>
      </c>
      <c r="L100" s="55">
        <f>IFERROR('Cash Flow Data'!N25,0)</f>
        <v>22459</v>
      </c>
    </row>
    <row r="101" spans="2:12" outlineLevel="1" x14ac:dyDescent="0.25">
      <c r="B101" t="s">
        <v>145</v>
      </c>
      <c r="C101" s="55">
        <f>IFERROR('Cash Flow Data'!E26,0)</f>
        <v>0</v>
      </c>
      <c r="D101" s="55">
        <f>IFERROR('Cash Flow Data'!F26,0)</f>
        <v>-4332</v>
      </c>
      <c r="E101" s="55">
        <f>IFERROR('Cash Flow Data'!G26,0)</f>
        <v>0</v>
      </c>
      <c r="F101" s="55">
        <f>IFERROR('Cash Flow Data'!H26,0)</f>
        <v>-9316</v>
      </c>
      <c r="G101" s="55">
        <f>IFERROR('Cash Flow Data'!I26,0)</f>
        <v>-11362</v>
      </c>
      <c r="H101" s="55">
        <f>IFERROR('Cash Flow Data'!J26,0)</f>
        <v>-25460</v>
      </c>
      <c r="I101" s="55">
        <f>IFERROR('Cash Flow Data'!K26,0)</f>
        <v>-13534</v>
      </c>
      <c r="J101" s="55">
        <f>IFERROR('Cash Flow Data'!L26,0)</f>
        <v>-30679</v>
      </c>
      <c r="K101" s="55">
        <f>IFERROR('Cash Flow Data'!M26,0)</f>
        <v>-10267</v>
      </c>
      <c r="L101" s="55">
        <f>IFERROR('Cash Flow Data'!N26,0)</f>
        <v>-37880</v>
      </c>
    </row>
    <row r="102" spans="2:12" outlineLevel="1" x14ac:dyDescent="0.25">
      <c r="B102" t="s">
        <v>146</v>
      </c>
      <c r="C102" s="55">
        <f>IFERROR('Cash Flow Data'!E27,0)</f>
        <v>-3003</v>
      </c>
      <c r="D102" s="55">
        <f>IFERROR('Cash Flow Data'!F27,0)</f>
        <v>-2399</v>
      </c>
      <c r="E102" s="55">
        <f>IFERROR('Cash Flow Data'!G27,0)</f>
        <v>-2126</v>
      </c>
      <c r="F102" s="55">
        <f>IFERROR('Cash Flow Data'!H27,0)</f>
        <v>-2924</v>
      </c>
      <c r="G102" s="55">
        <f>IFERROR('Cash Flow Data'!I27,0)</f>
        <v>-4056</v>
      </c>
      <c r="H102" s="55">
        <f>IFERROR('Cash Flow Data'!J27,0)</f>
        <v>-4241</v>
      </c>
      <c r="I102" s="55">
        <f>IFERROR('Cash Flow Data'!K27,0)</f>
        <v>-3834</v>
      </c>
      <c r="J102" s="55">
        <f>IFERROR('Cash Flow Data'!L27,0)</f>
        <v>-4343</v>
      </c>
      <c r="K102" s="55">
        <f>IFERROR('Cash Flow Data'!M27,0)</f>
        <v>-6134</v>
      </c>
      <c r="L102" s="55">
        <f>IFERROR('Cash Flow Data'!N27,0)</f>
        <v>-9364</v>
      </c>
    </row>
    <row r="103" spans="2:12" outlineLevel="1" x14ac:dyDescent="0.25">
      <c r="B103" t="s">
        <v>147</v>
      </c>
      <c r="C103" s="55">
        <f>IFERROR('Cash Flow Data'!E28,0)</f>
        <v>-7920</v>
      </c>
      <c r="D103" s="55">
        <f>IFERROR('Cash Flow Data'!F28,0)</f>
        <v>-4917</v>
      </c>
      <c r="E103" s="55">
        <f>IFERROR('Cash Flow Data'!G28,0)</f>
        <v>-15350</v>
      </c>
      <c r="F103" s="55">
        <f>IFERROR('Cash Flow Data'!H28,0)</f>
        <v>-9496</v>
      </c>
      <c r="G103" s="55">
        <f>IFERROR('Cash Flow Data'!I28,0)</f>
        <v>-10086</v>
      </c>
      <c r="H103" s="55">
        <f>IFERROR('Cash Flow Data'!J28,0)</f>
        <v>-8297</v>
      </c>
      <c r="I103" s="55">
        <f>IFERROR('Cash Flow Data'!K28,0)</f>
        <v>-3096</v>
      </c>
      <c r="J103" s="55">
        <f>IFERROR('Cash Flow Data'!L28,0)</f>
        <v>-12924</v>
      </c>
      <c r="K103" s="55">
        <f>IFERROR('Cash Flow Data'!M28,0)</f>
        <v>-17609</v>
      </c>
      <c r="L103" s="55">
        <f>IFERROR('Cash Flow Data'!N28,0)</f>
        <v>-12895</v>
      </c>
    </row>
    <row r="104" spans="2:12" outlineLevel="1" x14ac:dyDescent="0.25">
      <c r="B104" t="s">
        <v>148</v>
      </c>
      <c r="C104" s="55">
        <f>IFERROR('Cash Flow Data'!E29,0)</f>
        <v>0</v>
      </c>
      <c r="D104" s="55">
        <f>IFERROR('Cash Flow Data'!F29,0)</f>
        <v>0</v>
      </c>
      <c r="E104" s="55">
        <f>IFERROR('Cash Flow Data'!G29,0)</f>
        <v>0</v>
      </c>
      <c r="F104" s="55">
        <f>IFERROR('Cash Flow Data'!H29,0)</f>
        <v>0</v>
      </c>
      <c r="G104" s="55">
        <f>IFERROR('Cash Flow Data'!I29,0)</f>
        <v>0</v>
      </c>
      <c r="H104" s="55">
        <f>IFERROR('Cash Flow Data'!J29,0)</f>
        <v>-5038</v>
      </c>
      <c r="I104" s="55">
        <f>IFERROR('Cash Flow Data'!K29,0)</f>
        <v>-5688</v>
      </c>
      <c r="J104" s="55">
        <f>IFERROR('Cash Flow Data'!L29,0)</f>
        <v>-5250</v>
      </c>
      <c r="K104" s="55">
        <f>IFERROR('Cash Flow Data'!M29,0)</f>
        <v>-5948</v>
      </c>
      <c r="L104" s="55">
        <f>IFERROR('Cash Flow Data'!N29,0)</f>
        <v>-7362</v>
      </c>
    </row>
    <row r="105" spans="2:12" outlineLevel="1" x14ac:dyDescent="0.25">
      <c r="B105" t="s">
        <v>149</v>
      </c>
      <c r="C105" s="55">
        <f>IFERROR('Cash Flow Data'!E30,0)</f>
        <v>0</v>
      </c>
      <c r="D105" s="55">
        <f>IFERROR('Cash Flow Data'!F30,0)</f>
        <v>0</v>
      </c>
      <c r="E105" s="55">
        <f>IFERROR('Cash Flow Data'!G30,0)</f>
        <v>0</v>
      </c>
      <c r="F105" s="55">
        <f>IFERROR('Cash Flow Data'!H30,0)</f>
        <v>0</v>
      </c>
      <c r="G105" s="55">
        <f>IFERROR('Cash Flow Data'!I30,0)</f>
        <v>0</v>
      </c>
      <c r="H105" s="55">
        <f>IFERROR('Cash Flow Data'!J30,0)</f>
        <v>0</v>
      </c>
      <c r="I105" s="55">
        <f>IFERROR('Cash Flow Data'!K30,0)</f>
        <v>0</v>
      </c>
      <c r="J105" s="55">
        <f>IFERROR('Cash Flow Data'!L30,0)</f>
        <v>0</v>
      </c>
      <c r="K105" s="55">
        <f>IFERROR('Cash Flow Data'!M30,0)</f>
        <v>0</v>
      </c>
      <c r="L105" s="55">
        <f>IFERROR('Cash Flow Data'!N30,0)</f>
        <v>0</v>
      </c>
    </row>
    <row r="106" spans="2:12" outlineLevel="1" x14ac:dyDescent="0.25">
      <c r="B106" t="s">
        <v>150</v>
      </c>
      <c r="C106" s="55">
        <f>IFERROR('Cash Flow Data'!E31,0)</f>
        <v>283</v>
      </c>
      <c r="D106" s="55">
        <f>IFERROR('Cash Flow Data'!F31,0)</f>
        <v>-1462</v>
      </c>
      <c r="E106" s="55">
        <f>IFERROR('Cash Flow Data'!G31,0)</f>
        <v>-382</v>
      </c>
      <c r="F106" s="55">
        <f>IFERROR('Cash Flow Data'!H31,0)</f>
        <v>-1731</v>
      </c>
      <c r="G106" s="55">
        <f>IFERROR('Cash Flow Data'!I31,0)</f>
        <v>-6051</v>
      </c>
      <c r="H106" s="55">
        <f>IFERROR('Cash Flow Data'!J31,0)</f>
        <v>-1561</v>
      </c>
      <c r="I106" s="55">
        <f>IFERROR('Cash Flow Data'!K31,0)</f>
        <v>-921</v>
      </c>
      <c r="J106" s="55">
        <f>IFERROR('Cash Flow Data'!L31,0)</f>
        <v>-278</v>
      </c>
      <c r="K106" s="55">
        <f>IFERROR('Cash Flow Data'!M31,0)</f>
        <v>-619</v>
      </c>
      <c r="L106" s="55">
        <f>IFERROR('Cash Flow Data'!N31,0)</f>
        <v>-609</v>
      </c>
    </row>
    <row r="107" spans="2:12" outlineLevel="1" x14ac:dyDescent="0.25">
      <c r="B107" s="41" t="s">
        <v>159</v>
      </c>
      <c r="C107" s="56">
        <f>SUM(C98:C106)</f>
        <v>-10640</v>
      </c>
      <c r="D107" s="56">
        <f t="shared" ref="D107" si="54">SUM(D98:D106)</f>
        <v>-8972</v>
      </c>
      <c r="E107" s="56">
        <f t="shared" ref="E107" si="55">SUM(E98:E106)</f>
        <v>-1867</v>
      </c>
      <c r="F107" s="56">
        <f t="shared" ref="F107" si="56">SUM(F98:F106)</f>
        <v>9909</v>
      </c>
      <c r="G107" s="56">
        <f t="shared" ref="G107" si="57">SUM(G98:G106)</f>
        <v>-23325</v>
      </c>
      <c r="H107" s="56">
        <f t="shared" ref="H107" si="58">SUM(H98:H106)</f>
        <v>-16726</v>
      </c>
      <c r="I107" s="56">
        <f t="shared" ref="I107" si="59">SUM(I98:I106)</f>
        <v>-8239</v>
      </c>
      <c r="J107" s="56">
        <f t="shared" ref="J107" si="60">SUM(J98:J106)</f>
        <v>-35789</v>
      </c>
      <c r="K107" s="56">
        <f t="shared" ref="K107" si="61">SUM(K98:K106)</f>
        <v>-12876</v>
      </c>
      <c r="L107" s="56">
        <f t="shared" ref="L107" si="62">SUM(L98:L106)</f>
        <v>-45651</v>
      </c>
    </row>
    <row r="108" spans="2:12" outlineLevel="1" x14ac:dyDescent="0.25"/>
    <row r="109" spans="2:12" outlineLevel="1" x14ac:dyDescent="0.25">
      <c r="B109" s="41" t="s">
        <v>35</v>
      </c>
      <c r="C109" s="56">
        <f>C107+C96+C84</f>
        <v>-18382</v>
      </c>
      <c r="D109" s="56">
        <f t="shared" ref="D109:L109" si="63">D107+D96+D84</f>
        <v>6251</v>
      </c>
      <c r="E109" s="56">
        <f t="shared" si="63"/>
        <v>-2574</v>
      </c>
      <c r="F109" s="56">
        <f t="shared" si="63"/>
        <v>155</v>
      </c>
      <c r="G109" s="56">
        <f t="shared" si="63"/>
        <v>-8817</v>
      </c>
      <c r="H109" s="56">
        <f t="shared" si="63"/>
        <v>13410</v>
      </c>
      <c r="I109" s="56">
        <f t="shared" si="63"/>
        <v>-4135</v>
      </c>
      <c r="J109" s="56">
        <f t="shared" si="63"/>
        <v>4978</v>
      </c>
      <c r="K109" s="56">
        <f t="shared" si="63"/>
        <v>7204</v>
      </c>
      <c r="L109" s="56">
        <f t="shared" si="63"/>
        <v>-3458</v>
      </c>
    </row>
    <row r="110" spans="2:12" outlineLevel="1" x14ac:dyDescent="0.25"/>
  </sheetData>
  <mergeCells count="1">
    <mergeCell ref="B2:M2"/>
  </mergeCells>
  <pageMargins left="0.7" right="0.7" top="0.75" bottom="0.75" header="0.3" footer="0.3"/>
  <pageSetup paperSize="50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O43"/>
  <sheetViews>
    <sheetView showGridLines="0" zoomScale="160" zoomScaleNormal="160" workbookViewId="0">
      <pane ySplit="3" topLeftCell="A4" activePane="bottomLeft" state="frozen"/>
      <selection pane="bottomLeft" activeCell="D7" sqref="D7"/>
    </sheetView>
  </sheetViews>
  <sheetFormatPr defaultRowHeight="15" x14ac:dyDescent="0.25"/>
  <cols>
    <col min="1" max="1" width="1.85546875" customWidth="1"/>
    <col min="2" max="2" width="28.5703125" customWidth="1"/>
    <col min="3" max="3" width="12.42578125" bestFit="1" customWidth="1"/>
    <col min="15" max="15" width="16.7109375" customWidth="1"/>
  </cols>
  <sheetData>
    <row r="2" spans="2:15" x14ac:dyDescent="0.25">
      <c r="B2" s="252" t="str">
        <f>"Ratio Analysis - "&amp;'Profit &amp; Loss'!A1</f>
        <v>Ratio Analysis - OIL &amp; NATURAL GAS CORPN LTD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</row>
    <row r="3" spans="2:15" s="43" customFormat="1" x14ac:dyDescent="0.25">
      <c r="B3" s="133" t="s">
        <v>93</v>
      </c>
      <c r="C3" s="134">
        <f>Annual[[#This Row],[Column2]]</f>
        <v>42094</v>
      </c>
      <c r="D3" s="134">
        <f>Annual[[#This Row],[Column3]]</f>
        <v>42460</v>
      </c>
      <c r="E3" s="134">
        <f>Annual[[#This Row],[Column4]]</f>
        <v>42825</v>
      </c>
      <c r="F3" s="134">
        <f>Annual[[#This Row],[Column5]]</f>
        <v>43190</v>
      </c>
      <c r="G3" s="134">
        <f>Annual[[#This Row],[Column6]]</f>
        <v>43555</v>
      </c>
      <c r="H3" s="134">
        <f>Annual[[#This Row],[Column7]]</f>
        <v>43921</v>
      </c>
      <c r="I3" s="134">
        <f>Annual[[#This Row],[Column8]]</f>
        <v>44286</v>
      </c>
      <c r="J3" s="134">
        <f>Annual[[#This Row],[Column9]]</f>
        <v>44651</v>
      </c>
      <c r="K3" s="134">
        <f>Annual[[#This Row],[Column10]]</f>
        <v>45016</v>
      </c>
      <c r="L3" s="134">
        <f>Annual[[#This Row],[Column11]]</f>
        <v>45382</v>
      </c>
      <c r="M3" s="135" t="s">
        <v>185</v>
      </c>
      <c r="N3" s="135" t="s">
        <v>186</v>
      </c>
      <c r="O3" s="96" t="s">
        <v>193</v>
      </c>
    </row>
    <row r="5" spans="2:15" x14ac:dyDescent="0.25">
      <c r="B5" s="11" t="s">
        <v>22</v>
      </c>
      <c r="C5" s="11"/>
      <c r="D5" s="58">
        <f>IFERROR('Historical FS'!D8,0)</f>
        <v>-0.22922150668171992</v>
      </c>
      <c r="E5" s="58">
        <f>IFERROR('Historical FS'!E8,0)</f>
        <v>1.277619163061992</v>
      </c>
      <c r="F5" s="58">
        <f>IFERROR('Historical FS'!F8,0)</f>
        <v>0.14229656838218485</v>
      </c>
      <c r="G5" s="58">
        <f>IFERROR('Historical FS'!G8,0)</f>
        <v>0.30652743849381547</v>
      </c>
      <c r="H5" s="58">
        <f>IFERROR('Historical FS'!H8,0)</f>
        <v>-5.9047929276689781E-2</v>
      </c>
      <c r="I5" s="58">
        <f>IFERROR('Historical FS'!I8,0)</f>
        <v>-0.23411259369173198</v>
      </c>
      <c r="J5" s="58">
        <f>IFERROR('Historical FS'!J8,0)</f>
        <v>0.61674511190446601</v>
      </c>
      <c r="K5" s="58">
        <f>IFERROR('Historical FS'!K8,0)</f>
        <v>0.28711657925361433</v>
      </c>
      <c r="L5" s="58">
        <f>IFERROR('Historical FS'!L8,0)</f>
        <v>-6.4677353240954694E-2</v>
      </c>
      <c r="M5" s="58">
        <f>AVERAGE(C5:L5)</f>
        <v>0.22702727535610848</v>
      </c>
      <c r="N5" s="58">
        <f>MEDIAN(D5:L5)</f>
        <v>0.14229656838218485</v>
      </c>
    </row>
    <row r="6" spans="2:15" x14ac:dyDescent="0.25">
      <c r="B6" s="11" t="s">
        <v>161</v>
      </c>
      <c r="C6" s="11"/>
      <c r="D6" s="58">
        <f>IFERROR('Historical FS'!D19/'Historical FS'!C19-1,0)</f>
        <v>-7.5100821699212172E-2</v>
      </c>
      <c r="E6" s="58">
        <f>IFERROR('Historical FS'!E19/'Historical FS'!D19-1,0)</f>
        <v>0.34928246415003716</v>
      </c>
      <c r="F6" s="58">
        <f>IFERROR('Historical FS'!F19/'Historical FS'!E19-1,0)</f>
        <v>7.7369432844346164E-2</v>
      </c>
      <c r="G6" s="58">
        <f>IFERROR('Historical FS'!G19/'Historical FS'!F19-1,0)</f>
        <v>0.31517360279814777</v>
      </c>
      <c r="H6" s="58">
        <f>IFERROR('Historical FS'!H19/'Historical FS'!G19-1,0)</f>
        <v>-0.30358616174850828</v>
      </c>
      <c r="I6" s="58">
        <f>IFERROR('Historical FS'!I19/'Historical FS'!H19-1,0)</f>
        <v>-5.0504577489521751E-2</v>
      </c>
      <c r="J6" s="58">
        <f>IFERROR('Historical FS'!J19/'Historical FS'!I19-1,0)</f>
        <v>0.61447415017027285</v>
      </c>
      <c r="K6" s="58">
        <f>IFERROR('Historical FS'!K19/'Historical FS'!J19-1,0)</f>
        <v>-5.4418488013370347E-2</v>
      </c>
      <c r="L6" s="58">
        <f>IFERROR('Historical FS'!L19/'Historical FS'!K19-1,0)</f>
        <v>0.36157206847512247</v>
      </c>
      <c r="M6" s="58">
        <f t="shared" ref="M6:M31" si="0">AVERAGE(C6:L6)</f>
        <v>0.13714018549859042</v>
      </c>
      <c r="N6" s="58">
        <f t="shared" ref="N6:N31" si="1">MEDIAN(D6:L6)</f>
        <v>7.7369432844346164E-2</v>
      </c>
    </row>
    <row r="7" spans="2:15" x14ac:dyDescent="0.25">
      <c r="B7" s="11" t="s">
        <v>162</v>
      </c>
      <c r="C7" s="11"/>
      <c r="D7" s="58">
        <f>IFERROR('Historical FS'!D28/'Historical FS'!C28-1,0)</f>
        <v>-0.11349717028708073</v>
      </c>
      <c r="E7" s="58">
        <f>IFERROR('Historical FS'!E28/'Historical FS'!D28-1,0)</f>
        <v>0.52717278228747877</v>
      </c>
      <c r="F7" s="58">
        <f>IFERROR('Historical FS'!F28/'Historical FS'!E28-1,0)</f>
        <v>-7.4241136591269852E-3</v>
      </c>
      <c r="G7" s="58">
        <f>IFERROR('Historical FS'!G28/'Historical FS'!F28-1,0)</f>
        <v>0.5733680912332324</v>
      </c>
      <c r="H7" s="58">
        <f>IFERROR('Historical FS'!H28/'Historical FS'!G28-1,0)</f>
        <v>-0.60288578081988542</v>
      </c>
      <c r="I7" s="58">
        <f>IFERROR('Historical FS'!I28/'Historical FS'!H28-1,0)</f>
        <v>4.8673137286745494E-2</v>
      </c>
      <c r="J7" s="58">
        <f>IFERROR('Historical FS'!J28/'Historical FS'!I28-1,0)</f>
        <v>1.5081958258246475</v>
      </c>
      <c r="K7" s="58">
        <f>IFERROR('Historical FS'!K28/'Historical FS'!J28-1,0)</f>
        <v>-8.9097670992264955E-2</v>
      </c>
      <c r="L7" s="58">
        <f>IFERROR('Historical FS'!L28/'Historical FS'!K28-1,0)</f>
        <v>0.48276868202997014</v>
      </c>
      <c r="M7" s="58">
        <f t="shared" si="0"/>
        <v>0.25858597587819065</v>
      </c>
      <c r="N7" s="58">
        <f t="shared" si="1"/>
        <v>4.8673137286745494E-2</v>
      </c>
    </row>
    <row r="8" spans="2:15" x14ac:dyDescent="0.25">
      <c r="B8" s="11" t="s">
        <v>163</v>
      </c>
      <c r="C8" s="11"/>
      <c r="D8" s="58">
        <f>IFERROR('Historical FS'!D34/'Historical FS'!C34-1,0)</f>
        <v>2.6975155719440425E-2</v>
      </c>
      <c r="E8" s="58">
        <f>IFERROR('Historical FS'!E34/'Historical FS'!D34-1,0)</f>
        <v>0.36650687327627685</v>
      </c>
      <c r="F8" s="58">
        <f>IFERROR('Historical FS'!F34/'Historical FS'!E34-1,0)</f>
        <v>-4.9033319671581976E-2</v>
      </c>
      <c r="G8" s="58">
        <f>IFERROR('Historical FS'!G34/'Historical FS'!F34-1,0)</f>
        <v>0.55838282095764358</v>
      </c>
      <c r="H8" s="58">
        <f>IFERROR('Historical FS'!H34/'Historical FS'!G34-1,0)</f>
        <v>-0.57020193337056468</v>
      </c>
      <c r="I8" s="58">
        <f>IFERROR('Historical FS'!I34/'Historical FS'!H34-1,0)</f>
        <v>-3.6739455653070352E-2</v>
      </c>
      <c r="J8" s="58">
        <f>IFERROR('Historical FS'!J34/'Historical FS'!I34-1,0)</f>
        <v>3.2119370766739301</v>
      </c>
      <c r="K8" s="58">
        <f>IFERROR('Historical FS'!K34/'Historical FS'!J34-1,0)</f>
        <v>-0.22801257019555032</v>
      </c>
      <c r="L8" s="58">
        <f>IFERROR('Historical FS'!L34/'Historical FS'!K34-1,0)</f>
        <v>0.34479608576352216</v>
      </c>
      <c r="M8" s="58">
        <f t="shared" si="0"/>
        <v>0.40273452594444953</v>
      </c>
      <c r="N8" s="58">
        <f t="shared" si="1"/>
        <v>2.6975155719440425E-2</v>
      </c>
    </row>
    <row r="9" spans="2:15" x14ac:dyDescent="0.25">
      <c r="B9" s="59" t="s">
        <v>164</v>
      </c>
      <c r="C9" s="59"/>
      <c r="D9" s="60">
        <f>IFERROR('Historical FS'!D42/'Historical FS'!C42-1,0)</f>
        <v>-0.1052629636282657</v>
      </c>
      <c r="E9" s="60">
        <f>IFERROR('Historical FS'!E42/'Historical FS'!D42-1,0)</f>
        <v>0.33235105243399854</v>
      </c>
      <c r="F9" s="60">
        <f>IFERROR('Historical FS'!F42/'Historical FS'!E42-1,0)</f>
        <v>-0.12582786241460775</v>
      </c>
      <c r="G9" s="60">
        <f>IFERROR('Historical FS'!G42/'Historical FS'!F42-1,0)</f>
        <v>6.0601302250898437E-2</v>
      </c>
      <c r="H9" s="60">
        <f>IFERROR('Historical FS'!H42/'Historical FS'!G42-1,0)</f>
        <v>-0.28571428571428559</v>
      </c>
      <c r="I9" s="60">
        <f>IFERROR('Historical FS'!I42/'Historical FS'!H42-1,0)</f>
        <v>-0.28000127182976564</v>
      </c>
      <c r="J9" s="60">
        <f>IFERROR('Historical FS'!J42/'Historical FS'!I42-1,0)</f>
        <v>1.9166662986597194</v>
      </c>
      <c r="K9" s="60">
        <f>IFERROR('Historical FS'!K42/'Historical FS'!J42-1,0)</f>
        <v>7.1429274397033948E-2</v>
      </c>
      <c r="L9" s="60">
        <f>IFERROR('Historical FS'!L42/'Historical FS'!K42-1,0)</f>
        <v>8.8888292227273569E-2</v>
      </c>
      <c r="M9" s="60">
        <f t="shared" si="0"/>
        <v>0.18590331515355546</v>
      </c>
      <c r="N9" s="60">
        <f t="shared" si="1"/>
        <v>6.0601302250898437E-2</v>
      </c>
      <c r="O9" s="59"/>
    </row>
    <row r="10" spans="2:15" x14ac:dyDescent="0.25">
      <c r="M10" s="58"/>
      <c r="N10" s="58"/>
    </row>
    <row r="11" spans="2:15" x14ac:dyDescent="0.25">
      <c r="B11" s="11" t="s">
        <v>168</v>
      </c>
      <c r="C11" s="58">
        <f>IFERROR('Historical FS'!C14,0)</f>
        <v>0.49015812815400006</v>
      </c>
      <c r="D11" s="58">
        <f>IFERROR('Historical FS'!D14,0)</f>
        <v>0.54108820758151022</v>
      </c>
      <c r="E11" s="58">
        <f>IFERROR('Historical FS'!E14,0)</f>
        <v>0.27811051591061159</v>
      </c>
      <c r="F11" s="58">
        <f>IFERROR('Historical FS'!F14,0)</f>
        <v>0.26307227983783121</v>
      </c>
      <c r="G11" s="58">
        <f>IFERROR('Historical FS'!G14,0)</f>
        <v>0.26570448693460069</v>
      </c>
      <c r="H11" s="58">
        <f>IFERROR('Historical FS'!H14,0)</f>
        <v>0.21941272042090501</v>
      </c>
      <c r="I11" s="58">
        <f>IFERROR('Historical FS'!I14,0)</f>
        <v>0.23742316534885707</v>
      </c>
      <c r="J11" s="58">
        <f>IFERROR('Historical FS'!J14,0)</f>
        <v>0.23213975133936898</v>
      </c>
      <c r="K11" s="58">
        <f>IFERROR('Historical FS'!K14,0)</f>
        <v>0.19679164273650013</v>
      </c>
      <c r="L11" s="58">
        <f>IFERROR('Historical FS'!L14,0)</f>
        <v>0.2333146307012493</v>
      </c>
      <c r="M11" s="58">
        <f t="shared" si="0"/>
        <v>0.29572155289654345</v>
      </c>
      <c r="N11" s="58">
        <f t="shared" si="1"/>
        <v>0.23742316534885707</v>
      </c>
    </row>
    <row r="12" spans="2:15" x14ac:dyDescent="0.25">
      <c r="B12" s="11" t="s">
        <v>169</v>
      </c>
      <c r="C12" s="58">
        <f>IFERROR('Historical FS'!C20,0)</f>
        <v>0.26293578081990215</v>
      </c>
      <c r="D12" s="58">
        <f>IFERROR('Historical FS'!D20,0)</f>
        <v>0.31551099276168137</v>
      </c>
      <c r="E12" s="58">
        <f>IFERROR('Historical FS'!E20,0)</f>
        <v>0.18691160343399293</v>
      </c>
      <c r="F12" s="58">
        <f>IFERROR('Historical FS'!F20,0)</f>
        <v>0.17628771175327021</v>
      </c>
      <c r="G12" s="58">
        <f>IFERROR('Historical FS'!G20,0)</f>
        <v>0.17745432523244112</v>
      </c>
      <c r="H12" s="58">
        <f>IFERROR('Historical FS'!H20,0)</f>
        <v>0.13133681469498823</v>
      </c>
      <c r="I12" s="58">
        <f>IFERROR('Historical FS'!I20,0)</f>
        <v>0.16282250280246188</v>
      </c>
      <c r="J12" s="58">
        <f>IFERROR('Historical FS'!J20,0)</f>
        <v>0.16259379410211866</v>
      </c>
      <c r="K12" s="58">
        <f>IFERROR('Historical FS'!K20,0)</f>
        <v>0.11944969721070615</v>
      </c>
      <c r="L12" s="58">
        <f>IFERROR('Historical FS'!L20,0)</f>
        <v>0.17388584770556384</v>
      </c>
      <c r="M12" s="58">
        <f t="shared" si="0"/>
        <v>0.18691890705171266</v>
      </c>
      <c r="N12" s="58">
        <f t="shared" si="1"/>
        <v>0.17388584770556384</v>
      </c>
    </row>
    <row r="13" spans="2:15" x14ac:dyDescent="0.25">
      <c r="B13" s="11" t="s">
        <v>170</v>
      </c>
      <c r="C13" s="58">
        <f>IFERROR(('Historical FS'!C19-'Historical FS'!C25)/'Historical FS'!C7,0)</f>
        <v>0.15087591155601238</v>
      </c>
      <c r="D13" s="58">
        <f>IFERROR(('Historical FS'!D19-'Historical FS'!D25)/'Historical FS'!D7,0)</f>
        <v>0.18341951684720481</v>
      </c>
      <c r="E13" s="58">
        <f>IFERROR(('Historical FS'!E19-'Historical FS'!E25)/'Historical FS'!E7,0)</f>
        <v>0.11534076201042159</v>
      </c>
      <c r="F13" s="58">
        <f>IFERROR(('Historical FS'!F19-'Historical FS'!F25)/'Historical FS'!F7,0)</f>
        <v>0.10466856866763083</v>
      </c>
      <c r="G13" s="58">
        <f>IFERROR(('Historical FS'!G19-'Historical FS'!G25)/'Historical FS'!G7,0)</f>
        <v>0.12123431893441151</v>
      </c>
      <c r="H13" s="58">
        <f>IFERROR(('Historical FS'!H19-'Historical FS'!H25)/'Historical FS'!H7,0)</f>
        <v>6.4200423912701199E-2</v>
      </c>
      <c r="I13" s="58">
        <f>IFERROR(('Historical FS'!I19-'Historical FS'!I25)/'Historical FS'!I7,0)</f>
        <v>7.8772604450020864E-2</v>
      </c>
      <c r="J13" s="58">
        <f>IFERROR(('Historical FS'!J19-'Historical FS'!J25)/'Historical FS'!J7,0)</f>
        <v>0.10786938542267513</v>
      </c>
      <c r="K13" s="58">
        <f>IFERROR(('Historical FS'!K19-'Historical FS'!K25)/'Historical FS'!K7,0)</f>
        <v>8.0611483462413799E-2</v>
      </c>
      <c r="L13" s="58">
        <f>IFERROR(('Historical FS'!L19-'Historical FS'!L25)/'Historical FS'!L7,0)</f>
        <v>0.12525052153694721</v>
      </c>
      <c r="M13" s="58">
        <f t="shared" si="0"/>
        <v>0.11322434968004394</v>
      </c>
      <c r="N13" s="58">
        <f t="shared" si="1"/>
        <v>0.10786938542267513</v>
      </c>
    </row>
    <row r="14" spans="2:15" x14ac:dyDescent="0.25">
      <c r="B14" s="11" t="s">
        <v>172</v>
      </c>
      <c r="C14" s="58">
        <f>IFERROR('Historical FS'!C29,0)</f>
        <v>0.1330800936400249</v>
      </c>
      <c r="D14" s="58">
        <f>IFERROR('Historical FS'!D29,0)</f>
        <v>0.15306067905766824</v>
      </c>
      <c r="E14" s="58">
        <f>IFERROR('Historical FS'!E29,0)</f>
        <v>0.10262914313605459</v>
      </c>
      <c r="F14" s="58">
        <f>IFERROR('Historical FS'!F29,0)</f>
        <v>8.9177552951022615E-2</v>
      </c>
      <c r="G14" s="58">
        <f>IFERROR('Historical FS'!G29,0)</f>
        <v>0.10739086844525166</v>
      </c>
      <c r="H14" s="58">
        <f>IFERROR('Historical FS'!H29,0)</f>
        <v>4.53226494702628E-2</v>
      </c>
      <c r="I14" s="58">
        <f>IFERROR('Historical FS'!I29,0)</f>
        <v>6.2056961139008167E-2</v>
      </c>
      <c r="J14" s="58">
        <f>IFERROR('Historical FS'!J29,0)</f>
        <v>9.6274304308161154E-2</v>
      </c>
      <c r="K14" s="58">
        <f>IFERROR('Historical FS'!K29,0)</f>
        <v>6.8134067598412659E-2</v>
      </c>
      <c r="L14" s="58">
        <f>IFERROR('Historical FS'!L29,0)</f>
        <v>0.10801306048164734</v>
      </c>
      <c r="M14" s="58">
        <f t="shared" si="0"/>
        <v>9.6513938022751419E-2</v>
      </c>
      <c r="N14" s="58">
        <f t="shared" si="1"/>
        <v>9.6274304308161154E-2</v>
      </c>
    </row>
    <row r="15" spans="2:15" x14ac:dyDescent="0.25">
      <c r="B15" s="59" t="s">
        <v>171</v>
      </c>
      <c r="C15" s="60">
        <f>IFERROR('Historical FS'!C35,0)</f>
        <v>7.2818778016567581E-2</v>
      </c>
      <c r="D15" s="60">
        <f>IFERROR('Historical FS'!D35,0)</f>
        <v>9.7022784809310245E-2</v>
      </c>
      <c r="E15" s="60">
        <f>IFERROR('Historical FS'!E35,0)</f>
        <v>5.8210917986871086E-2</v>
      </c>
      <c r="F15" s="60">
        <f>IFERROR('Historical FS'!F35,0)</f>
        <v>4.8460833175088029E-2</v>
      </c>
      <c r="G15" s="60">
        <f>IFERROR('Historical FS'!G35,0)</f>
        <v>5.7802482890380508E-2</v>
      </c>
      <c r="H15" s="60">
        <f>IFERROR('Historical FS'!H35,0)</f>
        <v>2.6402402593757437E-2</v>
      </c>
      <c r="I15" s="60">
        <f>IFERROR('Historical FS'!I35,0)</f>
        <v>3.3206438028689944E-2</v>
      </c>
      <c r="J15" s="60">
        <f>IFERROR('Historical FS'!J35,0)</f>
        <v>8.6509262645959331E-2</v>
      </c>
      <c r="K15" s="60">
        <f>IFERROR('Historical FS'!K35,0)</f>
        <v>5.1886569096219408E-2</v>
      </c>
      <c r="L15" s="60">
        <f>IFERROR('Historical FS'!L35,0)</f>
        <v>7.4601909048258155E-2</v>
      </c>
      <c r="M15" s="60">
        <f t="shared" si="0"/>
        <v>6.0692237829110166E-2</v>
      </c>
      <c r="N15" s="60">
        <f t="shared" si="1"/>
        <v>5.7802482890380508E-2</v>
      </c>
      <c r="O15" s="59"/>
    </row>
    <row r="16" spans="2:15" x14ac:dyDescent="0.25">
      <c r="M16" s="58"/>
      <c r="N16" s="58"/>
    </row>
    <row r="17" spans="2:15" x14ac:dyDescent="0.25">
      <c r="B17" t="s">
        <v>165</v>
      </c>
      <c r="C17" s="57">
        <f>IFERROR('Historical FS'!C17,0)</f>
        <v>0.22722234733409791</v>
      </c>
      <c r="D17" s="57">
        <f>IFERROR('Historical FS'!D17,0)</f>
        <v>0.22557721481982887</v>
      </c>
      <c r="E17" s="57">
        <f>IFERROR('Historical FS'!E17,0)</f>
        <v>9.1198912476618654E-2</v>
      </c>
      <c r="F17" s="57">
        <f>IFERROR('Historical FS'!F17,0)</f>
        <v>8.678456808456099E-2</v>
      </c>
      <c r="G17" s="57">
        <f>IFERROR('Historical FS'!G17,0)</f>
        <v>8.825016170215956E-2</v>
      </c>
      <c r="H17" s="57">
        <f>IFERROR('Historical FS'!H17,0)</f>
        <v>8.8075905725916795E-2</v>
      </c>
      <c r="I17" s="57">
        <f>IFERROR('Historical FS'!I17,0)</f>
        <v>7.4600662546395191E-2</v>
      </c>
      <c r="J17" s="57">
        <f>IFERROR('Historical FS'!J17,0)</f>
        <v>6.9545957237250308E-2</v>
      </c>
      <c r="K17" s="57">
        <f>IFERROR('Historical FS'!K17,0)</f>
        <v>7.7341945525793987E-2</v>
      </c>
      <c r="L17" s="57">
        <f>IFERROR('Historical FS'!L17,0)</f>
        <v>5.9428782995685499E-2</v>
      </c>
      <c r="M17" s="58">
        <f t="shared" si="0"/>
        <v>0.10880264584483079</v>
      </c>
      <c r="N17" s="58">
        <f t="shared" si="1"/>
        <v>8.678456808456099E-2</v>
      </c>
    </row>
    <row r="18" spans="2:15" x14ac:dyDescent="0.25">
      <c r="B18" t="s">
        <v>166</v>
      </c>
      <c r="C18" s="57">
        <f>IFERROR('Historical FS'!C26,0)</f>
        <v>0.11205986926388978</v>
      </c>
      <c r="D18" s="57">
        <f>IFERROR('Historical FS'!D26,0)</f>
        <v>0.13209147591447656</v>
      </c>
      <c r="E18" s="57">
        <f>IFERROR('Historical FS'!E26,0)</f>
        <v>7.1570841423571341E-2</v>
      </c>
      <c r="F18" s="57">
        <f>IFERROR('Historical FS'!F26,0)</f>
        <v>7.1619143085639367E-2</v>
      </c>
      <c r="G18" s="57">
        <f>IFERROR('Historical FS'!G26,0)</f>
        <v>5.6220006298029625E-2</v>
      </c>
      <c r="H18" s="57">
        <f>IFERROR('Historical FS'!H26,0)</f>
        <v>6.7136390782287045E-2</v>
      </c>
      <c r="I18" s="57">
        <f>IFERROR('Historical FS'!I26,0)</f>
        <v>8.4049898352441033E-2</v>
      </c>
      <c r="J18" s="57">
        <f>IFERROR('Historical FS'!J26,0)</f>
        <v>5.4724408679443531E-2</v>
      </c>
      <c r="K18" s="57">
        <f>IFERROR('Historical FS'!K26,0)</f>
        <v>3.8838213748292362E-2</v>
      </c>
      <c r="L18" s="57">
        <f>IFERROR('Historical FS'!L26,0)</f>
        <v>4.863532616861662E-2</v>
      </c>
      <c r="M18" s="58">
        <f t="shared" si="0"/>
        <v>7.3694557371668717E-2</v>
      </c>
      <c r="N18" s="58">
        <f t="shared" si="1"/>
        <v>6.7136390782287045E-2</v>
      </c>
    </row>
    <row r="19" spans="2:15" x14ac:dyDescent="0.25">
      <c r="B19" s="59" t="s">
        <v>167</v>
      </c>
      <c r="C19" s="60">
        <f>C13</f>
        <v>0.15087591155601238</v>
      </c>
      <c r="D19" s="60">
        <f t="shared" ref="D19:L19" si="2">D13</f>
        <v>0.18341951684720481</v>
      </c>
      <c r="E19" s="60">
        <f t="shared" si="2"/>
        <v>0.11534076201042159</v>
      </c>
      <c r="F19" s="60">
        <f t="shared" si="2"/>
        <v>0.10466856866763083</v>
      </c>
      <c r="G19" s="60">
        <f t="shared" si="2"/>
        <v>0.12123431893441151</v>
      </c>
      <c r="H19" s="60">
        <f t="shared" si="2"/>
        <v>6.4200423912701199E-2</v>
      </c>
      <c r="I19" s="60">
        <f t="shared" si="2"/>
        <v>7.8772604450020864E-2</v>
      </c>
      <c r="J19" s="60">
        <f t="shared" si="2"/>
        <v>0.10786938542267513</v>
      </c>
      <c r="K19" s="60">
        <f t="shared" si="2"/>
        <v>8.0611483462413799E-2</v>
      </c>
      <c r="L19" s="60">
        <f t="shared" si="2"/>
        <v>0.12525052153694721</v>
      </c>
      <c r="M19" s="60">
        <f t="shared" si="0"/>
        <v>0.11322434968004394</v>
      </c>
      <c r="N19" s="60">
        <f t="shared" si="1"/>
        <v>0.10786938542267513</v>
      </c>
      <c r="O19" s="59"/>
    </row>
    <row r="20" spans="2:15" x14ac:dyDescent="0.25">
      <c r="F20" t="s">
        <v>173</v>
      </c>
      <c r="M20" s="58"/>
      <c r="N20" s="58"/>
    </row>
    <row r="21" spans="2:15" x14ac:dyDescent="0.25">
      <c r="B21" t="s">
        <v>174</v>
      </c>
      <c r="C21" s="57">
        <f>IFERROR(('Historical FS'!C19-'Historical FS'!C25)/(SUM('Historical FS'!C51:C53)),0)</f>
        <v>0.10358134405682083</v>
      </c>
      <c r="D21" s="57">
        <f>IFERROR(('Historical FS'!D19-'Historical FS'!D25)/(SUM('Historical FS'!D51:D53)),0)</f>
        <v>9.3502995164968281E-2</v>
      </c>
      <c r="E21" s="57">
        <f>IFERROR(('Historical FS'!E19-'Historical FS'!E25)/(SUM('Historical FS'!E51:E53)),0)</f>
        <v>0.1187417982191829</v>
      </c>
      <c r="F21" s="57">
        <f>IFERROR(('Historical FS'!F19-'Historical FS'!F25)/(SUM('Historical FS'!F51:F53)),0)</f>
        <v>0.1087589686628927</v>
      </c>
      <c r="G21" s="57">
        <f>IFERROR(('Historical FS'!G19-'Historical FS'!G25)/(SUM('Historical FS'!G51:G53)),0)</f>
        <v>0.15743460087051617</v>
      </c>
      <c r="H21" s="57">
        <f>IFERROR(('Historical FS'!H19-'Historical FS'!H25)/(SUM('Historical FS'!H51:H53)),0)</f>
        <v>7.6126245572321158E-2</v>
      </c>
      <c r="I21" s="57">
        <f>IFERROR(('Historical FS'!I19-'Historical FS'!I25)/(SUM('Historical FS'!I51:I53)),0)</f>
        <v>6.7580854516153047E-2</v>
      </c>
      <c r="J21" s="57">
        <f>IFERROR(('Historical FS'!J19-'Historical FS'!J25)/(SUM('Historical FS'!J51:J53)),0)</f>
        <v>0.13890429854593089</v>
      </c>
      <c r="K21" s="57">
        <f>IFERROR(('Historical FS'!K19-'Historical FS'!K25)/(SUM('Historical FS'!K51:K53)),0)</f>
        <v>0.12052417993374427</v>
      </c>
      <c r="L21" s="57">
        <f>IFERROR(('Historical FS'!L19-'Historical FS'!L25)/(SUM('Historical FS'!L51:L53)),0)</f>
        <v>0.15109143329017996</v>
      </c>
      <c r="M21" s="58">
        <f t="shared" si="0"/>
        <v>0.11362467188327104</v>
      </c>
      <c r="N21" s="58">
        <f t="shared" si="1"/>
        <v>0.1187417982191829</v>
      </c>
    </row>
    <row r="22" spans="2:15" x14ac:dyDescent="0.25">
      <c r="B22" t="s">
        <v>175</v>
      </c>
      <c r="C22" s="57">
        <f>IFERROR('Historical FS'!C46,0)</f>
        <v>0.30639970848740411</v>
      </c>
      <c r="D22" s="57">
        <f>IFERROR('Historical FS'!D46,0)</f>
        <v>0.39571092270503755</v>
      </c>
      <c r="E22" s="57">
        <f>IFERROR('Historical FS'!E46,0)</f>
        <v>0.41081512003084159</v>
      </c>
      <c r="F22" s="57">
        <f>IFERROR('Historical FS'!F46,0)</f>
        <v>0.45839426700233188</v>
      </c>
      <c r="G22" s="57">
        <f>IFERROR('Historical FS'!G46,0)</f>
        <v>0.63865895856986854</v>
      </c>
      <c r="H22" s="57">
        <f>IFERROR('Historical FS'!H46,0)</f>
        <v>0.39948370195625987</v>
      </c>
      <c r="I22" s="57">
        <f>IFERROR('Historical FS'!I46,0)</f>
        <v>0.5511380868089758</v>
      </c>
      <c r="J22" s="57">
        <f>IFERROR('Historical FS'!J46,0)</f>
        <v>0.68917379554254543</v>
      </c>
      <c r="K22" s="57">
        <f>IFERROR('Historical FS'!K46,0)</f>
        <v>0.56860917438799052</v>
      </c>
      <c r="L22" s="57">
        <f>IFERROR('Historical FS'!L46,0)</f>
        <v>0.65070063457503535</v>
      </c>
      <c r="M22" s="58">
        <f t="shared" si="0"/>
        <v>0.50690843700662913</v>
      </c>
      <c r="N22" s="58">
        <f t="shared" si="1"/>
        <v>0.5511380868089758</v>
      </c>
    </row>
    <row r="23" spans="2:15" x14ac:dyDescent="0.25">
      <c r="B23" t="s">
        <v>176</v>
      </c>
      <c r="C23" s="57">
        <f>IFERROR('Historical FS'!C34/SUM('Historical FS'!C51:C52),0)</f>
        <v>6.493712539012636E-2</v>
      </c>
      <c r="D23" s="57">
        <f>IFERROR('Historical FS'!D34/SUM('Historical FS'!D51:D52),0)</f>
        <v>6.0836502477786721E-2</v>
      </c>
      <c r="E23" s="57">
        <f>IFERROR('Historical FS'!E34/SUM('Historical FS'!E51:E52),0)</f>
        <v>8.4599744774834118E-2</v>
      </c>
      <c r="F23" s="57">
        <f>IFERROR('Historical FS'!F34/SUM('Historical FS'!F51:F52),0)</f>
        <v>7.6652641987682207E-2</v>
      </c>
      <c r="G23" s="57">
        <f>IFERROR('Historical FS'!G34/SUM('Historical FS'!G51:G52),0)</f>
        <v>0.11234217309221919</v>
      </c>
      <c r="H23" s="57">
        <f>IFERROR('Historical FS'!H34/SUM('Historical FS'!H51:H52),0)</f>
        <v>5.1069405561844868E-2</v>
      </c>
      <c r="I23" s="57">
        <f>IFERROR('Historical FS'!I34/SUM('Historical FS'!I51:I52),0)</f>
        <v>4.5658859615028365E-2</v>
      </c>
      <c r="J23" s="57">
        <f>IFERROR('Historical FS'!J34/SUM('Historical FS'!J51:J52),0)</f>
        <v>0.16376444487655251</v>
      </c>
      <c r="K23" s="57">
        <f>IFERROR('Historical FS'!K34/SUM('Historical FS'!K51:K52),0)</f>
        <v>0.11689911144700166</v>
      </c>
      <c r="L23" s="57">
        <f>IFERROR('Historical FS'!L34/SUM('Historical FS'!L51:L52),0)</f>
        <v>0.13089049721181259</v>
      </c>
      <c r="M23" s="58">
        <f t="shared" si="0"/>
        <v>9.0765050643488859E-2</v>
      </c>
      <c r="N23" s="58">
        <f t="shared" si="1"/>
        <v>8.4599744774834118E-2</v>
      </c>
    </row>
    <row r="24" spans="2:15" x14ac:dyDescent="0.25">
      <c r="B24" t="s">
        <v>177</v>
      </c>
      <c r="C24" s="57">
        <f>IFERROR(C22*C23,0)</f>
        <v>1.9896716289544723E-2</v>
      </c>
      <c r="D24" s="57">
        <f t="shared" ref="D24:L24" si="3">IFERROR(D22*D23,0)</f>
        <v>2.4073668529632285E-2</v>
      </c>
      <c r="E24" s="57">
        <f t="shared" si="3"/>
        <v>3.4754854304252042E-2</v>
      </c>
      <c r="F24" s="57">
        <f t="shared" si="3"/>
        <v>3.5137131637735755E-2</v>
      </c>
      <c r="G24" s="57">
        <f t="shared" si="3"/>
        <v>7.1748335270552618E-2</v>
      </c>
      <c r="H24" s="57">
        <f t="shared" si="3"/>
        <v>2.0401395190551397E-2</v>
      </c>
      <c r="I24" s="57">
        <f t="shared" si="3"/>
        <v>2.5164336534106341E-2</v>
      </c>
      <c r="J24" s="57">
        <f t="shared" si="3"/>
        <v>0.11286216405049165</v>
      </c>
      <c r="K24" s="57">
        <f t="shared" si="3"/>
        <v>6.6469907246569301E-2</v>
      </c>
      <c r="L24" s="57">
        <f t="shared" si="3"/>
        <v>8.5170529595568353E-2</v>
      </c>
      <c r="M24" s="58">
        <f t="shared" si="0"/>
        <v>4.9567903864900453E-2</v>
      </c>
      <c r="N24" s="58">
        <f t="shared" si="1"/>
        <v>3.5137131637735755E-2</v>
      </c>
    </row>
    <row r="25" spans="2:15" x14ac:dyDescent="0.25">
      <c r="B25" s="59" t="s">
        <v>178</v>
      </c>
      <c r="C25" s="62">
        <f>IFERROR(('Historical FS'!C19-'Historical FS'!C25)/'Historical FS'!C22,0)</f>
        <v>8.4781667394151103</v>
      </c>
      <c r="D25" s="62">
        <f>IFERROR(('Historical FS'!D19-'Historical FS'!D25)/'Historical FS'!D22,0)</f>
        <v>6.0417173450039598</v>
      </c>
      <c r="E25" s="62">
        <f>IFERROR(('Historical FS'!E19-'Historical FS'!E25)/'Historical FS'!E22,0)</f>
        <v>9.0736485376387748</v>
      </c>
      <c r="F25" s="62">
        <f>IFERROR(('Historical FS'!F19-'Historical FS'!F25)/'Historical FS'!F22,0)</f>
        <v>6.7567272916399936</v>
      </c>
      <c r="G25" s="62">
        <f>IFERROR(('Historical FS'!G19-'Historical FS'!G25)/'Historical FS'!G22,0)</f>
        <v>8.7575217630419768</v>
      </c>
      <c r="H25" s="62">
        <f>IFERROR(('Historical FS'!H19-'Historical FS'!H25)/'Historical FS'!H22,0)</f>
        <v>3.4008470706363934</v>
      </c>
      <c r="I25" s="62">
        <f>IFERROR(('Historical FS'!I19-'Historical FS'!I25)/'Historical FS'!I22,0)</f>
        <v>4.7125080970185227</v>
      </c>
      <c r="J25" s="62">
        <f>IFERROR(('Historical FS'!J19-'Historical FS'!J25)/'Historical FS'!J22,0)</f>
        <v>9.3030298242287568</v>
      </c>
      <c r="K25" s="62">
        <f>IFERROR(('Historical FS'!K19-'Historical FS'!K25)/'Historical FS'!K22,0)</f>
        <v>6.4605912266647882</v>
      </c>
      <c r="L25" s="62">
        <f>IFERROR(('Historical FS'!L19-'Historical FS'!L25)/'Historical FS'!L22,0)</f>
        <v>7.2661815527894893</v>
      </c>
      <c r="M25" s="62">
        <f t="shared" si="0"/>
        <v>7.025093944807776</v>
      </c>
      <c r="N25" s="62">
        <f t="shared" si="1"/>
        <v>6.7567272916399936</v>
      </c>
      <c r="O25" s="59"/>
    </row>
    <row r="26" spans="2:15" x14ac:dyDescent="0.25">
      <c r="B26" t="s">
        <v>179</v>
      </c>
      <c r="M26" s="61"/>
      <c r="N26" s="61"/>
    </row>
    <row r="27" spans="2:15" x14ac:dyDescent="0.25">
      <c r="B27" t="s">
        <v>180</v>
      </c>
      <c r="C27" s="61">
        <f>IFERROR('Historical FS'!C7/'Historical FS'!C63,0)</f>
        <v>8.5525180406700336</v>
      </c>
      <c r="D27" s="61">
        <f>IFERROR('Historical FS'!D7/'Historical FS'!D63,0)</f>
        <v>14.887185223681575</v>
      </c>
      <c r="E27" s="61">
        <f>IFERROR('Historical FS'!E7/'Historical FS'!E63,0)</f>
        <v>22.51561394168542</v>
      </c>
      <c r="F27" s="61">
        <f>IFERROR('Historical FS'!F7/'Historical FS'!F63,0)</f>
        <v>23.217628102973055</v>
      </c>
      <c r="G27" s="61">
        <f>IFERROR('Historical FS'!G7/'Historical FS'!G63,0)</f>
        <v>27.384472144895646</v>
      </c>
      <c r="H27" s="61">
        <f>IFERROR('Historical FS'!H7/'Historical FS'!H63,0)</f>
        <v>43.24759386095247</v>
      </c>
      <c r="I27" s="61">
        <f>IFERROR('Historical FS'!I7/'Historical FS'!I63,0)</f>
        <v>18.971786663569731</v>
      </c>
      <c r="J27" s="61">
        <f>IFERROR('Historical FS'!J7/'Historical FS'!J63,0)</f>
        <v>25.602703457707399</v>
      </c>
      <c r="K27" s="61">
        <f>IFERROR('Historical FS'!K7/'Historical FS'!K63,0)</f>
        <v>33.71935484903139</v>
      </c>
      <c r="L27" s="61">
        <f>IFERROR('Historical FS'!L7/'Historical FS'!L63,0)</f>
        <v>29.924493053921605</v>
      </c>
      <c r="M27" s="61">
        <f t="shared" si="0"/>
        <v>24.802334933908831</v>
      </c>
      <c r="N27" s="61">
        <f t="shared" si="1"/>
        <v>25.602703457707399</v>
      </c>
    </row>
    <row r="28" spans="2:15" x14ac:dyDescent="0.25">
      <c r="B28" t="s">
        <v>181</v>
      </c>
      <c r="C28" s="61">
        <f>IFERROR('Historical FS'!C7/'Historical FS'!C54,0)</f>
        <v>1.5555943298492214</v>
      </c>
      <c r="D28" s="61">
        <f>IFERROR('Historical FS'!D7/'Historical FS'!D54,0)</f>
        <v>1.2597756599552481</v>
      </c>
      <c r="E28" s="61">
        <f>IFERROR('Historical FS'!E7/'Historical FS'!E54,0)</f>
        <v>1.6607179566403856</v>
      </c>
      <c r="F28" s="61">
        <f>IFERROR('Historical FS'!F7/'Historical FS'!F54,0)</f>
        <v>2.1707123461954656</v>
      </c>
      <c r="G28" s="61">
        <f>IFERROR('Historical FS'!G7/'Historical FS'!G54,0)</f>
        <v>2.5146513967123512</v>
      </c>
      <c r="H28" s="61">
        <f>IFERROR('Historical FS'!H7/'Historical FS'!H54,0)</f>
        <v>2.2828410216373012</v>
      </c>
      <c r="I28" s="61">
        <f>IFERROR('Historical FS'!I7/'Historical FS'!I54,0)</f>
        <v>1.6198386350252965</v>
      </c>
      <c r="J28" s="61">
        <f>IFERROR('Historical FS'!J7/'Historical FS'!J54,0)</f>
        <v>2.4346751944967244</v>
      </c>
      <c r="K28" s="61">
        <f>IFERROR('Historical FS'!K7/'Historical FS'!K54,0)</f>
        <v>3.3241321110436486</v>
      </c>
      <c r="L28" s="61">
        <f>IFERROR('Historical FS'!L7/'Historical FS'!L54,0)</f>
        <v>2.6940038265664623</v>
      </c>
      <c r="M28" s="61">
        <f t="shared" si="0"/>
        <v>2.1516942478122103</v>
      </c>
      <c r="N28" s="61">
        <f t="shared" si="1"/>
        <v>2.2828410216373012</v>
      </c>
    </row>
    <row r="29" spans="2:15" x14ac:dyDescent="0.25">
      <c r="B29" t="s">
        <v>182</v>
      </c>
      <c r="C29" s="61">
        <f>IFERROR('Historical FS'!C7/'Historical FS'!C64,0)</f>
        <v>14.172137745423546</v>
      </c>
      <c r="D29" s="61">
        <f>IFERROR('Historical FS'!D7/'Historical FS'!D64,0)</f>
        <v>11.525372213451627</v>
      </c>
      <c r="E29" s="61">
        <f>IFERROR('Historical FS'!E7/'Historical FS'!E64,0)</f>
        <v>9.245707629883837</v>
      </c>
      <c r="F29" s="61">
        <f>IFERROR('Historical FS'!F7/'Historical FS'!F64,0)</f>
        <v>10.325404745761844</v>
      </c>
      <c r="G29" s="61">
        <f>IFERROR('Historical FS'!G7/'Historical FS'!G64,0)</f>
        <v>11.728257292678794</v>
      </c>
      <c r="H29" s="61">
        <f>IFERROR('Historical FS'!H7/'Historical FS'!H64,0)</f>
        <v>11.64616211538371</v>
      </c>
      <c r="I29" s="61">
        <f>IFERROR('Historical FS'!I7/'Historical FS'!I64,0)</f>
        <v>6.6435610139529491</v>
      </c>
      <c r="J29" s="61">
        <f>IFERROR('Historical FS'!J7/'Historical FS'!J64,0)</f>
        <v>8.8736243519043541</v>
      </c>
      <c r="K29" s="61">
        <f>IFERROR('Historical FS'!K7/'Historical FS'!K64,0)</f>
        <v>13.976853318360821</v>
      </c>
      <c r="L29" s="61">
        <f>IFERROR('Historical FS'!L7/'Historical FS'!L64,0)</f>
        <v>11.104940283810571</v>
      </c>
      <c r="M29" s="61">
        <f t="shared" si="0"/>
        <v>10.924202071061206</v>
      </c>
      <c r="N29" s="61">
        <f t="shared" si="1"/>
        <v>11.104940283810571</v>
      </c>
    </row>
    <row r="30" spans="2:15" x14ac:dyDescent="0.25">
      <c r="B30" t="s">
        <v>183</v>
      </c>
      <c r="C30" s="61">
        <f>IFERROR('Historical FS'!C7/'Historical FS'!C57,0)</f>
        <v>0.89434776152184692</v>
      </c>
      <c r="D30" s="61">
        <f>IFERROR('Historical FS'!D7/'Historical FS'!D57,0)</f>
        <v>0.7459595218164321</v>
      </c>
      <c r="E30" s="61">
        <f>IFERROR('Historical FS'!E7/'Historical FS'!E57,0)</f>
        <v>1.3380960787149137</v>
      </c>
      <c r="F30" s="61">
        <f>IFERROR('Historical FS'!F7/'Historical FS'!F57,0)</f>
        <v>1.4275372550934788</v>
      </c>
      <c r="G30" s="61">
        <f>IFERROR('Historical FS'!G7/'Historical FS'!G57,0)</f>
        <v>1.8300388427137031</v>
      </c>
      <c r="H30" s="61">
        <f>IFERROR('Historical FS'!H7/'Historical FS'!H57,0)</f>
        <v>1.6266543185761433</v>
      </c>
      <c r="I30" s="61">
        <f>IFERROR('Historical FS'!I7/'Historical FS'!I57,0)</f>
        <v>1.2465782463377093</v>
      </c>
      <c r="J30" s="61">
        <f>IFERROR('Historical FS'!J7/'Historical FS'!J57,0)</f>
        <v>1.9309829000279359</v>
      </c>
      <c r="K30" s="61">
        <f>IFERROR('Historical FS'!K7/'Historical FS'!K57,0)</f>
        <v>2.5209018088869031</v>
      </c>
      <c r="L30" s="61">
        <f>IFERROR('Historical FS'!L7/'Historical FS'!L57,0)</f>
        <v>1.9815299732930691</v>
      </c>
      <c r="M30" s="61">
        <f t="shared" si="0"/>
        <v>1.5542626706982137</v>
      </c>
      <c r="N30" s="61">
        <f t="shared" si="1"/>
        <v>1.6266543185761433</v>
      </c>
    </row>
    <row r="31" spans="2:15" x14ac:dyDescent="0.25">
      <c r="B31" s="59" t="s">
        <v>184</v>
      </c>
      <c r="C31" s="62">
        <f>IFERROR('Historical FS'!C7/SUM('Historical FS'!C51:C52),0)</f>
        <v>0.89176345935593693</v>
      </c>
      <c r="D31" s="62">
        <f>IFERROR('Historical FS'!D7/SUM('Historical FS'!D51:D52),0)</f>
        <v>0.62703315100010293</v>
      </c>
      <c r="E31" s="62">
        <f>IFERROR('Historical FS'!E7/SUM('Historical FS'!E51:E52),0)</f>
        <v>1.4533312254913207</v>
      </c>
      <c r="F31" s="62">
        <f>IFERROR('Historical FS'!F7/SUM('Historical FS'!F51:F52),0)</f>
        <v>1.5817442038344187</v>
      </c>
      <c r="G31" s="62">
        <f>IFERROR('Historical FS'!G7/SUM('Historical FS'!G51:G52),0)</f>
        <v>1.9435527242881669</v>
      </c>
      <c r="H31" s="62">
        <f>IFERROR('Historical FS'!H7/SUM('Historical FS'!H51:H52),0)</f>
        <v>1.9342711475022987</v>
      </c>
      <c r="I31" s="62">
        <f>IFERROR('Historical FS'!I7/SUM('Historical FS'!I51:I52),0)</f>
        <v>1.3750002206072112</v>
      </c>
      <c r="J31" s="62">
        <f>IFERROR('Historical FS'!J7/SUM('Historical FS'!J51:J52),0)</f>
        <v>1.8930278662385711</v>
      </c>
      <c r="K31" s="62">
        <f>IFERROR('Historical FS'!K7/SUM('Historical FS'!K51:K52),0)</f>
        <v>2.2529743917009002</v>
      </c>
      <c r="L31" s="62">
        <f>IFERROR('Historical FS'!L7/SUM('Historical FS'!L51:L52),0)</f>
        <v>1.7545194068310332</v>
      </c>
      <c r="M31" s="62">
        <f t="shared" si="0"/>
        <v>1.5707217796849959</v>
      </c>
      <c r="N31" s="62">
        <f t="shared" si="1"/>
        <v>1.7545194068310332</v>
      </c>
      <c r="O31" s="59"/>
    </row>
    <row r="32" spans="2:15" x14ac:dyDescent="0.25">
      <c r="M32" s="61"/>
      <c r="N32" s="61"/>
    </row>
    <row r="33" spans="2:15" x14ac:dyDescent="0.25">
      <c r="B33" t="s">
        <v>46</v>
      </c>
      <c r="C33" s="63">
        <f t="shared" ref="C33:L33" si="4">IFERROR(365/C27,0)</f>
        <v>42.677489631042583</v>
      </c>
      <c r="D33" s="63">
        <f t="shared" si="4"/>
        <v>24.51773082122882</v>
      </c>
      <c r="E33" s="63">
        <f t="shared" si="4"/>
        <v>16.210972569761413</v>
      </c>
      <c r="F33" s="63">
        <f t="shared" si="4"/>
        <v>15.720813443181182</v>
      </c>
      <c r="G33" s="63">
        <f t="shared" si="4"/>
        <v>13.328721403455443</v>
      </c>
      <c r="H33" s="63">
        <f t="shared" si="4"/>
        <v>8.4397758907357936</v>
      </c>
      <c r="I33" s="63">
        <f t="shared" si="4"/>
        <v>19.239094686895537</v>
      </c>
      <c r="J33" s="63">
        <f t="shared" si="4"/>
        <v>14.256306979570978</v>
      </c>
      <c r="K33" s="63">
        <f t="shared" si="4"/>
        <v>10.824643639659815</v>
      </c>
      <c r="L33" s="63">
        <f t="shared" si="4"/>
        <v>12.197366195721292</v>
      </c>
      <c r="M33" s="63">
        <f t="shared" ref="M33:M40" si="5">AVERAGE(C33:L33)</f>
        <v>17.741291526125288</v>
      </c>
      <c r="N33" s="63">
        <f t="shared" ref="N33:N40" si="6">MEDIAN(D33:L33)</f>
        <v>14.256306979570978</v>
      </c>
    </row>
    <row r="34" spans="2:15" x14ac:dyDescent="0.25">
      <c r="B34" t="s">
        <v>187</v>
      </c>
      <c r="C34" s="63">
        <f t="shared" ref="C34:L34" si="7">IFERROR(365/C28,0)</f>
        <v>234.63700850296763</v>
      </c>
      <c r="D34" s="63">
        <f t="shared" si="7"/>
        <v>289.73412616415067</v>
      </c>
      <c r="E34" s="63">
        <f t="shared" si="7"/>
        <v>219.78446041397123</v>
      </c>
      <c r="F34" s="63">
        <f t="shared" si="7"/>
        <v>168.14756715219463</v>
      </c>
      <c r="G34" s="63">
        <f t="shared" si="7"/>
        <v>145.1493437528558</v>
      </c>
      <c r="H34" s="63">
        <f t="shared" si="7"/>
        <v>159.88848830927981</v>
      </c>
      <c r="I34" s="63">
        <f t="shared" si="7"/>
        <v>225.33108675624342</v>
      </c>
      <c r="J34" s="63">
        <f t="shared" si="7"/>
        <v>149.91732812041474</v>
      </c>
      <c r="K34" s="63">
        <f t="shared" si="7"/>
        <v>109.80309681055491</v>
      </c>
      <c r="L34" s="63">
        <f t="shared" si="7"/>
        <v>135.48607333093381</v>
      </c>
      <c r="M34" s="63">
        <f t="shared" si="5"/>
        <v>183.78785793135668</v>
      </c>
      <c r="N34" s="63">
        <f t="shared" si="6"/>
        <v>159.88848830927981</v>
      </c>
    </row>
    <row r="35" spans="2:15" x14ac:dyDescent="0.25">
      <c r="B35" t="s">
        <v>188</v>
      </c>
      <c r="C35" s="63">
        <f t="shared" ref="C35:L35" si="8">IFERROR(365/C29,0)</f>
        <v>25.754759554031676</v>
      </c>
      <c r="D35" s="63">
        <f t="shared" si="8"/>
        <v>31.669259199628879</v>
      </c>
      <c r="E35" s="63">
        <f t="shared" si="8"/>
        <v>39.477778728396352</v>
      </c>
      <c r="F35" s="63">
        <f t="shared" si="8"/>
        <v>35.349703860259574</v>
      </c>
      <c r="G35" s="63">
        <f t="shared" si="8"/>
        <v>31.121418203184056</v>
      </c>
      <c r="H35" s="63">
        <f t="shared" si="8"/>
        <v>31.340796769251757</v>
      </c>
      <c r="I35" s="63">
        <f t="shared" si="8"/>
        <v>54.940415122766119</v>
      </c>
      <c r="J35" s="63">
        <f t="shared" si="8"/>
        <v>41.133136306549638</v>
      </c>
      <c r="K35" s="63">
        <f t="shared" si="8"/>
        <v>26.114604745870405</v>
      </c>
      <c r="L35" s="63">
        <f t="shared" si="8"/>
        <v>32.868254188824253</v>
      </c>
      <c r="M35" s="63">
        <f t="shared" si="5"/>
        <v>34.977012667876274</v>
      </c>
      <c r="N35" s="63">
        <f t="shared" si="6"/>
        <v>32.868254188824253</v>
      </c>
    </row>
    <row r="36" spans="2:15" x14ac:dyDescent="0.25">
      <c r="B36" s="64" t="s">
        <v>192</v>
      </c>
      <c r="C36" s="65">
        <f>IFERROR(SUM(C33+C35)-C34,0)</f>
        <v>-166.20475931789338</v>
      </c>
      <c r="D36" s="65">
        <f t="shared" ref="D36:N36" si="9">IFERROR(SUM(D33+D35)-D34,0)</f>
        <v>-233.54713614329296</v>
      </c>
      <c r="E36" s="65">
        <f t="shared" si="9"/>
        <v>-164.09570911581346</v>
      </c>
      <c r="F36" s="65">
        <f t="shared" si="9"/>
        <v>-117.07704984875387</v>
      </c>
      <c r="G36" s="65">
        <f t="shared" si="9"/>
        <v>-100.6992041462163</v>
      </c>
      <c r="H36" s="65">
        <f t="shared" si="9"/>
        <v>-120.10791564929227</v>
      </c>
      <c r="I36" s="65">
        <f t="shared" si="9"/>
        <v>-151.15157694658177</v>
      </c>
      <c r="J36" s="65">
        <f t="shared" si="9"/>
        <v>-94.527884834294127</v>
      </c>
      <c r="K36" s="65">
        <f t="shared" si="9"/>
        <v>-72.863848425024685</v>
      </c>
      <c r="L36" s="65">
        <f t="shared" si="9"/>
        <v>-90.420452946388252</v>
      </c>
      <c r="M36" s="65">
        <f t="shared" si="9"/>
        <v>-131.06955373735514</v>
      </c>
      <c r="N36" s="65">
        <f t="shared" si="9"/>
        <v>-112.76392714088458</v>
      </c>
      <c r="O36" s="59"/>
    </row>
    <row r="37" spans="2:15" x14ac:dyDescent="0.25">
      <c r="M37" s="61"/>
      <c r="N37" s="61"/>
    </row>
    <row r="38" spans="2:15" x14ac:dyDescent="0.25">
      <c r="B38" t="s">
        <v>189</v>
      </c>
      <c r="C38" s="66">
        <f>IFERROR('Historical FS'!C84/'Historical FS'!C7,0)</f>
        <v>0.13867532871695368</v>
      </c>
      <c r="D38" s="66">
        <f>IFERROR('Historical FS'!D84/'Historical FS'!D7,0)</f>
        <v>0.43115809148833023</v>
      </c>
      <c r="E38" s="66">
        <f>IFERROR('Historical FS'!E84/'Historical FS'!E7,0)</f>
        <v>0.15258785022384119</v>
      </c>
      <c r="F38" s="66">
        <f>IFERROR('Historical FS'!F84/'Historical FS'!F7,0)</f>
        <v>0.17676783953283015</v>
      </c>
      <c r="G38" s="66">
        <f>IFERROR('Historical FS'!G84/'Historical FS'!G7,0)</f>
        <v>0.12247644482607996</v>
      </c>
      <c r="H38" s="66">
        <f>IFERROR('Historical FS'!H84/'Historical FS'!H7,0)</f>
        <v>0.20995497896782711</v>
      </c>
      <c r="I38" s="66">
        <f>IFERROR('Historical FS'!I84/'Historical FS'!I7,0)</f>
        <v>0.14232073434128825</v>
      </c>
      <c r="J38" s="66">
        <f>IFERROR('Historical FS'!J84/'Historical FS'!J7,0)</f>
        <v>0.16684911420390719</v>
      </c>
      <c r="K38" s="66">
        <f>IFERROR('Historical FS'!K84/'Historical FS'!K7,0)</f>
        <v>0.14988347615413516</v>
      </c>
      <c r="L38" s="66">
        <f>IFERROR('Historical FS'!L84/'Historical FS'!L7,0)</f>
        <v>0.16807343353845355</v>
      </c>
      <c r="M38" s="66">
        <f t="shared" si="5"/>
        <v>0.18587472919936462</v>
      </c>
      <c r="N38" s="66">
        <f t="shared" si="6"/>
        <v>0.16684911420390719</v>
      </c>
    </row>
    <row r="39" spans="2:15" x14ac:dyDescent="0.25">
      <c r="B39" t="s">
        <v>190</v>
      </c>
      <c r="C39" s="66">
        <f>IFERROR('Historical FS'!C84/'Historical FS'!C68,0)</f>
        <v>6.6053654653165622E-2</v>
      </c>
      <c r="D39" s="66">
        <f>IFERROR('Historical FS'!D84/'Historical FS'!D68,0)</f>
        <v>0.15647548815969273</v>
      </c>
      <c r="E39" s="66">
        <f>IFERROR('Historical FS'!E84/'Historical FS'!E68,0)</f>
        <v>9.6973103804300742E-2</v>
      </c>
      <c r="F39" s="66">
        <f>IFERROR('Historical FS'!F84/'Historical FS'!F68,0)</f>
        <v>0.12421597430843295</v>
      </c>
      <c r="G39" s="66">
        <f>IFERROR('Historical FS'!G84/'Historical FS'!G68,0)</f>
        <v>0.10488413480764609</v>
      </c>
      <c r="H39" s="66">
        <f>IFERROR('Historical FS'!H84/'Historical FS'!H68,0)</f>
        <v>0.16384911883224471</v>
      </c>
      <c r="I39" s="66">
        <f>IFERROR('Historical FS'!I84/'Historical FS'!I68,0)</f>
        <v>7.9823142749211748E-2</v>
      </c>
      <c r="J39" s="66">
        <f>IFERROR('Historical FS'!J84/'Historical FS'!J68,0)</f>
        <v>0.14052749623358055</v>
      </c>
      <c r="K39" s="66">
        <f>IFERROR('Historical FS'!K84/'Historical FS'!K68,0)</f>
        <v>0.15457144939252132</v>
      </c>
      <c r="L39" s="66">
        <f>IFERROR('Historical FS'!L84/'Historical FS'!L68,0)</f>
        <v>0.14004177358275191</v>
      </c>
      <c r="M39" s="66">
        <f t="shared" si="5"/>
        <v>0.12274153365235485</v>
      </c>
      <c r="N39" s="66">
        <f t="shared" si="6"/>
        <v>0.14004177358275191</v>
      </c>
    </row>
    <row r="40" spans="2:15" x14ac:dyDescent="0.25">
      <c r="B40" s="59" t="s">
        <v>191</v>
      </c>
      <c r="C40" s="67">
        <f>IFERROR('Historical FS'!C84/'Historical FS'!C53,0)</f>
        <v>0.41368466498975703</v>
      </c>
      <c r="D40" s="67">
        <f>IFERROR('Historical FS'!D84/'Historical FS'!D53,0)</f>
        <v>1.175358245914246</v>
      </c>
      <c r="E40" s="67">
        <f>IFERROR('Historical FS'!E84/'Historical FS'!E53,0)</f>
        <v>0.53864042493452702</v>
      </c>
      <c r="F40" s="67">
        <f>IFERROR('Historical FS'!F84/'Historical FS'!F53,0)</f>
        <v>0.5353733657663251</v>
      </c>
      <c r="G40" s="67">
        <f>IFERROR('Historical FS'!G84/'Historical FS'!G53,0)</f>
        <v>0.47928522376064453</v>
      </c>
      <c r="H40" s="67">
        <f>IFERROR('Historical FS'!H84/'Historical FS'!H53,0)</f>
        <v>0.64334115069359887</v>
      </c>
      <c r="I40" s="67">
        <f>IFERROR('Historical FS'!I84/'Historical FS'!I53,0)</f>
        <v>0.32468653828769367</v>
      </c>
      <c r="J40" s="67">
        <f>IFERROR('Historical FS'!J84/'Historical FS'!J53,0)</f>
        <v>0.67191394150108874</v>
      </c>
      <c r="K40" s="67">
        <f>IFERROR('Historical FS'!K84/'Historical FS'!K53,0)</f>
        <v>0.66619891446904322</v>
      </c>
      <c r="L40" s="67">
        <f>IFERROR('Historical FS'!L84/'Historical FS'!L53,0)</f>
        <v>0.64889447764673491</v>
      </c>
      <c r="M40" s="67">
        <f t="shared" si="5"/>
        <v>0.60973769479636597</v>
      </c>
      <c r="N40" s="67">
        <f t="shared" si="6"/>
        <v>0.64334115069359887</v>
      </c>
      <c r="O40" s="59"/>
    </row>
    <row r="42" spans="2:15" x14ac:dyDescent="0.25"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</row>
    <row r="43" spans="2:15" x14ac:dyDescent="0.25"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69"/>
    </row>
  </sheetData>
  <mergeCells count="1">
    <mergeCell ref="B2:O2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Analysis'!C5:L5</xm:f>
              <xm:sqref>O5</xm:sqref>
            </x14:sparkline>
            <x14:sparkline>
              <xm:f>'Ratio Analysis'!C6:L6</xm:f>
              <xm:sqref>O6</xm:sqref>
            </x14:sparkline>
            <x14:sparkline>
              <xm:f>'Ratio Analysis'!C7:L7</xm:f>
              <xm:sqref>O7</xm:sqref>
            </x14:sparkline>
            <x14:sparkline>
              <xm:f>'Ratio Analysis'!C8:L8</xm:f>
              <xm:sqref>O8</xm:sqref>
            </x14:sparkline>
            <x14:sparkline>
              <xm:f>'Ratio Analysis'!C9:L9</xm:f>
              <xm:sqref>O9</xm:sqref>
            </x14:sparkline>
            <x14:sparkline>
              <xm:f>'Ratio Analysis'!C10:L10</xm:f>
              <xm:sqref>O10</xm:sqref>
            </x14:sparkline>
            <x14:sparkline>
              <xm:f>'Ratio Analysis'!C11:L11</xm:f>
              <xm:sqref>O11</xm:sqref>
            </x14:sparkline>
            <x14:sparkline>
              <xm:f>'Ratio Analysis'!C12:L12</xm:f>
              <xm:sqref>O12</xm:sqref>
            </x14:sparkline>
            <x14:sparkline>
              <xm:f>'Ratio Analysis'!C13:L13</xm:f>
              <xm:sqref>O13</xm:sqref>
            </x14:sparkline>
            <x14:sparkline>
              <xm:f>'Ratio Analysis'!C14:L14</xm:f>
              <xm:sqref>O14</xm:sqref>
            </x14:sparkline>
            <x14:sparkline>
              <xm:f>'Ratio Analysis'!C15:L15</xm:f>
              <xm:sqref>O15</xm:sqref>
            </x14:sparkline>
            <x14:sparkline>
              <xm:f>'Ratio Analysis'!C16:L16</xm:f>
              <xm:sqref>O16</xm:sqref>
            </x14:sparkline>
            <x14:sparkline>
              <xm:f>'Ratio Analysis'!C17:L17</xm:f>
              <xm:sqref>O17</xm:sqref>
            </x14:sparkline>
            <x14:sparkline>
              <xm:f>'Ratio Analysis'!C18:L18</xm:f>
              <xm:sqref>O18</xm:sqref>
            </x14:sparkline>
            <x14:sparkline>
              <xm:f>'Ratio Analysis'!C19:L19</xm:f>
              <xm:sqref>O19</xm:sqref>
            </x14:sparkline>
            <x14:sparkline>
              <xm:f>'Ratio Analysis'!C20:L20</xm:f>
              <xm:sqref>O20</xm:sqref>
            </x14:sparkline>
            <x14:sparkline>
              <xm:f>'Ratio Analysis'!C21:L21</xm:f>
              <xm:sqref>O21</xm:sqref>
            </x14:sparkline>
            <x14:sparkline>
              <xm:f>'Ratio Analysis'!C22:L22</xm:f>
              <xm:sqref>O22</xm:sqref>
            </x14:sparkline>
            <x14:sparkline>
              <xm:f>'Ratio Analysis'!C23:L23</xm:f>
              <xm:sqref>O23</xm:sqref>
            </x14:sparkline>
            <x14:sparkline>
              <xm:f>'Ratio Analysis'!C24:L24</xm:f>
              <xm:sqref>O24</xm:sqref>
            </x14:sparkline>
            <x14:sparkline>
              <xm:f>'Ratio Analysis'!C25:L25</xm:f>
              <xm:sqref>O25</xm:sqref>
            </x14:sparkline>
            <x14:sparkline>
              <xm:f>'Ratio Analysis'!C26:L26</xm:f>
              <xm:sqref>O26</xm:sqref>
            </x14:sparkline>
            <x14:sparkline>
              <xm:f>'Ratio Analysis'!C27:L27</xm:f>
              <xm:sqref>O27</xm:sqref>
            </x14:sparkline>
            <x14:sparkline>
              <xm:f>'Ratio Analysis'!C28:L28</xm:f>
              <xm:sqref>O28</xm:sqref>
            </x14:sparkline>
            <x14:sparkline>
              <xm:f>'Ratio Analysis'!C29:L29</xm:f>
              <xm:sqref>O29</xm:sqref>
            </x14:sparkline>
            <x14:sparkline>
              <xm:f>'Ratio Analysis'!C30:L30</xm:f>
              <xm:sqref>O30</xm:sqref>
            </x14:sparkline>
            <x14:sparkline>
              <xm:f>'Ratio Analysis'!C31:L31</xm:f>
              <xm:sqref>O31</xm:sqref>
            </x14:sparkline>
            <x14:sparkline>
              <xm:f>'Ratio Analysis'!C32:L32</xm:f>
              <xm:sqref>O32</xm:sqref>
            </x14:sparkline>
            <x14:sparkline>
              <xm:f>'Ratio Analysis'!C33:L33</xm:f>
              <xm:sqref>O33</xm:sqref>
            </x14:sparkline>
            <x14:sparkline>
              <xm:f>'Ratio Analysis'!C34:L34</xm:f>
              <xm:sqref>O34</xm:sqref>
            </x14:sparkline>
            <x14:sparkline>
              <xm:f>'Ratio Analysis'!C35:L35</xm:f>
              <xm:sqref>O35</xm:sqref>
            </x14:sparkline>
            <x14:sparkline>
              <xm:f>'Ratio Analysis'!C36:L36</xm:f>
              <xm:sqref>O36</xm:sqref>
            </x14:sparkline>
            <x14:sparkline>
              <xm:f>'Ratio Analysis'!C37:L37</xm:f>
              <xm:sqref>O37</xm:sqref>
            </x14:sparkline>
            <x14:sparkline>
              <xm:f>'Ratio Analysis'!C38:L38</xm:f>
              <xm:sqref>O38</xm:sqref>
            </x14:sparkline>
            <x14:sparkline>
              <xm:f>'Ratio Analysis'!C39:L39</xm:f>
              <xm:sqref>O39</xm:sqref>
            </x14:sparkline>
            <x14:sparkline>
              <xm:f>'Ratio Analysis'!C40:L40</xm:f>
              <xm:sqref>O40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O46"/>
  <sheetViews>
    <sheetView showGridLines="0" zoomScale="175" zoomScaleNormal="175" workbookViewId="0">
      <selection activeCell="B4" sqref="B4:L4"/>
    </sheetView>
  </sheetViews>
  <sheetFormatPr defaultRowHeight="15" x14ac:dyDescent="0.25"/>
  <cols>
    <col min="1" max="1" width="1.85546875" customWidth="1"/>
    <col min="2" max="2" width="24.42578125" customWidth="1"/>
    <col min="13" max="15" width="9.140625" style="44" customWidth="1"/>
  </cols>
  <sheetData>
    <row r="2" spans="2:15" x14ac:dyDescent="0.25">
      <c r="B2" s="252" t="s">
        <v>273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</row>
    <row r="4" spans="2:15" x14ac:dyDescent="0.25">
      <c r="B4" s="252" t="str">
        <f>"Common Size Income Statement" &amp;" "&amp;" - "&amp;'Data Sheet'!B1</f>
        <v>Common Size Income Statement  - OIL &amp; NATURAL GAS CORPN LTD</v>
      </c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131"/>
      <c r="N4" s="131"/>
      <c r="O4" s="131"/>
    </row>
    <row r="6" spans="2:15" x14ac:dyDescent="0.25">
      <c r="B6" s="116" t="s">
        <v>274</v>
      </c>
      <c r="C6" s="132">
        <f>'Data Sheet'!$B$16</f>
        <v>42094</v>
      </c>
      <c r="D6" s="132">
        <f>'Data Sheet'!C16</f>
        <v>42460</v>
      </c>
      <c r="E6" s="132">
        <f>'Data Sheet'!D16</f>
        <v>42825</v>
      </c>
      <c r="F6" s="132">
        <f>'Data Sheet'!E16</f>
        <v>43190</v>
      </c>
      <c r="G6" s="132">
        <f>'Data Sheet'!F16</f>
        <v>43555</v>
      </c>
      <c r="H6" s="132">
        <f>'Data Sheet'!G16</f>
        <v>43921</v>
      </c>
      <c r="I6" s="132">
        <f>'Data Sheet'!H16</f>
        <v>44286</v>
      </c>
      <c r="J6" s="132">
        <f>'Data Sheet'!I16</f>
        <v>44651</v>
      </c>
      <c r="K6" s="132">
        <f>'Data Sheet'!J16</f>
        <v>45016</v>
      </c>
      <c r="L6" s="132">
        <f>'Data Sheet'!K16</f>
        <v>45382</v>
      </c>
      <c r="M6" s="130"/>
      <c r="N6" s="130"/>
    </row>
    <row r="8" spans="2:15" x14ac:dyDescent="0.25">
      <c r="B8" s="138" t="str">
        <f>'Data Sheet'!A17</f>
        <v>Sales</v>
      </c>
      <c r="C8" s="137">
        <f>'Data Sheet'!B17/'Data Sheet'!B$17</f>
        <v>1</v>
      </c>
      <c r="D8" s="137">
        <f>'Data Sheet'!C17/'Data Sheet'!C$17</f>
        <v>1</v>
      </c>
      <c r="E8" s="137">
        <f>'Data Sheet'!D17/'Data Sheet'!D$17</f>
        <v>1</v>
      </c>
      <c r="F8" s="137">
        <f>'Data Sheet'!E17/'Data Sheet'!E$17</f>
        <v>1</v>
      </c>
      <c r="G8" s="137">
        <f>'Data Sheet'!F17/'Data Sheet'!F$17</f>
        <v>1</v>
      </c>
      <c r="H8" s="137">
        <f>'Data Sheet'!G17/'Data Sheet'!G$17</f>
        <v>1</v>
      </c>
      <c r="I8" s="137">
        <f>'Data Sheet'!H17/'Data Sheet'!H$17</f>
        <v>1</v>
      </c>
      <c r="J8" s="137">
        <f>'Data Sheet'!I17/'Data Sheet'!I$17</f>
        <v>1</v>
      </c>
      <c r="K8" s="137">
        <f>'Data Sheet'!J17/'Data Sheet'!J$17</f>
        <v>1</v>
      </c>
      <c r="L8" s="137">
        <f>'Data Sheet'!K17/'Data Sheet'!K$17</f>
        <v>1</v>
      </c>
    </row>
    <row r="9" spans="2:15" x14ac:dyDescent="0.25">
      <c r="B9" s="136" t="str">
        <f>'Data Sheet'!A18</f>
        <v>Raw Material Cost</v>
      </c>
      <c r="C9" s="57">
        <f>'Data Sheet'!B18/'Data Sheet'!B$17</f>
        <v>0.3847354231822197</v>
      </c>
      <c r="D9" s="57">
        <f>'Data Sheet'!C18/'Data Sheet'!C$17</f>
        <v>0.29561591577135327</v>
      </c>
      <c r="E9" s="57">
        <f>'Data Sheet'!D18/'Data Sheet'!D$17</f>
        <v>0.62078915744512575</v>
      </c>
      <c r="F9" s="57">
        <f>'Data Sheet'!E18/'Data Sheet'!E$17</f>
        <v>0.62688224096154965</v>
      </c>
      <c r="G9" s="57">
        <f>'Data Sheet'!F18/'Data Sheet'!F$17</f>
        <v>0.65348190744296697</v>
      </c>
      <c r="H9" s="57">
        <f>'Data Sheet'!G18/'Data Sheet'!G$17</f>
        <v>0.68050510991273594</v>
      </c>
      <c r="I9" s="57">
        <f>'Data Sheet'!H18/'Data Sheet'!H$17</f>
        <v>0.67768260218540854</v>
      </c>
      <c r="J9" s="57">
        <f>'Data Sheet'!I18/'Data Sheet'!I$17</f>
        <v>0.45927461958792803</v>
      </c>
      <c r="K9" s="57">
        <f>'Data Sheet'!J18/'Data Sheet'!J$17</f>
        <v>0.42088210055373532</v>
      </c>
      <c r="L9" s="57">
        <f>'Data Sheet'!K18/'Data Sheet'!K$17</f>
        <v>0.38970407083737729</v>
      </c>
    </row>
    <row r="10" spans="2:15" x14ac:dyDescent="0.25">
      <c r="B10" s="136" t="str">
        <f>'Data Sheet'!A19</f>
        <v>Change in Inventory</v>
      </c>
      <c r="C10" s="57">
        <f>'Data Sheet'!B19/'Data Sheet'!B$17</f>
        <v>-1.0706510904867083E-2</v>
      </c>
      <c r="D10" s="57">
        <f>'Data Sheet'!C19/'Data Sheet'!C$17</f>
        <v>-6.0951801702912806E-3</v>
      </c>
      <c r="E10" s="57">
        <f>'Data Sheet'!D19/'Data Sheet'!D$17</f>
        <v>1.6936589442260203E-2</v>
      </c>
      <c r="F10" s="57">
        <f>'Data Sheet'!E19/'Data Sheet'!E$17</f>
        <v>2.5317180579609115E-5</v>
      </c>
      <c r="G10" s="57">
        <f>'Data Sheet'!F19/'Data Sheet'!F$17</f>
        <v>7.3421354428340911E-3</v>
      </c>
      <c r="H10" s="57">
        <f>'Data Sheet'!G19/'Data Sheet'!G$17</f>
        <v>-2.8875205679378597E-3</v>
      </c>
      <c r="I10" s="57">
        <f>'Data Sheet'!H19/'Data Sheet'!H$17</f>
        <v>3.3066072213324714E-2</v>
      </c>
      <c r="J10" s="57">
        <f>'Data Sheet'!I19/'Data Sheet'!I$17</f>
        <v>4.6882190894733363E-3</v>
      </c>
      <c r="K10" s="57">
        <f>'Data Sheet'!J19/'Data Sheet'!J$17</f>
        <v>-4.0583833543273527E-3</v>
      </c>
      <c r="L10" s="57">
        <f>'Data Sheet'!K19/'Data Sheet'!K$17</f>
        <v>7.4973926957197876E-3</v>
      </c>
    </row>
    <row r="11" spans="2:15" x14ac:dyDescent="0.25">
      <c r="B11" s="136" t="str">
        <f>'Data Sheet'!A20</f>
        <v>Power and Fuel</v>
      </c>
      <c r="C11" s="57">
        <f>'Data Sheet'!B20/'Data Sheet'!B$17</f>
        <v>5.4454736760470735E-3</v>
      </c>
      <c r="D11" s="57">
        <f>'Data Sheet'!C20/'Data Sheet'!C$17</f>
        <v>9.5325773521189993E-3</v>
      </c>
      <c r="E11" s="57">
        <f>'Data Sheet'!D20/'Data Sheet'!D$17</f>
        <v>6.930575767016155E-3</v>
      </c>
      <c r="F11" s="57">
        <f>'Data Sheet'!E20/'Data Sheet'!E$17</f>
        <v>6.7476328900977784E-3</v>
      </c>
      <c r="G11" s="57">
        <f>'Data Sheet'!F20/'Data Sheet'!F$17</f>
        <v>5.074972855549257E-3</v>
      </c>
      <c r="H11" s="57">
        <f>'Data Sheet'!G20/'Data Sheet'!G$17</f>
        <v>5.2401657347475256E-3</v>
      </c>
      <c r="I11" s="57">
        <f>'Data Sheet'!H20/'Data Sheet'!H$17</f>
        <v>6.5178446748418491E-3</v>
      </c>
      <c r="J11" s="57">
        <f>'Data Sheet'!I20/'Data Sheet'!I$17</f>
        <v>4.5581214016009565E-3</v>
      </c>
      <c r="K11" s="57">
        <f>'Data Sheet'!J20/'Data Sheet'!J$17</f>
        <v>3.4389851840096837E-3</v>
      </c>
      <c r="L11" s="57">
        <f>'Data Sheet'!K20/'Data Sheet'!K$17</f>
        <v>5.1037184442120076E-3</v>
      </c>
    </row>
    <row r="12" spans="2:15" x14ac:dyDescent="0.25">
      <c r="B12" s="136" t="str">
        <f>'Data Sheet'!A21</f>
        <v>Other Mfr. Exp</v>
      </c>
      <c r="C12" s="57">
        <f>'Data Sheet'!B21/'Data Sheet'!B$17</f>
        <v>5.0781543230958667E-2</v>
      </c>
      <c r="D12" s="57">
        <f>'Data Sheet'!C21/'Data Sheet'!C$17</f>
        <v>7.3252694727994061E-2</v>
      </c>
      <c r="E12" s="57">
        <f>'Data Sheet'!D21/'Data Sheet'!D$17</f>
        <v>5.7556489663179319E-2</v>
      </c>
      <c r="F12" s="57">
        <f>'Data Sheet'!E21/'Data Sheet'!E$17</f>
        <v>5.6931924611447894E-2</v>
      </c>
      <c r="G12" s="57">
        <f>'Data Sheet'!F21/'Data Sheet'!F$17</f>
        <v>4.5486839421092634E-2</v>
      </c>
      <c r="H12" s="57">
        <f>'Data Sheet'!G21/'Data Sheet'!G$17</f>
        <v>5.2806090703323601E-2</v>
      </c>
      <c r="I12" s="57">
        <f>'Data Sheet'!H21/'Data Sheet'!H$17</f>
        <v>6.492223388262279E-2</v>
      </c>
      <c r="J12" s="57">
        <f>'Data Sheet'!I21/'Data Sheet'!I$17</f>
        <v>0.27770126036995219</v>
      </c>
      <c r="K12" s="57">
        <f>'Data Sheet'!J21/'Data Sheet'!J$17</f>
        <v>0.35126570957387065</v>
      </c>
      <c r="L12" s="57">
        <f>'Data Sheet'!K21/'Data Sheet'!K$17</f>
        <v>0.35353601999444501</v>
      </c>
    </row>
    <row r="13" spans="2:15" x14ac:dyDescent="0.25">
      <c r="B13" s="136" t="str">
        <f>'Data Sheet'!A22</f>
        <v>Employee Cost</v>
      </c>
      <c r="C13" s="57">
        <f>'Data Sheet'!B22/'Data Sheet'!B$17</f>
        <v>5.8172920851907471E-2</v>
      </c>
      <c r="D13" s="57">
        <f>'Data Sheet'!C22/'Data Sheet'!C$17</f>
        <v>7.4415424396732197E-2</v>
      </c>
      <c r="E13" s="57">
        <f>'Data Sheet'!D22/'Data Sheet'!D$17</f>
        <v>5.3549850656327398E-2</v>
      </c>
      <c r="F13" s="57">
        <f>'Data Sheet'!E22/'Data Sheet'!E$17</f>
        <v>4.6391238879653088E-2</v>
      </c>
      <c r="G13" s="57">
        <f>'Data Sheet'!F22/'Data Sheet'!F$17</f>
        <v>3.7593928788624498E-2</v>
      </c>
      <c r="H13" s="57">
        <f>'Data Sheet'!G22/'Data Sheet'!G$17</f>
        <v>3.9148392660350015E-2</v>
      </c>
      <c r="I13" s="57">
        <f>'Data Sheet'!H22/'Data Sheet'!H$17</f>
        <v>4.6520226121594455E-2</v>
      </c>
      <c r="J13" s="57">
        <f>'Data Sheet'!I22/'Data Sheet'!I$17</f>
        <v>3.1014466390623163E-2</v>
      </c>
      <c r="K13" s="57">
        <f>'Data Sheet'!J22/'Data Sheet'!J$17</f>
        <v>2.3563178597556904E-2</v>
      </c>
      <c r="L13" s="57">
        <f>'Data Sheet'!K22/'Data Sheet'!K$17</f>
        <v>2.5838952718436194E-2</v>
      </c>
    </row>
    <row r="14" spans="2:15" x14ac:dyDescent="0.25">
      <c r="B14" s="136" t="str">
        <f>'Data Sheet'!A23</f>
        <v>Selling and admin</v>
      </c>
      <c r="C14" s="57">
        <f>'Data Sheet'!B23/'Data Sheet'!B$17</f>
        <v>0.25652959707844708</v>
      </c>
      <c r="D14" s="57">
        <f>'Data Sheet'!C23/'Data Sheet'!C$17</f>
        <v>0.28810501427371193</v>
      </c>
      <c r="E14" s="57">
        <f>'Data Sheet'!D23/'Data Sheet'!D$17</f>
        <v>0.12877208213302008</v>
      </c>
      <c r="F14" s="57">
        <f>'Data Sheet'!E23/'Data Sheet'!E$17</f>
        <v>0.10638663530517707</v>
      </c>
      <c r="G14" s="57">
        <f>'Data Sheet'!F23/'Data Sheet'!F$17</f>
        <v>9.3973413700688208E-2</v>
      </c>
      <c r="H14" s="57">
        <f>'Data Sheet'!G23/'Data Sheet'!G$17</f>
        <v>7.3999482416046813E-2</v>
      </c>
      <c r="I14" s="57">
        <f>'Data Sheet'!H23/'Data Sheet'!H$17</f>
        <v>7.5708943632544226E-2</v>
      </c>
      <c r="J14" s="57">
        <f>'Data Sheet'!I23/'Data Sheet'!I$17</f>
        <v>7.3990612121529936E-2</v>
      </c>
      <c r="K14" s="57">
        <f>'Data Sheet'!J23/'Data Sheet'!J$17</f>
        <v>7.0166200958235725E-2</v>
      </c>
      <c r="L14" s="57">
        <f>'Data Sheet'!K23/'Data Sheet'!K$17</f>
        <v>6.4500762990959734E-2</v>
      </c>
    </row>
    <row r="15" spans="2:15" x14ac:dyDescent="0.25">
      <c r="B15" s="136" t="str">
        <f>'Data Sheet'!A24</f>
        <v>Other Expenses</v>
      </c>
      <c r="C15" s="57">
        <f>'Data Sheet'!B24/'Data Sheet'!B$17</f>
        <v>-2.9307249744349208E-2</v>
      </c>
      <c r="D15" s="57">
        <f>'Data Sheet'!C24/'Data Sheet'!C$17</f>
        <v>-6.2527799453883079E-2</v>
      </c>
      <c r="E15" s="57">
        <f>'Data Sheet'!D24/'Data Sheet'!D$17</f>
        <v>-3.7573169656401416E-2</v>
      </c>
      <c r="F15" s="57">
        <f>'Data Sheet'!E24/'Data Sheet'!E$17</f>
        <v>-1.9602067220616078E-2</v>
      </c>
      <c r="G15" s="57">
        <f>'Data Sheet'!F24/'Data Sheet'!F$17</f>
        <v>-5.7232519985286412E-3</v>
      </c>
      <c r="H15" s="57">
        <f>'Data Sheet'!G24/'Data Sheet'!G$17</f>
        <v>1.4076423309869983E-2</v>
      </c>
      <c r="I15" s="57">
        <f>'Data Sheet'!H24/'Data Sheet'!H$17</f>
        <v>-1.1082810861490339E-3</v>
      </c>
      <c r="J15" s="57">
        <f>'Data Sheet'!I24/'Data Sheet'!I$17</f>
        <v>-4.4446548842796236E-3</v>
      </c>
      <c r="K15" s="57">
        <f>'Data Sheet'!J24/'Data Sheet'!J$17</f>
        <v>7.175744567558256E-3</v>
      </c>
      <c r="L15" s="57">
        <f>'Data Sheet'!K24/'Data Sheet'!K$17</f>
        <v>-5.0719799952742345E-3</v>
      </c>
    </row>
    <row r="16" spans="2:15" x14ac:dyDescent="0.25">
      <c r="B16" s="136" t="str">
        <f>'Data Sheet'!A25</f>
        <v>Other Income</v>
      </c>
      <c r="C16" s="57">
        <f>'Data Sheet'!B25/'Data Sheet'!B$17</f>
        <v>3.7003867199792394E-2</v>
      </c>
      <c r="D16" s="57">
        <f>'Data Sheet'!C25/'Data Sheet'!C$17</f>
        <v>8.6044575388813434E-3</v>
      </c>
      <c r="E16" s="57">
        <f>'Data Sheet'!D25/'Data Sheet'!D$17</f>
        <v>4.5040370985250551E-2</v>
      </c>
      <c r="F16" s="57">
        <f>'Data Sheet'!E25/'Data Sheet'!E$17</f>
        <v>3.2318574047144367E-2</v>
      </c>
      <c r="G16" s="57">
        <f>'Data Sheet'!F25/'Data Sheet'!F$17</f>
        <v>2.2691074484315919E-2</v>
      </c>
      <c r="H16" s="57">
        <f>'Data Sheet'!G25/'Data Sheet'!G$17</f>
        <v>2.4744666943144989E-3</v>
      </c>
      <c r="I16" s="57">
        <f>'Data Sheet'!H25/'Data Sheet'!H$17</f>
        <v>3.709248125984721E-2</v>
      </c>
      <c r="J16" s="57">
        <f>'Data Sheet'!I25/'Data Sheet'!I$17</f>
        <v>1.3835668238397103E-2</v>
      </c>
      <c r="K16" s="57">
        <f>'Data Sheet'!J25/'Data Sheet'!J$17</f>
        <v>-4.7161815542010244E-5</v>
      </c>
      <c r="L16" s="57">
        <f>'Data Sheet'!K25/'Data Sheet'!K$17</f>
        <v>2.1950662995400074E-2</v>
      </c>
    </row>
    <row r="17" spans="2:14" x14ac:dyDescent="0.25">
      <c r="B17" s="136" t="str">
        <f>'Data Sheet'!A26</f>
        <v>Depreciation</v>
      </c>
      <c r="C17" s="57">
        <f>'Data Sheet'!B26/'Data Sheet'!B$17</f>
        <v>0.11205986926388978</v>
      </c>
      <c r="D17" s="57">
        <f>'Data Sheet'!C26/'Data Sheet'!C$17</f>
        <v>0.13209147591447656</v>
      </c>
      <c r="E17" s="57">
        <f>'Data Sheet'!D26/'Data Sheet'!D$17</f>
        <v>7.1570841423571341E-2</v>
      </c>
      <c r="F17" s="57">
        <f>'Data Sheet'!E26/'Data Sheet'!E$17</f>
        <v>7.1619143085639367E-2</v>
      </c>
      <c r="G17" s="57">
        <f>'Data Sheet'!F26/'Data Sheet'!F$17</f>
        <v>5.6220006298029625E-2</v>
      </c>
      <c r="H17" s="57">
        <f>'Data Sheet'!G26/'Data Sheet'!G$17</f>
        <v>6.7136390782287045E-2</v>
      </c>
      <c r="I17" s="57">
        <f>'Data Sheet'!H26/'Data Sheet'!H$17</f>
        <v>8.4049898352441033E-2</v>
      </c>
      <c r="J17" s="57">
        <f>'Data Sheet'!I26/'Data Sheet'!I$17</f>
        <v>5.4724408679443531E-2</v>
      </c>
      <c r="K17" s="57">
        <f>'Data Sheet'!J26/'Data Sheet'!J$17</f>
        <v>3.8838213748292362E-2</v>
      </c>
      <c r="L17" s="57">
        <f>'Data Sheet'!K26/'Data Sheet'!K$17</f>
        <v>4.863532616861662E-2</v>
      </c>
    </row>
    <row r="18" spans="2:14" x14ac:dyDescent="0.25">
      <c r="B18" s="136" t="str">
        <f>'Data Sheet'!A27</f>
        <v>Interest</v>
      </c>
      <c r="C18" s="57">
        <f>'Data Sheet'!B27/'Data Sheet'!B$17</f>
        <v>1.7795817915987458E-2</v>
      </c>
      <c r="D18" s="57">
        <f>'Data Sheet'!C27/'Data Sheet'!C$17</f>
        <v>3.0358837789536575E-2</v>
      </c>
      <c r="E18" s="57">
        <f>'Data Sheet'!D27/'Data Sheet'!D$17</f>
        <v>1.2711618874367002E-2</v>
      </c>
      <c r="F18" s="57">
        <f>'Data Sheet'!E27/'Data Sheet'!E$17</f>
        <v>1.5491015716608219E-2</v>
      </c>
      <c r="G18" s="57">
        <f>'Data Sheet'!F27/'Data Sheet'!F$17</f>
        <v>1.3843450489159853E-2</v>
      </c>
      <c r="H18" s="57">
        <f>'Data Sheet'!G27/'Data Sheet'!G$17</f>
        <v>1.8877774442438398E-2</v>
      </c>
      <c r="I18" s="57">
        <f>'Data Sheet'!H27/'Data Sheet'!H$17</f>
        <v>1.67156433110127E-2</v>
      </c>
      <c r="J18" s="57">
        <f>'Data Sheet'!I27/'Data Sheet'!I$17</f>
        <v>1.1595081114513977E-2</v>
      </c>
      <c r="K18" s="57">
        <f>'Data Sheet'!J27/'Data Sheet'!J$17</f>
        <v>1.2477415864001138E-2</v>
      </c>
      <c r="L18" s="57">
        <f>'Data Sheet'!K27/'Data Sheet'!K$17</f>
        <v>1.7237461055299875E-2</v>
      </c>
    </row>
    <row r="19" spans="2:14" x14ac:dyDescent="0.25">
      <c r="B19" s="136" t="str">
        <f>'Data Sheet'!A28</f>
        <v>Profit before tax</v>
      </c>
      <c r="C19" s="57">
        <f>'Data Sheet'!B28/'Data Sheet'!B$17</f>
        <v>0.17008396083981719</v>
      </c>
      <c r="D19" s="57">
        <f>'Data Sheet'!C28/'Data Sheet'!C$17</f>
        <v>0.16166513659654949</v>
      </c>
      <c r="E19" s="57">
        <f>'Data Sheet'!D28/'Data Sheet'!D$17</f>
        <v>0.14766951412130522</v>
      </c>
      <c r="F19" s="57">
        <f>'Data Sheet'!E28/'Data Sheet'!E$17</f>
        <v>0.12149612699816699</v>
      </c>
      <c r="G19" s="57">
        <f>'Data Sheet'!F28/'Data Sheet'!F$17</f>
        <v>0.1300819429295676</v>
      </c>
      <c r="H19" s="57">
        <f>'Data Sheet'!G28/'Data Sheet'!G$17</f>
        <v>4.7797116164577387E-2</v>
      </c>
      <c r="I19" s="57">
        <f>'Data Sheet'!H28/'Data Sheet'!H$17</f>
        <v>9.9149442398855411E-2</v>
      </c>
      <c r="J19" s="57">
        <f>'Data Sheet'!I28/'Data Sheet'!I$17</f>
        <v>0.11010997254655833</v>
      </c>
      <c r="K19" s="57">
        <f>'Data Sheet'!J28/'Data Sheet'!J$17</f>
        <v>6.808690578287048E-2</v>
      </c>
      <c r="L19" s="57">
        <f>'Data Sheet'!K28/'Data Sheet'!K$17</f>
        <v>0.12996372347704735</v>
      </c>
    </row>
    <row r="20" spans="2:14" x14ac:dyDescent="0.25">
      <c r="B20" s="136" t="str">
        <f>'Data Sheet'!A29</f>
        <v>Tax</v>
      </c>
      <c r="C20" s="57">
        <f>'Data Sheet'!B29/'Data Sheet'!B$17</f>
        <v>6.026131562345733E-2</v>
      </c>
      <c r="D20" s="57">
        <f>'Data Sheet'!C29/'Data Sheet'!C$17</f>
        <v>5.6037894248357992E-2</v>
      </c>
      <c r="E20" s="57">
        <f>'Data Sheet'!D29/'Data Sheet'!D$17</f>
        <v>4.4418225149183505E-2</v>
      </c>
      <c r="F20" s="57">
        <f>'Data Sheet'!E29/'Data Sheet'!E$17</f>
        <v>4.0716719775934586E-2</v>
      </c>
      <c r="G20" s="57">
        <f>'Data Sheet'!F29/'Data Sheet'!F$17</f>
        <v>4.9588385554871141E-2</v>
      </c>
      <c r="H20" s="57">
        <f>'Data Sheet'!G29/'Data Sheet'!G$17</f>
        <v>1.892024687650536E-2</v>
      </c>
      <c r="I20" s="57">
        <f>'Data Sheet'!H29/'Data Sheet'!H$17</f>
        <v>2.8850523110318223E-2</v>
      </c>
      <c r="J20" s="57">
        <f>'Data Sheet'!I29/'Data Sheet'!I$17</f>
        <v>9.7650416622018319E-3</v>
      </c>
      <c r="K20" s="57">
        <f>'Data Sheet'!J29/'Data Sheet'!J$17</f>
        <v>1.6247498502193244E-2</v>
      </c>
      <c r="L20" s="57">
        <f>'Data Sheet'!K29/'Data Sheet'!K$17</f>
        <v>3.3411151433389179E-2</v>
      </c>
    </row>
    <row r="21" spans="2:14" x14ac:dyDescent="0.25">
      <c r="B21" s="136" t="str">
        <f>'Data Sheet'!A30</f>
        <v>Net profit</v>
      </c>
      <c r="C21" s="57">
        <f>'Data Sheet'!B30/'Data Sheet'!B$17</f>
        <v>0.11392753685870427</v>
      </c>
      <c r="D21" s="57">
        <f>'Data Sheet'!C30/'Data Sheet'!C$17</f>
        <v>0.10380244527966985</v>
      </c>
      <c r="E21" s="57">
        <f>'Data Sheet'!D30/'Data Sheet'!D$17</f>
        <v>8.6437953501253481E-2</v>
      </c>
      <c r="F21" s="57">
        <f>'Data Sheet'!E30/'Data Sheet'!E$17</f>
        <v>6.8501814160367019E-2</v>
      </c>
      <c r="G21" s="57">
        <f>'Data Sheet'!F30/'Data Sheet'!F$17</f>
        <v>7.2448544369860604E-2</v>
      </c>
      <c r="H21" s="57">
        <f>'Data Sheet'!G30/'Data Sheet'!G$17</f>
        <v>2.7231761939814119E-2</v>
      </c>
      <c r="I21" s="57">
        <f>'Data Sheet'!H30/'Data Sheet'!H$17</f>
        <v>5.3659563893120439E-2</v>
      </c>
      <c r="J21" s="57">
        <f>'Data Sheet'!I30/'Data Sheet'!I$17</f>
        <v>9.2666582038368375E-2</v>
      </c>
      <c r="K21" s="57">
        <f>'Data Sheet'!J30/'Data Sheet'!J$17</f>
        <v>5.6050884657287171E-2</v>
      </c>
      <c r="L21" s="57">
        <f>'Data Sheet'!K30/'Data Sheet'!K$17</f>
        <v>8.3229102598653557E-2</v>
      </c>
    </row>
    <row r="22" spans="2:14" x14ac:dyDescent="0.25">
      <c r="B22" s="136" t="str">
        <f>'Data Sheet'!A31</f>
        <v>Dividend Amount</v>
      </c>
      <c r="C22" s="57">
        <f>'Data Sheet'!B31/'Data Sheet'!B$17</f>
        <v>5.0507125659882281E-2</v>
      </c>
      <c r="D22" s="57">
        <f>'Data Sheet'!C31/'Data Sheet'!C$17</f>
        <v>5.8629809109005782E-2</v>
      </c>
      <c r="E22" s="57">
        <f>'Data Sheet'!D31/'Data Sheet'!D$17</f>
        <v>3.4296992726989169E-2</v>
      </c>
      <c r="F22" s="57">
        <f>'Data Sheet'!E31/'Data Sheet'!E$17</f>
        <v>2.6246665073471266E-2</v>
      </c>
      <c r="G22" s="57">
        <f>'Data Sheet'!F31/'Data Sheet'!F$17</f>
        <v>2.0886409364857444E-2</v>
      </c>
      <c r="H22" s="57">
        <f>'Data Sheet'!G31/'Data Sheet'!G$17</f>
        <v>1.585507306506366E-2</v>
      </c>
      <c r="I22" s="57">
        <f>'Data Sheet'!H31/'Data Sheet'!H$17</f>
        <v>1.4905105303816953E-2</v>
      </c>
      <c r="J22" s="57">
        <f>'Data Sheet'!I31/'Data Sheet'!I$17</f>
        <v>2.6889345758656598E-2</v>
      </c>
      <c r="K22" s="57">
        <f>'Data Sheet'!J31/'Data Sheet'!J$17</f>
        <v>2.2383389880592672E-2</v>
      </c>
      <c r="L22" s="57">
        <f>'Data Sheet'!K31/'Data Sheet'!K$17</f>
        <v>2.6058399490047502E-2</v>
      </c>
    </row>
    <row r="23" spans="2:14" x14ac:dyDescent="0.25">
      <c r="B23" s="136" t="str">
        <f>'Data Sheet'!A32</f>
        <v>EBITDA</v>
      </c>
      <c r="C23" s="57">
        <f>'Data Sheet'!B32/'Data Sheet'!B$17</f>
        <v>0.30404453966203887</v>
      </c>
      <c r="D23" s="57">
        <f>'Data Sheet'!C32/'Data Sheet'!C$17</f>
        <v>0.32229065323204092</v>
      </c>
      <c r="E23" s="57">
        <f>'Data Sheet'!D32/'Data Sheet'!D$17</f>
        <v>0.21513863894837532</v>
      </c>
      <c r="F23" s="57">
        <f>'Data Sheet'!E32/'Data Sheet'!E$17</f>
        <v>0.19632869273854917</v>
      </c>
      <c r="G23" s="57">
        <f>'Data Sheet'!F32/'Data Sheet'!F$17</f>
        <v>0.1921003867119212</v>
      </c>
      <c r="H23" s="57">
        <f>'Data Sheet'!G32/'Data Sheet'!G$17</f>
        <v>0.13216617404104494</v>
      </c>
      <c r="I23" s="57">
        <f>'Data Sheet'!H32/'Data Sheet'!H$17</f>
        <v>0.1832756286668924</v>
      </c>
      <c r="J23" s="57">
        <f>'Data Sheet'!I32/'Data Sheet'!I$17</f>
        <v>0.1687511134945277</v>
      </c>
      <c r="K23" s="57">
        <f>'Data Sheet'!J32/'Data Sheet'!J$17</f>
        <v>0.1236140127717739</v>
      </c>
      <c r="L23" s="57">
        <f>'Data Sheet'!K32/'Data Sheet'!K$17</f>
        <v>0.18251304125595924</v>
      </c>
    </row>
    <row r="24" spans="2:14" x14ac:dyDescent="0.25">
      <c r="B24" s="136"/>
    </row>
    <row r="26" spans="2:14" x14ac:dyDescent="0.25">
      <c r="B26" s="252" t="str">
        <f>"Common Size Balance Sheet" &amp;" "&amp;" - "&amp;'Data Sheet'!B1</f>
        <v>Common Size Balance Sheet  - OIL &amp; NATURAL GAS CORPN LTD</v>
      </c>
      <c r="C26" s="252"/>
      <c r="D26" s="252"/>
      <c r="E26" s="252"/>
      <c r="F26" s="252"/>
      <c r="G26" s="252"/>
      <c r="H26" s="252"/>
      <c r="I26" s="252"/>
      <c r="J26" s="252"/>
      <c r="K26" s="252"/>
      <c r="L26" s="252"/>
    </row>
    <row r="28" spans="2:14" x14ac:dyDescent="0.25">
      <c r="B28" s="116" t="s">
        <v>274</v>
      </c>
      <c r="C28" s="132">
        <f>'Data Sheet'!$B$16</f>
        <v>42094</v>
      </c>
      <c r="D28" s="132">
        <f>'Data Sheet'!C16</f>
        <v>42460</v>
      </c>
      <c r="E28" s="132">
        <f>'Data Sheet'!$B$16</f>
        <v>42094</v>
      </c>
      <c r="F28" s="132">
        <f>'Data Sheet'!E16</f>
        <v>43190</v>
      </c>
      <c r="G28" s="132">
        <f>'Data Sheet'!$B$16</f>
        <v>42094</v>
      </c>
      <c r="H28" s="132">
        <f>'Data Sheet'!G16</f>
        <v>43921</v>
      </c>
      <c r="I28" s="132">
        <f>'Data Sheet'!$B$16</f>
        <v>42094</v>
      </c>
      <c r="J28" s="132">
        <f>'Data Sheet'!I16</f>
        <v>44651</v>
      </c>
      <c r="K28" s="132">
        <f>'Data Sheet'!$B$16</f>
        <v>42094</v>
      </c>
      <c r="L28" s="132">
        <f>'Data Sheet'!K16</f>
        <v>45382</v>
      </c>
      <c r="M28" s="130"/>
      <c r="N28" s="130"/>
    </row>
    <row r="29" spans="2:14" x14ac:dyDescent="0.25">
      <c r="B29" s="8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0"/>
      <c r="N29" s="130"/>
    </row>
    <row r="30" spans="2:14" x14ac:dyDescent="0.25">
      <c r="B30" s="138" t="s">
        <v>275</v>
      </c>
      <c r="C30" s="22">
        <f>'Data Sheet'!B61/'Data Sheet'!B$61</f>
        <v>1</v>
      </c>
      <c r="D30" s="22">
        <f>'Data Sheet'!C61/'Data Sheet'!C$61</f>
        <v>1</v>
      </c>
      <c r="E30" s="22">
        <f>'Data Sheet'!D61/'Data Sheet'!D$61</f>
        <v>1</v>
      </c>
      <c r="F30" s="22">
        <f>'Data Sheet'!E61/'Data Sheet'!E$61</f>
        <v>1</v>
      </c>
      <c r="G30" s="22">
        <f>'Data Sheet'!F61/'Data Sheet'!F$61</f>
        <v>1</v>
      </c>
      <c r="H30" s="22">
        <f>'Data Sheet'!G61/'Data Sheet'!G$61</f>
        <v>1</v>
      </c>
      <c r="I30" s="22">
        <f>'Data Sheet'!H61/'Data Sheet'!H$61</f>
        <v>1</v>
      </c>
      <c r="J30" s="22">
        <f>'Data Sheet'!I61/'Data Sheet'!I$61</f>
        <v>1</v>
      </c>
      <c r="K30" s="22">
        <f>'Data Sheet'!J61/'Data Sheet'!J$61</f>
        <v>1</v>
      </c>
      <c r="L30" s="22">
        <f>'Data Sheet'!K61/'Data Sheet'!K$61</f>
        <v>1</v>
      </c>
      <c r="M30" s="130"/>
      <c r="N30" s="130"/>
    </row>
    <row r="31" spans="2:14" x14ac:dyDescent="0.25">
      <c r="B31" s="136" t="str">
        <f>'Data Sheet'!A57</f>
        <v>Equity Share Capital</v>
      </c>
      <c r="C31" s="82">
        <f>'Data Sheet'!B57/'Data Sheet'!B$61</f>
        <v>1.2661842701609867E-2</v>
      </c>
      <c r="D31" s="82">
        <f>'Data Sheet'!C57/'Data Sheet'!C$61</f>
        <v>1.2516400535350459E-2</v>
      </c>
      <c r="E31" s="82">
        <f>'Data Sheet'!D57/'Data Sheet'!D$61</f>
        <v>1.4434790801117921E-2</v>
      </c>
      <c r="F31" s="82">
        <f>'Data Sheet'!E57/'Data Sheet'!E$61</f>
        <v>1.3972511521399621E-2</v>
      </c>
      <c r="G31" s="82">
        <f>'Data Sheet'!F57/'Data Sheet'!F$61</f>
        <v>1.2775943386981063E-2</v>
      </c>
      <c r="H31" s="82">
        <f>'Data Sheet'!G57/'Data Sheet'!G$61</f>
        <v>1.2373318144218069E-2</v>
      </c>
      <c r="I31" s="82">
        <f>'Data Sheet'!H57/'Data Sheet'!H$61</f>
        <v>1.1610830245410386E-2</v>
      </c>
      <c r="J31" s="82">
        <f>'Data Sheet'!I57/'Data Sheet'!I$61</f>
        <v>1.0784461777837763E-2</v>
      </c>
      <c r="K31" s="82">
        <f>'Data Sheet'!J57/'Data Sheet'!J$61</f>
        <v>1.0259323168533018E-2</v>
      </c>
      <c r="L31" s="82">
        <f>'Data Sheet'!K57/'Data Sheet'!K$61</f>
        <v>8.8621739037386162E-3</v>
      </c>
    </row>
    <row r="32" spans="2:14" x14ac:dyDescent="0.25">
      <c r="B32" s="136" t="str">
        <f>'Data Sheet'!A58</f>
        <v>Reserves</v>
      </c>
      <c r="C32" s="7">
        <f>'Data Sheet'!B58/'Data Sheet'!B$61</f>
        <v>0.52146939131184289</v>
      </c>
      <c r="D32" s="7">
        <f>'Data Sheet'!C58/'Data Sheet'!C$61</f>
        <v>0.5662712709552481</v>
      </c>
      <c r="E32" s="7">
        <f>'Data Sheet'!D58/'Data Sheet'!D$61</f>
        <v>0.42285238105221989</v>
      </c>
      <c r="F32" s="7">
        <f>'Data Sheet'!E58/'Data Sheet'!E$61</f>
        <v>0.43028823750240613</v>
      </c>
      <c r="G32" s="7">
        <f>'Data Sheet'!F58/'Data Sheet'!F$61</f>
        <v>0.42784070439956645</v>
      </c>
      <c r="H32" s="7">
        <f>'Data Sheet'!G58/'Data Sheet'!G$61</f>
        <v>0.39108676923725766</v>
      </c>
      <c r="I32" s="7">
        <f>'Data Sheet'!H58/'Data Sheet'!H$61</f>
        <v>0.39629308959623544</v>
      </c>
      <c r="J32" s="7">
        <f>'Data Sheet'!I58/'Data Sheet'!I$61</f>
        <v>0.43413396835768747</v>
      </c>
      <c r="K32" s="7">
        <f>'Data Sheet'!J58/'Data Sheet'!J$61</f>
        <v>0.44748110026818477</v>
      </c>
      <c r="L32" s="7">
        <f>'Data Sheet'!K58/'Data Sheet'!K$61</f>
        <v>0.46603584045415702</v>
      </c>
    </row>
    <row r="33" spans="2:12" x14ac:dyDescent="0.25">
      <c r="B33" s="136" t="str">
        <f>'Data Sheet'!A59</f>
        <v>Borrowings</v>
      </c>
      <c r="C33" s="82">
        <f>'Data Sheet'!B59/'Data Sheet'!B$61</f>
        <v>0.15967150886485273</v>
      </c>
      <c r="D33" s="82">
        <f>'Data Sheet'!C59/'Data Sheet'!C$61</f>
        <v>0.13313003818506339</v>
      </c>
      <c r="E33" s="82">
        <f>'Data Sheet'!D59/'Data Sheet'!D$61</f>
        <v>0.18003309687736124</v>
      </c>
      <c r="F33" s="82">
        <f>'Data Sheet'!E59/'Data Sheet'!E$61</f>
        <v>0.23201747089273317</v>
      </c>
      <c r="G33" s="82">
        <f>'Data Sheet'!F59/'Data Sheet'!F$61</f>
        <v>0.21883448436963568</v>
      </c>
      <c r="H33" s="82">
        <f>'Data Sheet'!G59/'Data Sheet'!G$61</f>
        <v>0.25468465472105384</v>
      </c>
      <c r="I33" s="82">
        <f>'Data Sheet'!H59/'Data Sheet'!H$61</f>
        <v>0.24584678862935538</v>
      </c>
      <c r="J33" s="82">
        <f>'Data Sheet'!I59/'Data Sheet'!I$61</f>
        <v>0.20914508176394617</v>
      </c>
      <c r="K33" s="82">
        <f>'Data Sheet'!J59/'Data Sheet'!J$61</f>
        <v>0.23201996586216878</v>
      </c>
      <c r="L33" s="82">
        <f>'Data Sheet'!K59/'Data Sheet'!K$61</f>
        <v>0.2158159429721517</v>
      </c>
    </row>
    <row r="34" spans="2:12" x14ac:dyDescent="0.25">
      <c r="B34" s="136" t="str">
        <f>'Data Sheet'!A60</f>
        <v>Other Liabilities</v>
      </c>
      <c r="C34" s="7">
        <f>'Data Sheet'!B60/'Data Sheet'!B$61</f>
        <v>0.30619725712169454</v>
      </c>
      <c r="D34" s="7">
        <f>'Data Sheet'!C60/'Data Sheet'!C$61</f>
        <v>0.28808229032433813</v>
      </c>
      <c r="E34" s="7">
        <f>'Data Sheet'!D60/'Data Sheet'!D$61</f>
        <v>0.38267973126930088</v>
      </c>
      <c r="F34" s="7">
        <f>'Data Sheet'!E60/'Data Sheet'!E$61</f>
        <v>0.32372178008346097</v>
      </c>
      <c r="G34" s="7">
        <f>'Data Sheet'!F60/'Data Sheet'!F$61</f>
        <v>0.34054886784381688</v>
      </c>
      <c r="H34" s="7">
        <f>'Data Sheet'!G60/'Data Sheet'!G$61</f>
        <v>0.34185525789747051</v>
      </c>
      <c r="I34" s="7">
        <f>'Data Sheet'!H60/'Data Sheet'!H$61</f>
        <v>0.34624929152899875</v>
      </c>
      <c r="J34" s="7">
        <f>'Data Sheet'!I60/'Data Sheet'!I$61</f>
        <v>0.34593648810052857</v>
      </c>
      <c r="K34" s="7">
        <f>'Data Sheet'!J60/'Data Sheet'!J$61</f>
        <v>0.31023961070111339</v>
      </c>
      <c r="L34" s="7">
        <f>'Data Sheet'!K60/'Data Sheet'!K$61</f>
        <v>0.30928604266995269</v>
      </c>
    </row>
    <row r="35" spans="2:12" x14ac:dyDescent="0.25">
      <c r="B35" s="136"/>
    </row>
    <row r="36" spans="2:12" x14ac:dyDescent="0.25">
      <c r="B36" s="138" t="s">
        <v>123</v>
      </c>
      <c r="C36" s="137">
        <f>'Data Sheet'!B76/'Data Sheet'!B$76</f>
        <v>1</v>
      </c>
      <c r="D36" s="137">
        <f>'Data Sheet'!C76/'Data Sheet'!C$76</f>
        <v>1</v>
      </c>
      <c r="E36" s="137">
        <f>'Data Sheet'!D76/'Data Sheet'!D$76</f>
        <v>1</v>
      </c>
      <c r="F36" s="137">
        <f>'Data Sheet'!E76/'Data Sheet'!E$76</f>
        <v>1</v>
      </c>
      <c r="G36" s="137">
        <f>'Data Sheet'!F76/'Data Sheet'!F$76</f>
        <v>1</v>
      </c>
      <c r="H36" s="137">
        <f>'Data Sheet'!G76/'Data Sheet'!G$76</f>
        <v>1</v>
      </c>
      <c r="I36" s="137">
        <f>'Data Sheet'!H76/'Data Sheet'!H$76</f>
        <v>1</v>
      </c>
      <c r="J36" s="137">
        <f>'Data Sheet'!I76/'Data Sheet'!I$76</f>
        <v>1</v>
      </c>
      <c r="K36" s="137">
        <f>'Data Sheet'!J76/'Data Sheet'!J$76</f>
        <v>1</v>
      </c>
      <c r="L36" s="137">
        <f>'Data Sheet'!K76/'Data Sheet'!K$76</f>
        <v>1</v>
      </c>
    </row>
    <row r="37" spans="2:12" x14ac:dyDescent="0.25">
      <c r="B37" s="136" t="str">
        <f>'Data Sheet'!A62</f>
        <v>Net Block</v>
      </c>
      <c r="C37" s="82">
        <f>'Data Sheet'!B62/'Data Sheet'!B$76</f>
        <v>0.53258781146091883</v>
      </c>
      <c r="D37" s="82">
        <f>'Data Sheet'!C62/'Data Sheet'!C$76</f>
        <v>0.48651307048275816</v>
      </c>
      <c r="E37" s="82">
        <f>'Data Sheet'!D62/'Data Sheet'!D$76</f>
        <v>0.47494579161429995</v>
      </c>
      <c r="F37" s="82">
        <f>'Data Sheet'!E62/'Data Sheet'!E$76</f>
        <v>0.49225115649505563</v>
      </c>
      <c r="G37" s="82">
        <f>'Data Sheet'!F62/'Data Sheet'!F$76</f>
        <v>0.46794727313131457</v>
      </c>
      <c r="H37" s="82">
        <f>'Data Sheet'!G62/'Data Sheet'!G$76</f>
        <v>0.47975848173682784</v>
      </c>
      <c r="I37" s="82">
        <f>'Data Sheet'!H62/'Data Sheet'!H$76</f>
        <v>0.44992601260014692</v>
      </c>
      <c r="J37" s="82">
        <f>'Data Sheet'!I62/'Data Sheet'!I$76</f>
        <v>0.43617319782452929</v>
      </c>
      <c r="K37" s="82">
        <f>'Data Sheet'!J62/'Data Sheet'!J$76</f>
        <v>0.40909068667954562</v>
      </c>
      <c r="L37" s="82">
        <f>'Data Sheet'!K62/'Data Sheet'!K$76</f>
        <v>0.42049214177252181</v>
      </c>
    </row>
    <row r="38" spans="2:12" x14ac:dyDescent="0.25">
      <c r="B38" s="136" t="str">
        <f>'Data Sheet'!A63</f>
        <v>Capital Work in Progress</v>
      </c>
      <c r="C38" s="82">
        <f>'Data Sheet'!B63/'Data Sheet'!B$76</f>
        <v>0.1876395307976497</v>
      </c>
      <c r="D38" s="82">
        <f>'Data Sheet'!C63/'Data Sheet'!C$76</f>
        <v>0.16873358812669415</v>
      </c>
      <c r="E38" s="82">
        <f>'Data Sheet'!D63/'Data Sheet'!D$76</f>
        <v>0.13282141048793353</v>
      </c>
      <c r="F38" s="82">
        <f>'Data Sheet'!E63/'Data Sheet'!E$76</f>
        <v>0.1339449699106596</v>
      </c>
      <c r="G38" s="82">
        <f>'Data Sheet'!F63/'Data Sheet'!F$76</f>
        <v>0.14026075180185762</v>
      </c>
      <c r="H38" s="82">
        <f>'Data Sheet'!G63/'Data Sheet'!G$76</f>
        <v>0.16490623530334678</v>
      </c>
      <c r="I38" s="82">
        <f>'Data Sheet'!H63/'Data Sheet'!H$76</f>
        <v>0.1851578313260796</v>
      </c>
      <c r="J38" s="82">
        <f>'Data Sheet'!I63/'Data Sheet'!I$76</f>
        <v>0.18297040398071857</v>
      </c>
      <c r="K38" s="82">
        <f>'Data Sheet'!J63/'Data Sheet'!J$76</f>
        <v>0.18584555785760873</v>
      </c>
      <c r="L38" s="82">
        <f>'Data Sheet'!K63/'Data Sheet'!K$76</f>
        <v>0.16346286485895584</v>
      </c>
    </row>
    <row r="39" spans="2:12" x14ac:dyDescent="0.25">
      <c r="B39" s="136" t="str">
        <f>'Data Sheet'!A64</f>
        <v>Investments</v>
      </c>
      <c r="C39" s="82">
        <f>'Data Sheet'!B64/'Data Sheet'!B$76</f>
        <v>1.4057091479635016E-2</v>
      </c>
      <c r="D39" s="82">
        <f>'Data Sheet'!C64/'Data Sheet'!C$76</f>
        <v>9.7687384802715771E-2</v>
      </c>
      <c r="E39" s="82">
        <f>'Data Sheet'!D64/'Data Sheet'!D$76</f>
        <v>0.15914879719337471</v>
      </c>
      <c r="F39" s="82">
        <f>'Data Sheet'!E64/'Data Sheet'!E$76</f>
        <v>0.14662425821871453</v>
      </c>
      <c r="G39" s="82">
        <f>'Data Sheet'!F64/'Data Sheet'!F$76</f>
        <v>0.1358989171965764</v>
      </c>
      <c r="H39" s="82">
        <f>'Data Sheet'!G64/'Data Sheet'!G$76</f>
        <v>0.11164279046960128</v>
      </c>
      <c r="I39" s="82">
        <f>'Data Sheet'!H64/'Data Sheet'!H$76</f>
        <v>0.11134401782822685</v>
      </c>
      <c r="J39" s="82">
        <f>'Data Sheet'!I64/'Data Sheet'!I$76</f>
        <v>0.11425812646830008</v>
      </c>
      <c r="K39" s="82">
        <f>'Data Sheet'!J64/'Data Sheet'!J$76</f>
        <v>0.12864254136405054</v>
      </c>
      <c r="L39" s="82">
        <f>'Data Sheet'!K64/'Data Sheet'!K$76</f>
        <v>0.14399965352348176</v>
      </c>
    </row>
    <row r="40" spans="2:12" x14ac:dyDescent="0.25">
      <c r="B40" s="136" t="str">
        <f>'Data Sheet'!A65</f>
        <v>Other Assets</v>
      </c>
      <c r="C40" s="82">
        <f>'Data Sheet'!B74/'Data Sheet'!B$76</f>
        <v>0.1287670059449473</v>
      </c>
      <c r="D40" s="82">
        <f>'Data Sheet'!C74/'Data Sheet'!C$76</f>
        <v>0.11896104653044229</v>
      </c>
      <c r="E40" s="82">
        <f>'Data Sheet'!D74/'Data Sheet'!D$76</f>
        <v>0.10639798875798571</v>
      </c>
      <c r="F40" s="82">
        <f>'Data Sheet'!E74/'Data Sheet'!E$76</f>
        <v>0.11783284454668268</v>
      </c>
      <c r="G40" s="82">
        <f>'Data Sheet'!F74/'Data Sheet'!F$76</f>
        <v>0.14181507378723493</v>
      </c>
      <c r="H40" s="82">
        <f>'Data Sheet'!G74/'Data Sheet'!G$76</f>
        <v>0.13967496599484105</v>
      </c>
      <c r="I40" s="82">
        <f>'Data Sheet'!H74/'Data Sheet'!H$76</f>
        <v>0.1263100449074398</v>
      </c>
      <c r="J40" s="82">
        <f>'Data Sheet'!I74/'Data Sheet'!I$76</f>
        <v>0.12705748892019803</v>
      </c>
      <c r="K40" s="82">
        <f>'Data Sheet'!J74/'Data Sheet'!J$76</f>
        <v>0.12452404487174759</v>
      </c>
      <c r="L40" s="82">
        <f>'Data Sheet'!K74/'Data Sheet'!K$76</f>
        <v>0.11747805389245558</v>
      </c>
    </row>
    <row r="41" spans="2:12" x14ac:dyDescent="0.25">
      <c r="B41" s="136" t="str">
        <f>'Data Sheet'!A67</f>
        <v>Receivables</v>
      </c>
      <c r="C41" s="82">
        <f>'Data Sheet'!B67/'Data Sheet'!B$76</f>
        <v>5.5693389330351624E-2</v>
      </c>
      <c r="D41" s="82">
        <f>'Data Sheet'!C67/'Data Sheet'!C$76</f>
        <v>2.4377950026271869E-2</v>
      </c>
      <c r="E41" s="82">
        <f>'Data Sheet'!D67/'Data Sheet'!D$76</f>
        <v>2.8225883735936572E-2</v>
      </c>
      <c r="F41" s="82">
        <f>'Data Sheet'!E67/'Data Sheet'!E$76</f>
        <v>3.0266091852404142E-2</v>
      </c>
      <c r="G41" s="82">
        <f>'Data Sheet'!F67/'Data Sheet'!F$76</f>
        <v>3.1271798179680683E-2</v>
      </c>
      <c r="H41" s="82">
        <f>'Data Sheet'!G67/'Data Sheet'!G$76</f>
        <v>1.8044962424958302E-2</v>
      </c>
      <c r="I41" s="82">
        <f>'Data Sheet'!H67/'Data Sheet'!H$76</f>
        <v>2.9563266218136802E-2</v>
      </c>
      <c r="J41" s="82">
        <f>'Data Sheet'!I67/'Data Sheet'!I$76</f>
        <v>3.2896642647170161E-2</v>
      </c>
      <c r="K41" s="82">
        <f>'Data Sheet'!J67/'Data Sheet'!J$76</f>
        <v>3.0584139485067163E-2</v>
      </c>
      <c r="L41" s="82">
        <f>'Data Sheet'!K67/'Data Sheet'!K$76</f>
        <v>2.7844006612077171E-2</v>
      </c>
    </row>
    <row r="42" spans="2:12" x14ac:dyDescent="0.25">
      <c r="B42" s="136" t="str">
        <f>'Data Sheet'!A68</f>
        <v>Inventory</v>
      </c>
      <c r="C42" s="82">
        <f>'Data Sheet'!B68/'Data Sheet'!B$76</f>
        <v>3.3609517882911111E-2</v>
      </c>
      <c r="D42" s="82">
        <f>'Data Sheet'!C68/'Data Sheet'!C$76</f>
        <v>3.1488706021241389E-2</v>
      </c>
      <c r="E42" s="82">
        <f>'Data Sheet'!D68/'Data Sheet'!D$76</f>
        <v>6.8737096910475207E-2</v>
      </c>
      <c r="F42" s="82">
        <f>'Data Sheet'!E68/'Data Sheet'!E$76</f>
        <v>6.8056108410469288E-2</v>
      </c>
      <c r="G42" s="82">
        <f>'Data Sheet'!F68/'Data Sheet'!F$76</f>
        <v>7.3016959365892864E-2</v>
      </c>
      <c r="H42" s="82">
        <f>'Data Sheet'!G68/'Data Sheet'!G$76</f>
        <v>6.7009303018364566E-2</v>
      </c>
      <c r="I42" s="82">
        <f>'Data Sheet'!H68/'Data Sheet'!H$76</f>
        <v>8.4422793527576895E-2</v>
      </c>
      <c r="J42" s="82">
        <f>'Data Sheet'!I68/'Data Sheet'!I$76</f>
        <v>9.491533031471136E-2</v>
      </c>
      <c r="K42" s="82">
        <f>'Data Sheet'!J68/'Data Sheet'!J$76</f>
        <v>7.3784665872861727E-2</v>
      </c>
      <c r="L42" s="82">
        <f>'Data Sheet'!K68/'Data Sheet'!K$76</f>
        <v>7.503127087240298E-2</v>
      </c>
    </row>
    <row r="43" spans="2:12" x14ac:dyDescent="0.25">
      <c r="B43" s="136" t="str">
        <f>'Data Sheet'!A69</f>
        <v>Cash &amp; Bank</v>
      </c>
      <c r="C43" s="82">
        <f>'Data Sheet'!B69/'Data Sheet'!B$76</f>
        <v>4.7645653103586434E-2</v>
      </c>
      <c r="D43" s="82">
        <f>'Data Sheet'!C69/'Data Sheet'!C$76</f>
        <v>7.2238254009876393E-2</v>
      </c>
      <c r="E43" s="82">
        <f>'Data Sheet'!D69/'Data Sheet'!D$76</f>
        <v>2.9723031299994339E-2</v>
      </c>
      <c r="F43" s="82">
        <f>'Data Sheet'!E69/'Data Sheet'!E$76</f>
        <v>1.102457056601407E-2</v>
      </c>
      <c r="G43" s="82">
        <f>'Data Sheet'!F69/'Data Sheet'!F$76</f>
        <v>9.7892265374430101E-3</v>
      </c>
      <c r="H43" s="82">
        <f>'Data Sheet'!G69/'Data Sheet'!G$76</f>
        <v>1.8963261052060251E-2</v>
      </c>
      <c r="I43" s="82">
        <f>'Data Sheet'!H69/'Data Sheet'!H$76</f>
        <v>1.3276033592393063E-2</v>
      </c>
      <c r="J43" s="82">
        <f>'Data Sheet'!I69/'Data Sheet'!I$76</f>
        <v>1.1728809844372535E-2</v>
      </c>
      <c r="K43" s="82">
        <f>'Data Sheet'!J69/'Data Sheet'!J$76</f>
        <v>4.7528363869118614E-2</v>
      </c>
      <c r="L43" s="82">
        <f>'Data Sheet'!K69/'Data Sheet'!K$76</f>
        <v>5.1692008468104761E-2</v>
      </c>
    </row>
    <row r="44" spans="2:12" x14ac:dyDescent="0.25">
      <c r="B44" s="136"/>
      <c r="C44" s="57"/>
      <c r="D44" s="57"/>
      <c r="E44" s="57"/>
      <c r="F44" s="57"/>
      <c r="G44" s="57"/>
      <c r="H44" s="57"/>
      <c r="I44" s="57"/>
      <c r="J44" s="57"/>
      <c r="K44" s="57"/>
      <c r="L44" s="57"/>
    </row>
    <row r="45" spans="2:12" x14ac:dyDescent="0.25">
      <c r="B45" s="136"/>
    </row>
    <row r="46" spans="2:12" x14ac:dyDescent="0.25">
      <c r="B46" s="136"/>
    </row>
  </sheetData>
  <mergeCells count="3">
    <mergeCell ref="B4:L4"/>
    <mergeCell ref="B2:L2"/>
    <mergeCell ref="B26:L2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O19"/>
  <sheetViews>
    <sheetView showGridLines="0" topLeftCell="A10" zoomScale="130" zoomScaleNormal="130" workbookViewId="0">
      <selection activeCell="G37" sqref="G37"/>
    </sheetView>
  </sheetViews>
  <sheetFormatPr defaultRowHeight="15" x14ac:dyDescent="0.25"/>
  <cols>
    <col min="1" max="1" width="1.85546875" customWidth="1"/>
    <col min="2" max="2" width="14.42578125" customWidth="1"/>
    <col min="3" max="3" width="12" customWidth="1"/>
    <col min="4" max="4" width="12.42578125" customWidth="1"/>
    <col min="5" max="5" width="16.28515625" customWidth="1"/>
    <col min="6" max="6" width="2.7109375" style="44" customWidth="1"/>
    <col min="7" max="7" width="12" bestFit="1" customWidth="1"/>
    <col min="8" max="8" width="10.42578125" customWidth="1"/>
    <col min="9" max="9" width="15.28515625" customWidth="1"/>
    <col min="10" max="10" width="18" customWidth="1"/>
    <col min="11" max="11" width="2.7109375" style="44" customWidth="1"/>
    <col min="12" max="12" width="14.140625" customWidth="1"/>
    <col min="13" max="13" width="11.28515625" customWidth="1"/>
    <col min="14" max="14" width="15.28515625" customWidth="1"/>
    <col min="15" max="15" width="17.5703125" customWidth="1"/>
  </cols>
  <sheetData>
    <row r="2" spans="2:15" x14ac:dyDescent="0.25">
      <c r="B2" s="252" t="str">
        <f>'Data Sheet'!B1&amp;" - "&amp;'Data Sheet'!A17&amp;" Forecasting"</f>
        <v>OIL &amp; NATURAL GAS CORPN LTD - Sales Forecasting</v>
      </c>
      <c r="C2" s="252"/>
      <c r="D2" s="252"/>
      <c r="E2" s="252"/>
      <c r="G2" s="252" t="str">
        <f>'Data Sheet'!B1&amp;" - "&amp;'Historical FS'!B19&amp;" Forecasting"</f>
        <v>OIL &amp; NATURAL GAS CORPN LTD - EBITDA Forecasting</v>
      </c>
      <c r="H2" s="252"/>
      <c r="I2" s="252"/>
      <c r="J2" s="252"/>
      <c r="L2" s="252" t="str">
        <f>'Data Sheet'!B1&amp;" - "&amp;'Historical FS'!B39&amp;" Forecasting"</f>
        <v>OIL &amp; NATURAL GAS CORPN LTD - EPS Forecasting</v>
      </c>
      <c r="M2" s="252"/>
      <c r="N2" s="252"/>
      <c r="O2" s="252"/>
    </row>
    <row r="3" spans="2:15" x14ac:dyDescent="0.25">
      <c r="B3" s="128" t="s">
        <v>194</v>
      </c>
      <c r="C3" s="129" t="s">
        <v>195</v>
      </c>
      <c r="D3" s="129" t="s">
        <v>6</v>
      </c>
      <c r="E3" s="129" t="s">
        <v>22</v>
      </c>
      <c r="G3" s="128" t="s">
        <v>194</v>
      </c>
      <c r="H3" s="129" t="s">
        <v>195</v>
      </c>
      <c r="I3" s="129" t="s">
        <v>103</v>
      </c>
      <c r="J3" s="129" t="s">
        <v>161</v>
      </c>
      <c r="L3" s="128" t="s">
        <v>194</v>
      </c>
      <c r="M3" s="129" t="s">
        <v>195</v>
      </c>
      <c r="N3" s="129" t="s">
        <v>57</v>
      </c>
      <c r="O3" s="129" t="s">
        <v>223</v>
      </c>
    </row>
    <row r="4" spans="2:15" x14ac:dyDescent="0.25">
      <c r="B4" s="75">
        <v>1</v>
      </c>
      <c r="C4" s="99">
        <v>42094</v>
      </c>
      <c r="D4" s="100">
        <f t="array" ref="D4:D13">TRANSPOSE('Data Sheet'!B17:K17)</f>
        <v>160922.64000000001</v>
      </c>
      <c r="E4" s="57"/>
      <c r="G4" s="75">
        <v>1</v>
      </c>
      <c r="H4" s="99">
        <v>42094</v>
      </c>
      <c r="I4" s="100">
        <f t="array" ref="I4:I13">TRANSPOSE('Historical FS'!C19:L19)</f>
        <v>42312.320000000022</v>
      </c>
      <c r="J4" s="57"/>
      <c r="L4" s="75">
        <v>1</v>
      </c>
      <c r="M4" s="99">
        <v>42094</v>
      </c>
      <c r="N4" s="100">
        <f t="array" ref="N4:N13">TRANSPOSE('Historical FS'!C39:L39)</f>
        <v>9.1311520119689717</v>
      </c>
      <c r="O4" s="57"/>
    </row>
    <row r="5" spans="2:15" x14ac:dyDescent="0.25">
      <c r="B5" s="75">
        <v>2</v>
      </c>
      <c r="C5" s="99">
        <v>42460</v>
      </c>
      <c r="D5" s="100">
        <v>124035.71</v>
      </c>
      <c r="E5" s="57">
        <f>D5/D4-1</f>
        <v>-0.22922150668171992</v>
      </c>
      <c r="G5" s="75">
        <v>2</v>
      </c>
      <c r="H5" s="99">
        <v>42460</v>
      </c>
      <c r="I5" s="100">
        <v>39134.630000000012</v>
      </c>
      <c r="J5" s="57">
        <f>I5/I4-1</f>
        <v>-7.5100821699212172E-2</v>
      </c>
      <c r="L5" s="75">
        <v>2</v>
      </c>
      <c r="M5" s="99">
        <v>42460</v>
      </c>
      <c r="N5" s="100">
        <v>9.3774662593897169</v>
      </c>
      <c r="O5" s="57">
        <f>N5/N4-1</f>
        <v>2.6975155719440425E-2</v>
      </c>
    </row>
    <row r="6" spans="2:15" x14ac:dyDescent="0.25">
      <c r="B6" s="75">
        <v>3</v>
      </c>
      <c r="C6" s="99">
        <v>42825</v>
      </c>
      <c r="D6" s="100">
        <v>282506.11</v>
      </c>
      <c r="E6" s="57">
        <f t="shared" ref="E6:E19" si="0">D6/D5-1</f>
        <v>1.277619163061992</v>
      </c>
      <c r="G6" s="75">
        <v>3</v>
      </c>
      <c r="H6" s="99">
        <v>42825</v>
      </c>
      <c r="I6" s="100">
        <v>52803.669999999984</v>
      </c>
      <c r="J6" s="57">
        <f t="shared" ref="J6:J19" si="1">I6/I5-1</f>
        <v>0.34928246415003716</v>
      </c>
      <c r="L6" s="75">
        <v>3</v>
      </c>
      <c r="M6" s="99">
        <v>42825</v>
      </c>
      <c r="N6" s="100">
        <v>12.814372097372425</v>
      </c>
      <c r="O6" s="57">
        <f t="shared" ref="O6:O19" si="2">N6/N5-1</f>
        <v>0.36650687327627685</v>
      </c>
    </row>
    <row r="7" spans="2:15" x14ac:dyDescent="0.25">
      <c r="B7" s="75">
        <v>4</v>
      </c>
      <c r="C7" s="99">
        <v>43190</v>
      </c>
      <c r="D7" s="100">
        <v>322705.76</v>
      </c>
      <c r="E7" s="57">
        <f t="shared" si="0"/>
        <v>0.14229656838218485</v>
      </c>
      <c r="G7" s="75">
        <v>4</v>
      </c>
      <c r="H7" s="99">
        <v>43190</v>
      </c>
      <c r="I7" s="100">
        <v>56889.06</v>
      </c>
      <c r="J7" s="57">
        <f t="shared" si="1"/>
        <v>7.7369432844346164E-2</v>
      </c>
      <c r="L7" s="75">
        <v>4</v>
      </c>
      <c r="M7" s="99">
        <v>43190</v>
      </c>
      <c r="N7" s="100">
        <v>12.186040893931363</v>
      </c>
      <c r="O7" s="57">
        <f t="shared" si="2"/>
        <v>-4.9033319671581976E-2</v>
      </c>
    </row>
    <row r="8" spans="2:15" x14ac:dyDescent="0.25">
      <c r="B8" s="75">
        <v>5</v>
      </c>
      <c r="C8" s="99">
        <v>43555</v>
      </c>
      <c r="D8" s="100">
        <v>421623.93</v>
      </c>
      <c r="E8" s="57">
        <f t="shared" si="0"/>
        <v>0.30652743849381547</v>
      </c>
      <c r="G8" s="75">
        <v>5</v>
      </c>
      <c r="H8" s="99">
        <v>43555</v>
      </c>
      <c r="I8" s="100">
        <v>74818.989999999991</v>
      </c>
      <c r="J8" s="57">
        <f t="shared" si="1"/>
        <v>0.31517360279814777</v>
      </c>
      <c r="L8" s="75">
        <v>5</v>
      </c>
      <c r="M8" s="99">
        <v>43555</v>
      </c>
      <c r="N8" s="100">
        <v>19.372280470259046</v>
      </c>
      <c r="O8" s="57">
        <f t="shared" si="2"/>
        <v>0.5897107714373766</v>
      </c>
    </row>
    <row r="9" spans="2:15" x14ac:dyDescent="0.25">
      <c r="B9" s="75">
        <v>6</v>
      </c>
      <c r="C9" s="99">
        <v>43921</v>
      </c>
      <c r="D9" s="100">
        <v>396727.91</v>
      </c>
      <c r="E9" s="57">
        <f t="shared" si="0"/>
        <v>-5.9047929276689781E-2</v>
      </c>
      <c r="G9" s="75">
        <v>6</v>
      </c>
      <c r="H9" s="99">
        <v>43921</v>
      </c>
      <c r="I9" s="100">
        <v>52104.979999999967</v>
      </c>
      <c r="J9" s="57">
        <f t="shared" si="1"/>
        <v>-0.30358616174850828</v>
      </c>
      <c r="L9" s="75">
        <v>6</v>
      </c>
      <c r="M9" s="99">
        <v>43921</v>
      </c>
      <c r="N9" s="100">
        <v>8.3261686923205076</v>
      </c>
      <c r="O9" s="57">
        <f t="shared" si="2"/>
        <v>-0.57020193337056457</v>
      </c>
    </row>
    <row r="10" spans="2:15" x14ac:dyDescent="0.25">
      <c r="B10" s="75">
        <v>7</v>
      </c>
      <c r="C10" s="99">
        <v>44286</v>
      </c>
      <c r="D10" s="100">
        <v>303848.90999999997</v>
      </c>
      <c r="E10" s="57">
        <f t="shared" si="0"/>
        <v>-0.23411259369173198</v>
      </c>
      <c r="G10" s="75">
        <v>7</v>
      </c>
      <c r="H10" s="99">
        <v>44286</v>
      </c>
      <c r="I10" s="100">
        <v>49473.439999999988</v>
      </c>
      <c r="J10" s="57">
        <f t="shared" si="1"/>
        <v>-5.0504577489521751E-2</v>
      </c>
      <c r="L10" s="75">
        <v>7</v>
      </c>
      <c r="M10" s="99">
        <v>44286</v>
      </c>
      <c r="N10" s="100">
        <v>8.0202697868890152</v>
      </c>
      <c r="O10" s="57">
        <f t="shared" si="2"/>
        <v>-3.6739455653070352E-2</v>
      </c>
    </row>
    <row r="11" spans="2:15" x14ac:dyDescent="0.25">
      <c r="B11" s="75">
        <v>8</v>
      </c>
      <c r="C11" s="99">
        <v>44651</v>
      </c>
      <c r="D11" s="100">
        <v>491246.24</v>
      </c>
      <c r="E11" s="57">
        <f t="shared" si="0"/>
        <v>0.61674511190446601</v>
      </c>
      <c r="G11" s="75">
        <v>8</v>
      </c>
      <c r="H11" s="99">
        <v>44651</v>
      </c>
      <c r="I11" s="100">
        <v>79873.589999999967</v>
      </c>
      <c r="J11" s="57">
        <f t="shared" si="1"/>
        <v>0.61447415017027285</v>
      </c>
      <c r="L11" s="75">
        <v>8</v>
      </c>
      <c r="M11" s="99">
        <v>44651</v>
      </c>
      <c r="N11" s="100">
        <v>33.780871680325568</v>
      </c>
      <c r="O11" s="57">
        <f t="shared" si="2"/>
        <v>3.211937076673931</v>
      </c>
    </row>
    <row r="12" spans="2:15" x14ac:dyDescent="0.25">
      <c r="B12" s="75">
        <v>9</v>
      </c>
      <c r="C12" s="99">
        <v>45016</v>
      </c>
      <c r="D12" s="100">
        <v>632291.18000000005</v>
      </c>
      <c r="E12" s="57">
        <f t="shared" si="0"/>
        <v>0.28711657925361433</v>
      </c>
      <c r="G12" s="75">
        <v>9</v>
      </c>
      <c r="H12" s="99">
        <v>45016</v>
      </c>
      <c r="I12" s="100">
        <v>75526.990000000107</v>
      </c>
      <c r="J12" s="57">
        <f t="shared" si="1"/>
        <v>-5.4418488013370347E-2</v>
      </c>
      <c r="L12" s="75">
        <v>9</v>
      </c>
      <c r="M12" s="99">
        <v>45016</v>
      </c>
      <c r="N12" s="100">
        <v>26.078408305048455</v>
      </c>
      <c r="O12" s="57">
        <f t="shared" si="2"/>
        <v>-0.22801257019555032</v>
      </c>
    </row>
    <row r="13" spans="2:15" x14ac:dyDescent="0.25">
      <c r="B13" s="75">
        <v>10</v>
      </c>
      <c r="C13" s="99">
        <v>45382</v>
      </c>
      <c r="D13" s="100">
        <v>591396.26</v>
      </c>
      <c r="E13" s="57">
        <f t="shared" si="0"/>
        <v>-6.4677353240954694E-2</v>
      </c>
      <c r="G13" s="75">
        <v>10</v>
      </c>
      <c r="H13" s="99">
        <v>45382</v>
      </c>
      <c r="I13" s="100">
        <v>102835.44000000003</v>
      </c>
      <c r="J13" s="57">
        <f t="shared" si="1"/>
        <v>0.36157206847512247</v>
      </c>
      <c r="L13" s="75">
        <v>10</v>
      </c>
      <c r="M13" s="99">
        <v>45382</v>
      </c>
      <c r="N13" s="100">
        <v>35.070141411572088</v>
      </c>
      <c r="O13" s="57">
        <f t="shared" si="2"/>
        <v>0.34479608576352194</v>
      </c>
    </row>
    <row r="14" spans="2:15" x14ac:dyDescent="0.25">
      <c r="B14" s="90">
        <v>11</v>
      </c>
      <c r="C14" s="101">
        <v>45747</v>
      </c>
      <c r="D14" s="102">
        <f>FORECAST(B14,$D$4:$D$13,$B$4:$B$13)</f>
        <v>652539.96333333338</v>
      </c>
      <c r="E14" s="103">
        <f t="shared" si="0"/>
        <v>0.10338872168946978</v>
      </c>
      <c r="G14" s="90">
        <v>11</v>
      </c>
      <c r="H14" s="101">
        <v>45747</v>
      </c>
      <c r="I14" s="102">
        <f>FORECAST(G14,$I$4:$I$13,$G$4:$G$13)</f>
        <v>92238.755333333364</v>
      </c>
      <c r="J14" s="103">
        <f t="shared" si="1"/>
        <v>-0.10304506565700178</v>
      </c>
      <c r="L14" s="90">
        <v>11</v>
      </c>
      <c r="M14" s="101">
        <v>45747</v>
      </c>
      <c r="N14" s="102">
        <f>FORECAST(L14,$N$4:$N$13,$L$4:$L$13)</f>
        <v>31.803936218632355</v>
      </c>
      <c r="O14" s="103">
        <f t="shared" si="2"/>
        <v>-9.3133505069414535E-2</v>
      </c>
    </row>
    <row r="15" spans="2:15" x14ac:dyDescent="0.25">
      <c r="B15" s="90">
        <v>12</v>
      </c>
      <c r="C15" s="101">
        <v>46112</v>
      </c>
      <c r="D15" s="102">
        <f t="shared" ref="D15:D19" si="3">FORECAST(B15,$D$4:$D$13,$B$4:$B$13)</f>
        <v>703414.4175757576</v>
      </c>
      <c r="E15" s="103">
        <f t="shared" si="0"/>
        <v>7.7963737243838871E-2</v>
      </c>
      <c r="G15" s="90">
        <v>12</v>
      </c>
      <c r="H15" s="101">
        <v>46112</v>
      </c>
      <c r="I15" s="102">
        <f t="shared" ref="I15:I19" si="4">FORECAST(G15,$I$4:$I$13,$G$4:$G$13)</f>
        <v>97631.745212121241</v>
      </c>
      <c r="J15" s="103">
        <f t="shared" si="1"/>
        <v>5.8467721721727761E-2</v>
      </c>
      <c r="L15" s="90">
        <v>12</v>
      </c>
      <c r="M15" s="101">
        <v>46112</v>
      </c>
      <c r="N15" s="102">
        <f t="shared" ref="N15:N19" si="5">FORECAST(L15,$N$4:$N$13,$L$4:$L$13)</f>
        <v>34.419976047309561</v>
      </c>
      <c r="O15" s="103">
        <f t="shared" si="2"/>
        <v>8.2255221828315683E-2</v>
      </c>
    </row>
    <row r="16" spans="2:15" x14ac:dyDescent="0.25">
      <c r="B16" s="90">
        <v>13</v>
      </c>
      <c r="C16" s="101">
        <v>46477</v>
      </c>
      <c r="D16" s="102">
        <f t="shared" si="3"/>
        <v>754288.87181818183</v>
      </c>
      <c r="E16" s="103">
        <f t="shared" si="0"/>
        <v>7.2325009228212167E-2</v>
      </c>
      <c r="G16" s="90">
        <v>13</v>
      </c>
      <c r="H16" s="101">
        <v>46477</v>
      </c>
      <c r="I16" s="102">
        <f t="shared" si="4"/>
        <v>103024.73509090912</v>
      </c>
      <c r="J16" s="103">
        <f t="shared" si="1"/>
        <v>5.5238077195800539E-2</v>
      </c>
      <c r="L16" s="90">
        <v>13</v>
      </c>
      <c r="M16" s="101">
        <v>46477</v>
      </c>
      <c r="N16" s="102">
        <f t="shared" si="5"/>
        <v>37.036015875986777</v>
      </c>
      <c r="O16" s="103">
        <f t="shared" si="2"/>
        <v>7.6003534258173966E-2</v>
      </c>
    </row>
    <row r="17" spans="2:15" x14ac:dyDescent="0.25">
      <c r="B17" s="90">
        <v>14</v>
      </c>
      <c r="C17" s="101">
        <v>46843</v>
      </c>
      <c r="D17" s="102">
        <f t="shared" si="3"/>
        <v>805163.32606060617</v>
      </c>
      <c r="E17" s="103">
        <f t="shared" si="0"/>
        <v>6.7446910783389491E-2</v>
      </c>
      <c r="G17" s="90">
        <v>14</v>
      </c>
      <c r="H17" s="101">
        <v>46843</v>
      </c>
      <c r="I17" s="102">
        <f t="shared" si="4"/>
        <v>108417.724969697</v>
      </c>
      <c r="J17" s="103">
        <f t="shared" si="1"/>
        <v>5.2346554194282469E-2</v>
      </c>
      <c r="L17" s="90">
        <v>14</v>
      </c>
      <c r="M17" s="101">
        <v>46843</v>
      </c>
      <c r="N17" s="102">
        <f t="shared" si="5"/>
        <v>39.652055704663979</v>
      </c>
      <c r="O17" s="103">
        <f t="shared" si="2"/>
        <v>7.0635022877106435E-2</v>
      </c>
    </row>
    <row r="18" spans="2:15" x14ac:dyDescent="0.25">
      <c r="B18" s="90">
        <v>15</v>
      </c>
      <c r="C18" s="101">
        <v>47208</v>
      </c>
      <c r="D18" s="102">
        <f t="shared" si="3"/>
        <v>856037.78030303039</v>
      </c>
      <c r="E18" s="103">
        <f t="shared" si="0"/>
        <v>6.3185260177380131E-2</v>
      </c>
      <c r="G18" s="90">
        <v>15</v>
      </c>
      <c r="H18" s="101">
        <v>47208</v>
      </c>
      <c r="I18" s="102">
        <f t="shared" si="4"/>
        <v>113810.71484848489</v>
      </c>
      <c r="J18" s="103">
        <f t="shared" si="1"/>
        <v>4.9742695489093158E-2</v>
      </c>
      <c r="L18" s="90">
        <v>15</v>
      </c>
      <c r="M18" s="101">
        <v>47208</v>
      </c>
      <c r="N18" s="102">
        <f t="shared" si="5"/>
        <v>42.268095533341182</v>
      </c>
      <c r="O18" s="103">
        <f t="shared" si="2"/>
        <v>6.5974885341682166E-2</v>
      </c>
    </row>
    <row r="19" spans="2:15" x14ac:dyDescent="0.25">
      <c r="B19" s="90">
        <v>16</v>
      </c>
      <c r="C19" s="101">
        <v>47573</v>
      </c>
      <c r="D19" s="102">
        <f t="shared" si="3"/>
        <v>906912.23454545462</v>
      </c>
      <c r="E19" s="103">
        <f t="shared" si="0"/>
        <v>5.943015064640611E-2</v>
      </c>
      <c r="G19" s="90">
        <v>16</v>
      </c>
      <c r="H19" s="101">
        <v>47573</v>
      </c>
      <c r="I19" s="102">
        <f t="shared" si="4"/>
        <v>119203.70472727277</v>
      </c>
      <c r="J19" s="103">
        <f t="shared" si="1"/>
        <v>4.7385607637800309E-2</v>
      </c>
      <c r="L19" s="90">
        <v>16</v>
      </c>
      <c r="M19" s="101">
        <v>47573</v>
      </c>
      <c r="N19" s="102">
        <f t="shared" si="5"/>
        <v>44.884135362018398</v>
      </c>
      <c r="O19" s="103">
        <f t="shared" si="2"/>
        <v>6.1891594491492397E-2</v>
      </c>
    </row>
  </sheetData>
  <mergeCells count="3">
    <mergeCell ref="B2:E2"/>
    <mergeCell ref="G2:J2"/>
    <mergeCell ref="L2:O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AH38"/>
  <sheetViews>
    <sheetView showGridLines="0" zoomScale="160" zoomScaleNormal="160" workbookViewId="0">
      <pane ySplit="2" topLeftCell="A3" activePane="bottomLeft" state="frozen"/>
      <selection pane="bottomLeft" activeCell="J8" sqref="J8"/>
    </sheetView>
  </sheetViews>
  <sheetFormatPr defaultRowHeight="15" x14ac:dyDescent="0.25"/>
  <cols>
    <col min="1" max="1" width="1.85546875" customWidth="1"/>
    <col min="2" max="2" width="37.85546875" customWidth="1"/>
    <col min="3" max="3" width="11.85546875" customWidth="1"/>
    <col min="4" max="4" width="10" bestFit="1" customWidth="1"/>
    <col min="5" max="5" width="10.42578125" customWidth="1"/>
    <col min="6" max="6" width="11.5703125" customWidth="1"/>
    <col min="7" max="7" width="10.140625" customWidth="1"/>
    <col min="10" max="10" width="9.7109375" customWidth="1"/>
    <col min="11" max="11" width="12" customWidth="1"/>
    <col min="12" max="14" width="9.140625" style="44"/>
    <col min="15" max="15" width="11.7109375" style="44" customWidth="1"/>
    <col min="16" max="16" width="12.140625" style="44" bestFit="1" customWidth="1"/>
    <col min="17" max="17" width="9.140625" style="44"/>
  </cols>
  <sheetData>
    <row r="2" spans="2:11" ht="18.75" x14ac:dyDescent="0.3">
      <c r="B2" s="253" t="s">
        <v>224</v>
      </c>
      <c r="C2" s="253"/>
      <c r="D2" s="253"/>
      <c r="E2" s="253"/>
      <c r="F2" s="253"/>
      <c r="G2" s="253"/>
      <c r="H2" s="253"/>
      <c r="I2" s="253"/>
      <c r="J2" s="253"/>
      <c r="K2" s="253"/>
    </row>
    <row r="4" spans="2:11" x14ac:dyDescent="0.25">
      <c r="B4" s="104" t="s">
        <v>225</v>
      </c>
      <c r="C4" s="104"/>
    </row>
    <row r="5" spans="2:11" x14ac:dyDescent="0.25">
      <c r="B5" t="s">
        <v>226</v>
      </c>
    </row>
    <row r="6" spans="2:11" x14ac:dyDescent="0.25">
      <c r="B6" s="179"/>
      <c r="C6" s="179"/>
      <c r="D6" s="179"/>
      <c r="E6" s="179"/>
      <c r="F6" s="179"/>
      <c r="G6" s="179"/>
      <c r="H6" s="179" t="s">
        <v>231</v>
      </c>
      <c r="I6" s="179" t="s">
        <v>231</v>
      </c>
      <c r="J6" s="179" t="s">
        <v>234</v>
      </c>
      <c r="K6" s="179" t="s">
        <v>236</v>
      </c>
    </row>
    <row r="7" spans="2:11" ht="17.25" x14ac:dyDescent="0.25">
      <c r="B7" s="180" t="s">
        <v>238</v>
      </c>
      <c r="C7" s="180"/>
      <c r="D7" s="180" t="s">
        <v>227</v>
      </c>
      <c r="E7" s="180" t="s">
        <v>228</v>
      </c>
      <c r="F7" s="180" t="s">
        <v>229</v>
      </c>
      <c r="G7" s="180" t="s">
        <v>336</v>
      </c>
      <c r="H7" s="180" t="s">
        <v>232</v>
      </c>
      <c r="I7" s="180" t="s">
        <v>233</v>
      </c>
      <c r="J7" s="180" t="s">
        <v>337</v>
      </c>
      <c r="K7" s="180" t="s">
        <v>338</v>
      </c>
    </row>
    <row r="8" spans="2:11" x14ac:dyDescent="0.25">
      <c r="B8" s="107" t="s">
        <v>199</v>
      </c>
      <c r="C8" s="200"/>
      <c r="D8" s="107" t="s">
        <v>243</v>
      </c>
      <c r="E8" s="108">
        <v>187817.31</v>
      </c>
      <c r="F8" s="108">
        <v>307084.57</v>
      </c>
      <c r="G8" s="109">
        <v>0.3</v>
      </c>
      <c r="H8" s="57">
        <v>0.55000000000000004</v>
      </c>
      <c r="I8" s="57">
        <f>E8/(SUM(E8:F8))</f>
        <v>0.37950413524393967</v>
      </c>
      <c r="J8" s="108">
        <f>BETA!J8</f>
        <v>1.1431568506341123</v>
      </c>
      <c r="K8" s="105">
        <f>J8/(1+(1-G8)*H8)</f>
        <v>0.82538400767805942</v>
      </c>
    </row>
    <row r="9" spans="2:11" x14ac:dyDescent="0.25">
      <c r="B9" s="107" t="s">
        <v>239</v>
      </c>
      <c r="C9" s="201"/>
      <c r="D9" s="107" t="s">
        <v>243</v>
      </c>
      <c r="E9" s="108">
        <v>30645.24</v>
      </c>
      <c r="F9" s="108">
        <v>70196.320000000007</v>
      </c>
      <c r="G9" s="109">
        <v>0.3</v>
      </c>
      <c r="H9" s="57">
        <v>0.62</v>
      </c>
      <c r="I9" s="57">
        <f t="shared" ref="I9:I12" si="0">E9/(SUM(E9:F9))</f>
        <v>0.30389494172839054</v>
      </c>
      <c r="J9" s="108">
        <v>1.41</v>
      </c>
      <c r="K9" s="105">
        <f t="shared" ref="K9:K12" si="1">J9/(1+(1-G9)*H9)</f>
        <v>0.98326359832635979</v>
      </c>
    </row>
    <row r="10" spans="2:11" x14ac:dyDescent="0.25">
      <c r="B10" s="107" t="s">
        <v>240</v>
      </c>
      <c r="C10" s="201"/>
      <c r="D10" s="107" t="s">
        <v>243</v>
      </c>
      <c r="E10" s="108">
        <v>205.37</v>
      </c>
      <c r="F10" s="108">
        <v>2705.28</v>
      </c>
      <c r="G10" s="109">
        <v>0.3</v>
      </c>
      <c r="H10" s="57">
        <v>0.11</v>
      </c>
      <c r="I10" s="57">
        <f t="shared" si="0"/>
        <v>7.0558122756085404E-2</v>
      </c>
      <c r="J10" s="108">
        <v>2.38</v>
      </c>
      <c r="K10" s="105">
        <f t="shared" si="1"/>
        <v>2.2098421541318478</v>
      </c>
    </row>
    <row r="11" spans="2:11" x14ac:dyDescent="0.25">
      <c r="B11" s="107" t="s">
        <v>241</v>
      </c>
      <c r="C11" s="201"/>
      <c r="D11" s="107" t="s">
        <v>243</v>
      </c>
      <c r="E11" s="108">
        <v>145.13</v>
      </c>
      <c r="F11" s="108">
        <v>2401.5500000000002</v>
      </c>
      <c r="G11" s="109">
        <v>0.3</v>
      </c>
      <c r="H11" s="57">
        <v>0.12</v>
      </c>
      <c r="I11" s="57">
        <f t="shared" si="0"/>
        <v>5.6987921529206648E-2</v>
      </c>
      <c r="J11" s="108">
        <v>1.1299999999999999</v>
      </c>
      <c r="K11" s="105">
        <f t="shared" si="1"/>
        <v>1.0424354243542433</v>
      </c>
    </row>
    <row r="12" spans="2:11" x14ac:dyDescent="0.25">
      <c r="B12" s="107" t="s">
        <v>242</v>
      </c>
      <c r="C12" s="201"/>
      <c r="D12" s="107" t="s">
        <v>243</v>
      </c>
      <c r="E12" s="108">
        <v>24.07</v>
      </c>
      <c r="F12" s="108">
        <v>1408.61</v>
      </c>
      <c r="G12" s="109">
        <v>0.3</v>
      </c>
      <c r="H12" s="57">
        <v>0.06</v>
      </c>
      <c r="I12" s="57">
        <f t="shared" si="0"/>
        <v>1.6800681240751601E-2</v>
      </c>
      <c r="J12" s="108">
        <v>1.53</v>
      </c>
      <c r="K12" s="105">
        <f t="shared" si="1"/>
        <v>1.4683301343570057</v>
      </c>
    </row>
    <row r="14" spans="2:11" x14ac:dyDescent="0.25">
      <c r="F14" s="110" t="s">
        <v>244</v>
      </c>
      <c r="G14" s="112">
        <f>AVERAGE(G8:G12)</f>
        <v>0.3</v>
      </c>
      <c r="H14" s="112">
        <f t="shared" ref="H14:K14" si="2">AVERAGE(H8:H12)</f>
        <v>0.29199999999999998</v>
      </c>
      <c r="I14" s="112">
        <f t="shared" si="2"/>
        <v>0.16554916049967477</v>
      </c>
      <c r="J14" s="113">
        <f t="shared" si="2"/>
        <v>1.5186313701268224</v>
      </c>
      <c r="K14" s="113">
        <f t="shared" si="2"/>
        <v>1.3058510637695033</v>
      </c>
    </row>
    <row r="15" spans="2:11" x14ac:dyDescent="0.25">
      <c r="F15" s="111" t="s">
        <v>245</v>
      </c>
      <c r="G15" s="60">
        <f>MEDIAN(G8:G12)</f>
        <v>0.3</v>
      </c>
      <c r="H15" s="60">
        <f t="shared" ref="H15:K15" si="3">MEDIAN(H8:H12)</f>
        <v>0.12</v>
      </c>
      <c r="I15" s="60">
        <f t="shared" si="3"/>
        <v>7.0558122756085404E-2</v>
      </c>
      <c r="J15" s="114">
        <f t="shared" si="3"/>
        <v>1.41</v>
      </c>
      <c r="K15" s="114">
        <f t="shared" si="3"/>
        <v>1.0424354243542433</v>
      </c>
    </row>
    <row r="17" spans="2:34" x14ac:dyDescent="0.25">
      <c r="B17" s="116" t="s">
        <v>246</v>
      </c>
      <c r="C17" s="116"/>
      <c r="D17" s="59"/>
      <c r="E17" s="59"/>
      <c r="F17" s="11"/>
      <c r="G17" s="116" t="s">
        <v>249</v>
      </c>
      <c r="H17" s="59"/>
      <c r="I17" s="59"/>
      <c r="J17" s="59"/>
      <c r="K17" s="59"/>
      <c r="L17" s="11"/>
    </row>
    <row r="18" spans="2:34" x14ac:dyDescent="0.25">
      <c r="L18" s="11"/>
    </row>
    <row r="19" spans="2:34" x14ac:dyDescent="0.25">
      <c r="B19" t="s">
        <v>247</v>
      </c>
      <c r="E19" s="109">
        <f>10194/E8</f>
        <v>5.4276147390248539E-2</v>
      </c>
      <c r="F19" s="66">
        <f>E19/0.7</f>
        <v>7.7537353414640769E-2</v>
      </c>
      <c r="G19" t="s">
        <v>250</v>
      </c>
      <c r="K19" s="109">
        <v>6.2199999999999998E-2</v>
      </c>
      <c r="L19" s="11"/>
    </row>
    <row r="20" spans="2:34" x14ac:dyDescent="0.25">
      <c r="B20" t="s">
        <v>230</v>
      </c>
      <c r="C20" s="117"/>
      <c r="D20" s="117"/>
      <c r="E20" s="185">
        <v>0.3</v>
      </c>
      <c r="G20" s="11" t="s">
        <v>251</v>
      </c>
      <c r="H20" s="11"/>
      <c r="I20" s="11"/>
      <c r="K20" s="58">
        <f>Rm!G7-WACC!K19</f>
        <v>0.10504799999999997</v>
      </c>
      <c r="L20" s="11"/>
    </row>
    <row r="21" spans="2:34" ht="17.25" x14ac:dyDescent="0.25">
      <c r="B21" s="115" t="s">
        <v>248</v>
      </c>
      <c r="E21" s="181">
        <f>E19*(1-E20)</f>
        <v>3.7993303173173974E-2</v>
      </c>
      <c r="G21" s="117" t="s">
        <v>252</v>
      </c>
      <c r="H21" s="117"/>
      <c r="I21" s="117"/>
      <c r="K21" s="186">
        <f>K30</f>
        <v>1.1872037088899916</v>
      </c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44"/>
      <c r="AD21" s="44"/>
      <c r="AE21" s="44"/>
      <c r="AF21" s="44"/>
      <c r="AG21" s="44"/>
      <c r="AH21" s="44"/>
    </row>
    <row r="22" spans="2:34" x14ac:dyDescent="0.25">
      <c r="G22" s="18" t="s">
        <v>249</v>
      </c>
      <c r="J22" s="115"/>
      <c r="K22" s="198">
        <f>K19+K20*K21</f>
        <v>0.1869133752114758</v>
      </c>
      <c r="L22" s="20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69"/>
      <c r="Z22" s="69"/>
      <c r="AA22" s="69"/>
      <c r="AB22" s="69"/>
      <c r="AC22" s="44"/>
      <c r="AD22" s="44"/>
      <c r="AE22" s="44"/>
      <c r="AF22" s="44"/>
      <c r="AG22" s="44"/>
      <c r="AH22" s="44"/>
    </row>
    <row r="23" spans="2:34" x14ac:dyDescent="0.25">
      <c r="L23" s="206"/>
      <c r="M23" s="207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69"/>
      <c r="AA23" s="69"/>
      <c r="AB23" s="69"/>
      <c r="AC23" s="44"/>
      <c r="AD23" s="44"/>
      <c r="AE23" s="44"/>
      <c r="AF23" s="44"/>
      <c r="AG23" s="44"/>
      <c r="AH23" s="44"/>
    </row>
    <row r="24" spans="2:34" x14ac:dyDescent="0.25">
      <c r="L24" s="209"/>
      <c r="M24" s="207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69"/>
      <c r="AA24" s="69"/>
      <c r="AB24" s="69"/>
      <c r="AC24" s="44"/>
      <c r="AD24" s="44"/>
      <c r="AE24" s="44"/>
      <c r="AF24" s="44"/>
      <c r="AG24" s="44"/>
      <c r="AH24" s="44"/>
    </row>
    <row r="25" spans="2:34" x14ac:dyDescent="0.25">
      <c r="B25" s="116" t="s">
        <v>253</v>
      </c>
      <c r="C25" s="59"/>
      <c r="D25" s="59"/>
      <c r="E25" s="59"/>
      <c r="G25" s="116" t="s">
        <v>253</v>
      </c>
      <c r="H25" s="59"/>
      <c r="I25" s="59"/>
      <c r="J25" s="59"/>
      <c r="K25" s="59"/>
      <c r="L25" s="203"/>
      <c r="M25" s="202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44"/>
      <c r="AA25" s="44"/>
      <c r="AB25" s="44"/>
      <c r="AC25" s="44"/>
      <c r="AD25" s="44"/>
      <c r="AE25" s="44"/>
      <c r="AF25" s="44"/>
      <c r="AG25" s="44"/>
      <c r="AH25" s="44"/>
    </row>
    <row r="26" spans="2:34" x14ac:dyDescent="0.25">
      <c r="L26" s="203"/>
      <c r="M26" s="202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44"/>
      <c r="AA26" s="44"/>
      <c r="AB26" s="44"/>
      <c r="AC26" s="44"/>
      <c r="AD26" s="44"/>
      <c r="AE26" s="44"/>
      <c r="AF26" s="44"/>
      <c r="AG26" s="44"/>
      <c r="AH26" s="44"/>
    </row>
    <row r="27" spans="2:34" x14ac:dyDescent="0.25">
      <c r="D27" s="118" t="s">
        <v>254</v>
      </c>
      <c r="E27" s="118" t="s">
        <v>255</v>
      </c>
      <c r="G27" t="s">
        <v>339</v>
      </c>
      <c r="I27" s="182"/>
      <c r="K27" s="192">
        <f>K15</f>
        <v>1.0424354243542433</v>
      </c>
      <c r="L27" s="203"/>
      <c r="M27" s="202"/>
      <c r="N27" s="201"/>
      <c r="O27" s="201"/>
      <c r="P27" s="201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 spans="2:34" x14ac:dyDescent="0.25">
      <c r="B28" s="11" t="s">
        <v>256</v>
      </c>
      <c r="C28" s="183">
        <f>E8</f>
        <v>187817.31</v>
      </c>
      <c r="D28" s="58">
        <f>C28/C30</f>
        <v>0.37950413524393967</v>
      </c>
      <c r="E28" s="109">
        <f>I14</f>
        <v>0.16554916049967477</v>
      </c>
      <c r="G28" s="11" t="s">
        <v>340</v>
      </c>
      <c r="H28" s="183"/>
      <c r="I28" s="58"/>
      <c r="K28" s="184">
        <f>E32</f>
        <v>0.19839294619058295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 spans="2:34" x14ac:dyDescent="0.25">
      <c r="B29" s="11" t="s">
        <v>79</v>
      </c>
      <c r="C29" s="183">
        <f>F8</f>
        <v>307084.57</v>
      </c>
      <c r="D29" s="58">
        <f>C29/C30</f>
        <v>0.62049586475606033</v>
      </c>
      <c r="E29" s="57">
        <f>1-E28</f>
        <v>0.83445083950032517</v>
      </c>
      <c r="G29" s="18" t="s">
        <v>230</v>
      </c>
      <c r="H29" s="183"/>
      <c r="I29" s="58"/>
      <c r="K29" s="57">
        <f>E20</f>
        <v>0.3</v>
      </c>
    </row>
    <row r="30" spans="2:34" x14ac:dyDescent="0.25">
      <c r="B30" s="187" t="s">
        <v>257</v>
      </c>
      <c r="C30" s="188">
        <f>SUM(C28:C29)</f>
        <v>494901.88</v>
      </c>
      <c r="D30" s="177">
        <f>C30/C30</f>
        <v>1</v>
      </c>
      <c r="E30" s="177">
        <f>E29+E28</f>
        <v>1</v>
      </c>
      <c r="G30" s="187" t="s">
        <v>341</v>
      </c>
      <c r="H30" s="188"/>
      <c r="I30" s="177"/>
      <c r="J30" s="115"/>
      <c r="K30" s="199">
        <f>K27*(1+(1-K29)*K28)</f>
        <v>1.1872037088899916</v>
      </c>
    </row>
    <row r="32" spans="2:34" ht="15.75" thickBot="1" x14ac:dyDescent="0.3">
      <c r="B32" t="s">
        <v>342</v>
      </c>
      <c r="D32" s="189">
        <f>D28/D29</f>
        <v>0.61161428592781464</v>
      </c>
      <c r="E32" s="191">
        <f>E28/E29</f>
        <v>0.19839294619058295</v>
      </c>
      <c r="G32" s="193" t="s">
        <v>224</v>
      </c>
      <c r="H32" s="190"/>
      <c r="I32" s="190"/>
      <c r="J32" s="11"/>
    </row>
    <row r="33" spans="2:11" ht="15.75" thickTop="1" x14ac:dyDescent="0.25">
      <c r="J33" s="195"/>
      <c r="K33" s="195"/>
    </row>
    <row r="34" spans="2:11" x14ac:dyDescent="0.25">
      <c r="B34" s="197" t="s">
        <v>346</v>
      </c>
      <c r="C34" s="197"/>
      <c r="D34" s="197"/>
      <c r="J34" s="116" t="s">
        <v>344</v>
      </c>
      <c r="K34" s="116" t="s">
        <v>345</v>
      </c>
    </row>
    <row r="35" spans="2:11" x14ac:dyDescent="0.25">
      <c r="B35" s="197" t="s">
        <v>347</v>
      </c>
      <c r="C35" s="197"/>
      <c r="D35" s="197"/>
      <c r="G35" t="s">
        <v>343</v>
      </c>
      <c r="J35" s="57">
        <f>E21</f>
        <v>3.7993303173173974E-2</v>
      </c>
      <c r="K35" s="57">
        <f>E28</f>
        <v>0.16554916049967477</v>
      </c>
    </row>
    <row r="36" spans="2:11" x14ac:dyDescent="0.25">
      <c r="B36" s="197" t="s">
        <v>348</v>
      </c>
      <c r="C36" s="197"/>
      <c r="D36" s="197"/>
      <c r="G36" t="s">
        <v>232</v>
      </c>
      <c r="J36" s="57">
        <f>K22</f>
        <v>0.1869133752114758</v>
      </c>
      <c r="K36" s="57">
        <f>E29</f>
        <v>0.83445083950032517</v>
      </c>
    </row>
    <row r="37" spans="2:11" x14ac:dyDescent="0.25">
      <c r="B37" s="197" t="s">
        <v>349</v>
      </c>
      <c r="C37" s="197"/>
      <c r="D37" s="197"/>
      <c r="G37" s="194" t="s">
        <v>224</v>
      </c>
      <c r="H37" s="194"/>
      <c r="I37" s="194"/>
      <c r="J37" s="115"/>
      <c r="K37" s="178">
        <f>SUMPRODUCT(J35:J36,K35:K36)</f>
        <v>0.16225978230398383</v>
      </c>
    </row>
    <row r="38" spans="2:11" x14ac:dyDescent="0.25">
      <c r="B38" s="197" t="s">
        <v>350</v>
      </c>
      <c r="C38" s="197"/>
      <c r="D38" s="197"/>
    </row>
  </sheetData>
  <mergeCells count="1">
    <mergeCell ref="B2:K2"/>
  </mergeCells>
  <pageMargins left="0.25" right="0.25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4:V218"/>
  <sheetViews>
    <sheetView showGridLines="0" topLeftCell="D1" zoomScale="115" zoomScaleNormal="115" workbookViewId="0">
      <selection activeCell="M28" sqref="M28"/>
    </sheetView>
  </sheetViews>
  <sheetFormatPr defaultRowHeight="15" x14ac:dyDescent="0.25"/>
  <cols>
    <col min="1" max="1" width="1.85546875" customWidth="1"/>
    <col min="2" max="2" width="15.28515625" style="119" bestFit="1" customWidth="1"/>
    <col min="3" max="3" width="14.85546875" style="126" customWidth="1"/>
    <col min="4" max="4" width="12.85546875" customWidth="1"/>
    <col min="6" max="6" width="12.28515625" style="100" bestFit="1" customWidth="1"/>
    <col min="7" max="7" width="10.140625" bestFit="1" customWidth="1"/>
    <col min="9" max="9" width="19.28515625" customWidth="1"/>
    <col min="10" max="10" width="11" bestFit="1" customWidth="1"/>
    <col min="12" max="12" width="18.42578125" bestFit="1" customWidth="1"/>
    <col min="13" max="13" width="16.42578125" customWidth="1"/>
  </cols>
  <sheetData>
    <row r="4" spans="2:13" x14ac:dyDescent="0.25">
      <c r="B4" s="121" t="s">
        <v>272</v>
      </c>
    </row>
    <row r="5" spans="2:13" x14ac:dyDescent="0.25">
      <c r="B5" s="121"/>
    </row>
    <row r="6" spans="2:13" x14ac:dyDescent="0.25">
      <c r="B6" s="254" t="s">
        <v>260</v>
      </c>
      <c r="C6" s="254"/>
      <c r="D6" s="254"/>
      <c r="F6" s="255" t="s">
        <v>262</v>
      </c>
      <c r="G6" s="255"/>
      <c r="I6" s="254" t="s">
        <v>266</v>
      </c>
      <c r="J6" s="254"/>
      <c r="L6" t="s">
        <v>264</v>
      </c>
      <c r="M6" s="105">
        <f>SLOPE(D9:D218,G9:G218)</f>
        <v>1.1431568506341123</v>
      </c>
    </row>
    <row r="7" spans="2:13" x14ac:dyDescent="0.25">
      <c r="B7" s="121"/>
      <c r="L7" t="s">
        <v>235</v>
      </c>
      <c r="M7" s="105">
        <f>_xlfn.COVARIANCE.S(D9:D218,G9:G218)/_xlfn.VAR.S(G9:G218)</f>
        <v>1.1431568506341117</v>
      </c>
    </row>
    <row r="8" spans="2:13" x14ac:dyDescent="0.25">
      <c r="B8" s="122" t="s">
        <v>258</v>
      </c>
      <c r="C8" s="125" t="s">
        <v>259</v>
      </c>
      <c r="D8" s="123" t="s">
        <v>261</v>
      </c>
      <c r="F8" s="125" t="s">
        <v>259</v>
      </c>
      <c r="G8" s="124" t="s">
        <v>263</v>
      </c>
      <c r="I8" s="43" t="s">
        <v>267</v>
      </c>
      <c r="J8" s="105">
        <f>M6</f>
        <v>1.1431568506341123</v>
      </c>
      <c r="L8" t="s">
        <v>237</v>
      </c>
      <c r="M8" s="105">
        <f>M28</f>
        <v>1.1431568506341119</v>
      </c>
    </row>
    <row r="9" spans="2:13" x14ac:dyDescent="0.25">
      <c r="B9" s="120">
        <v>45743</v>
      </c>
      <c r="C9" s="126">
        <v>242.17</v>
      </c>
      <c r="D9" s="66"/>
      <c r="F9" s="100">
        <v>23591.95</v>
      </c>
      <c r="G9" s="66"/>
      <c r="I9" t="s">
        <v>268</v>
      </c>
      <c r="J9" s="106">
        <v>0.75</v>
      </c>
    </row>
    <row r="10" spans="2:13" x14ac:dyDescent="0.25">
      <c r="B10" s="120">
        <v>45744</v>
      </c>
      <c r="C10" s="126">
        <v>246.38</v>
      </c>
      <c r="D10" s="66">
        <f t="shared" ref="D10:D45" si="0">C10/C9-1</f>
        <v>1.7384481975471822E-2</v>
      </c>
      <c r="F10" s="100">
        <v>23519.35</v>
      </c>
      <c r="G10" s="66">
        <f t="shared" ref="G10:G45" si="1">F10/F9-1</f>
        <v>-3.0773208658039231E-3</v>
      </c>
    </row>
    <row r="11" spans="2:13" x14ac:dyDescent="0.25">
      <c r="B11" s="120">
        <v>45748</v>
      </c>
      <c r="C11" s="126">
        <v>248.07</v>
      </c>
      <c r="D11" s="66">
        <f t="shared" si="0"/>
        <v>6.8593229969964309E-3</v>
      </c>
      <c r="F11" s="100">
        <v>23165.7</v>
      </c>
      <c r="G11" s="66">
        <f t="shared" si="1"/>
        <v>-1.5036555006834651E-2</v>
      </c>
      <c r="I11" t="s">
        <v>270</v>
      </c>
      <c r="J11" s="105">
        <v>1</v>
      </c>
      <c r="L11" t="s">
        <v>200</v>
      </c>
    </row>
    <row r="12" spans="2:13" ht="15.75" thickBot="1" x14ac:dyDescent="0.3">
      <c r="B12" s="120">
        <v>45749</v>
      </c>
      <c r="C12" s="126">
        <v>250.64</v>
      </c>
      <c r="D12" s="66">
        <f t="shared" si="0"/>
        <v>1.035997903817476E-2</v>
      </c>
      <c r="F12" s="100">
        <v>23332.35</v>
      </c>
      <c r="G12" s="66">
        <f t="shared" si="1"/>
        <v>7.1938253538634811E-3</v>
      </c>
      <c r="I12" t="s">
        <v>269</v>
      </c>
      <c r="J12" s="106">
        <v>0.25</v>
      </c>
    </row>
    <row r="13" spans="2:13" x14ac:dyDescent="0.25">
      <c r="B13" s="120">
        <v>45750</v>
      </c>
      <c r="C13" s="126">
        <v>243.31</v>
      </c>
      <c r="D13" s="66">
        <f t="shared" si="0"/>
        <v>-2.9245132460899992E-2</v>
      </c>
      <c r="F13" s="100">
        <v>23250.1</v>
      </c>
      <c r="G13" s="66">
        <f t="shared" si="1"/>
        <v>-3.5251485598322141E-3</v>
      </c>
      <c r="L13" s="89" t="s">
        <v>201</v>
      </c>
      <c r="M13" s="89"/>
    </row>
    <row r="14" spans="2:13" x14ac:dyDescent="0.25">
      <c r="B14" s="120">
        <v>45751</v>
      </c>
      <c r="C14" s="126">
        <v>226.01</v>
      </c>
      <c r="D14" s="66">
        <f t="shared" si="0"/>
        <v>-7.1102708478895327E-2</v>
      </c>
      <c r="F14" s="100">
        <v>22904.45</v>
      </c>
      <c r="G14" s="66">
        <f t="shared" si="1"/>
        <v>-1.4866602724289302E-2</v>
      </c>
      <c r="I14" s="40" t="s">
        <v>271</v>
      </c>
      <c r="J14" s="127">
        <f>(J8*J9)+(J12*J11)</f>
        <v>1.1073676379755844</v>
      </c>
      <c r="L14" s="86" t="s">
        <v>202</v>
      </c>
      <c r="M14" s="86">
        <v>0.6567746261012446</v>
      </c>
    </row>
    <row r="15" spans="2:13" x14ac:dyDescent="0.25">
      <c r="B15" s="120">
        <v>45754</v>
      </c>
      <c r="C15" s="126">
        <v>219.84</v>
      </c>
      <c r="D15" s="66">
        <f t="shared" si="0"/>
        <v>-2.7299677005442224E-2</v>
      </c>
      <c r="F15" s="100">
        <v>22161.599999999999</v>
      </c>
      <c r="G15" s="66">
        <f t="shared" si="1"/>
        <v>-3.2432562231356932E-2</v>
      </c>
      <c r="L15" s="86" t="s">
        <v>203</v>
      </c>
      <c r="M15" s="86">
        <v>0.43135290949042959</v>
      </c>
    </row>
    <row r="16" spans="2:13" x14ac:dyDescent="0.25">
      <c r="B16" s="120">
        <v>45755</v>
      </c>
      <c r="C16" s="126">
        <v>226.66</v>
      </c>
      <c r="D16" s="66">
        <f t="shared" si="0"/>
        <v>3.1022561863173204E-2</v>
      </c>
      <c r="F16" s="100">
        <v>22535.85</v>
      </c>
      <c r="G16" s="66">
        <f t="shared" si="1"/>
        <v>1.68873186051548E-2</v>
      </c>
      <c r="L16" s="86" t="s">
        <v>204</v>
      </c>
      <c r="M16" s="86">
        <v>0.41462799506367753</v>
      </c>
    </row>
    <row r="17" spans="2:22" x14ac:dyDescent="0.25">
      <c r="B17" s="120">
        <v>45756</v>
      </c>
      <c r="C17" s="126">
        <v>221.94</v>
      </c>
      <c r="D17" s="66">
        <f t="shared" si="0"/>
        <v>-2.0824141886526037E-2</v>
      </c>
      <c r="F17" s="100">
        <v>22399.15</v>
      </c>
      <c r="G17" s="66">
        <f t="shared" si="1"/>
        <v>-6.0658905699140231E-3</v>
      </c>
      <c r="L17" s="86" t="s">
        <v>205</v>
      </c>
      <c r="M17" s="86">
        <v>1.7179607778120269E-2</v>
      </c>
    </row>
    <row r="18" spans="2:22" ht="15.75" thickBot="1" x14ac:dyDescent="0.3">
      <c r="B18" s="120">
        <v>45758</v>
      </c>
      <c r="C18" s="126">
        <v>230.37</v>
      </c>
      <c r="D18" s="66">
        <f t="shared" si="0"/>
        <v>3.7983238713165779E-2</v>
      </c>
      <c r="F18" s="100">
        <v>22828.55</v>
      </c>
      <c r="G18" s="66">
        <f t="shared" si="1"/>
        <v>1.91703703042303E-2</v>
      </c>
      <c r="L18" s="87" t="s">
        <v>206</v>
      </c>
      <c r="M18" s="87">
        <v>36</v>
      </c>
    </row>
    <row r="19" spans="2:22" x14ac:dyDescent="0.25">
      <c r="B19" s="120">
        <v>45762</v>
      </c>
      <c r="C19" s="126">
        <v>232.69</v>
      </c>
      <c r="D19" s="66">
        <f t="shared" si="0"/>
        <v>1.0070755740764881E-2</v>
      </c>
      <c r="F19" s="100">
        <v>23328.55</v>
      </c>
      <c r="G19" s="66">
        <f t="shared" si="1"/>
        <v>2.1902398531663314E-2</v>
      </c>
    </row>
    <row r="20" spans="2:22" ht="15.75" thickBot="1" x14ac:dyDescent="0.3">
      <c r="B20" s="120">
        <v>45763</v>
      </c>
      <c r="C20" s="126">
        <v>241.22</v>
      </c>
      <c r="D20" s="66">
        <f t="shared" si="0"/>
        <v>3.6658214792212762E-2</v>
      </c>
      <c r="F20" s="100">
        <v>23437.200000000001</v>
      </c>
      <c r="G20" s="66">
        <f t="shared" si="1"/>
        <v>4.6573833350123106E-3</v>
      </c>
      <c r="L20" t="s">
        <v>207</v>
      </c>
    </row>
    <row r="21" spans="2:22" x14ac:dyDescent="0.25">
      <c r="B21" s="120">
        <v>45764</v>
      </c>
      <c r="C21" s="126">
        <v>243.49</v>
      </c>
      <c r="D21" s="66">
        <f t="shared" si="0"/>
        <v>9.4104966420696101E-3</v>
      </c>
      <c r="F21" s="100">
        <v>23851.65</v>
      </c>
      <c r="G21" s="66">
        <f t="shared" si="1"/>
        <v>1.7683426347857356E-2</v>
      </c>
      <c r="L21" s="88"/>
      <c r="M21" s="88" t="s">
        <v>211</v>
      </c>
      <c r="N21" s="88" t="s">
        <v>212</v>
      </c>
      <c r="O21" s="88" t="s">
        <v>213</v>
      </c>
      <c r="P21" s="88" t="s">
        <v>214</v>
      </c>
      <c r="Q21" s="88" t="s">
        <v>215</v>
      </c>
    </row>
    <row r="22" spans="2:22" x14ac:dyDescent="0.25">
      <c r="B22" s="120">
        <v>45768</v>
      </c>
      <c r="C22" s="126">
        <v>249.78</v>
      </c>
      <c r="D22" s="66">
        <f t="shared" si="0"/>
        <v>2.583268306706632E-2</v>
      </c>
      <c r="F22" s="100">
        <v>24125.55</v>
      </c>
      <c r="G22" s="66">
        <f t="shared" si="1"/>
        <v>1.1483482274811108E-2</v>
      </c>
      <c r="L22" s="86" t="s">
        <v>208</v>
      </c>
      <c r="M22" s="86">
        <v>1</v>
      </c>
      <c r="N22" s="86">
        <v>7.6119392941803744E-3</v>
      </c>
      <c r="O22" s="86">
        <v>7.6119392941803744E-3</v>
      </c>
      <c r="P22" s="86">
        <v>25.79103835655302</v>
      </c>
      <c r="Q22" s="86">
        <v>1.358936420084652E-5</v>
      </c>
    </row>
    <row r="23" spans="2:22" x14ac:dyDescent="0.25">
      <c r="B23" s="120">
        <v>45769</v>
      </c>
      <c r="C23" s="126">
        <v>247.78</v>
      </c>
      <c r="D23" s="66">
        <f t="shared" si="0"/>
        <v>-8.0070462006566201E-3</v>
      </c>
      <c r="F23" s="100">
        <v>24167.25</v>
      </c>
      <c r="G23" s="66">
        <f t="shared" si="1"/>
        <v>1.7284580040661801E-3</v>
      </c>
      <c r="L23" s="86" t="s">
        <v>209</v>
      </c>
      <c r="M23" s="86">
        <v>34</v>
      </c>
      <c r="N23" s="86">
        <v>1.0034723395941714E-2</v>
      </c>
      <c r="O23" s="86">
        <v>2.9513892341005043E-4</v>
      </c>
      <c r="P23" s="86"/>
      <c r="Q23" s="86"/>
    </row>
    <row r="24" spans="2:22" ht="15.75" thickBot="1" x14ac:dyDescent="0.3">
      <c r="B24" s="120">
        <v>45770</v>
      </c>
      <c r="C24" s="126">
        <v>252.17</v>
      </c>
      <c r="D24" s="66">
        <f t="shared" si="0"/>
        <v>1.7717329889417988E-2</v>
      </c>
      <c r="F24" s="100">
        <v>24328.95</v>
      </c>
      <c r="G24" s="66">
        <f t="shared" si="1"/>
        <v>6.6908729789281196E-3</v>
      </c>
      <c r="L24" s="87" t="s">
        <v>26</v>
      </c>
      <c r="M24" s="87">
        <v>35</v>
      </c>
      <c r="N24" s="87">
        <v>1.7646662690122088E-2</v>
      </c>
      <c r="O24" s="87"/>
      <c r="P24" s="87"/>
      <c r="Q24" s="87"/>
    </row>
    <row r="25" spans="2:22" ht="15.75" thickBot="1" x14ac:dyDescent="0.3">
      <c r="B25" s="120">
        <v>45771</v>
      </c>
      <c r="C25" s="126">
        <v>249.37</v>
      </c>
      <c r="D25" s="66">
        <f t="shared" si="0"/>
        <v>-1.1103620573422623E-2</v>
      </c>
      <c r="F25" s="100">
        <v>24246.7</v>
      </c>
      <c r="G25" s="66">
        <f t="shared" si="1"/>
        <v>-3.380745983694311E-3</v>
      </c>
    </row>
    <row r="26" spans="2:22" x14ac:dyDescent="0.25">
      <c r="B26" s="120">
        <v>45772</v>
      </c>
      <c r="C26" s="126">
        <v>246.33</v>
      </c>
      <c r="D26" s="66">
        <f t="shared" si="0"/>
        <v>-1.2190720615952166E-2</v>
      </c>
      <c r="F26" s="100">
        <v>24039.35</v>
      </c>
      <c r="G26" s="66">
        <f t="shared" si="1"/>
        <v>-8.5516791975815964E-3</v>
      </c>
      <c r="L26" s="88"/>
      <c r="M26" s="88" t="s">
        <v>216</v>
      </c>
      <c r="N26" s="88" t="s">
        <v>205</v>
      </c>
      <c r="O26" s="88" t="s">
        <v>217</v>
      </c>
      <c r="P26" s="88" t="s">
        <v>218</v>
      </c>
      <c r="Q26" s="88" t="s">
        <v>219</v>
      </c>
      <c r="R26" s="88" t="s">
        <v>220</v>
      </c>
      <c r="S26" s="88" t="s">
        <v>221</v>
      </c>
      <c r="T26" s="88" t="s">
        <v>222</v>
      </c>
      <c r="U26" s="88" t="s">
        <v>221</v>
      </c>
      <c r="V26" s="88" t="s">
        <v>222</v>
      </c>
    </row>
    <row r="27" spans="2:22" x14ac:dyDescent="0.25">
      <c r="B27" s="120">
        <v>45775</v>
      </c>
      <c r="C27" s="126">
        <v>250.6</v>
      </c>
      <c r="D27" s="66">
        <f t="shared" si="0"/>
        <v>1.7334470019891857E-2</v>
      </c>
      <c r="F27" s="100">
        <v>24328.5</v>
      </c>
      <c r="G27" s="66">
        <f t="shared" si="1"/>
        <v>1.2028195437896683E-2</v>
      </c>
      <c r="L27" s="86" t="s">
        <v>210</v>
      </c>
      <c r="M27" s="86">
        <v>-1.2630961199472362E-3</v>
      </c>
      <c r="N27" s="86">
        <v>2.8838608666777667E-3</v>
      </c>
      <c r="O27" s="86">
        <v>-0.43798788441632902</v>
      </c>
      <c r="P27" s="86">
        <v>0.66416516464626196</v>
      </c>
      <c r="Q27" s="86">
        <v>-7.1238065318893658E-3</v>
      </c>
      <c r="R27" s="86">
        <v>4.5976142919948934E-3</v>
      </c>
      <c r="S27" s="86">
        <v>-7.1238065318893658E-3</v>
      </c>
      <c r="T27" s="86">
        <v>4.5976142919948934E-3</v>
      </c>
      <c r="U27" s="86">
        <v>-3.0257377629167768E-3</v>
      </c>
      <c r="V27" s="86">
        <v>1.3673757141161162E-3</v>
      </c>
    </row>
    <row r="28" spans="2:22" ht="15.75" thickBot="1" x14ac:dyDescent="0.3">
      <c r="B28" s="120">
        <v>45776</v>
      </c>
      <c r="C28" s="126">
        <v>245.68</v>
      </c>
      <c r="D28" s="66">
        <f t="shared" si="0"/>
        <v>-1.963288108539496E-2</v>
      </c>
      <c r="F28" s="100">
        <v>24335.95</v>
      </c>
      <c r="G28" s="66">
        <f t="shared" si="1"/>
        <v>3.0622520911682827E-4</v>
      </c>
      <c r="L28" s="87" t="s">
        <v>265</v>
      </c>
      <c r="M28" s="87">
        <v>1.1431568506341119</v>
      </c>
      <c r="N28" s="87">
        <v>0.22509788251354851</v>
      </c>
      <c r="O28" s="87">
        <v>5.0784878021467215</v>
      </c>
      <c r="P28" s="87">
        <v>1.3589364200846447E-5</v>
      </c>
      <c r="Q28" s="87">
        <v>0.68570291483690793</v>
      </c>
      <c r="R28" s="87">
        <v>1.6006107864313157</v>
      </c>
      <c r="S28" s="87">
        <v>0.68570291483690793</v>
      </c>
      <c r="T28" s="87">
        <v>1.6006107864313157</v>
      </c>
      <c r="U28" s="87">
        <v>1.3248891710762185</v>
      </c>
      <c r="V28" s="87">
        <v>1.7713570072411968</v>
      </c>
    </row>
    <row r="29" spans="2:22" x14ac:dyDescent="0.25">
      <c r="B29" s="120">
        <v>45777</v>
      </c>
      <c r="C29" s="126">
        <v>244.45</v>
      </c>
      <c r="D29" s="66">
        <f t="shared" si="0"/>
        <v>-5.0065125366330898E-3</v>
      </c>
      <c r="F29" s="100">
        <v>24334.2</v>
      </c>
      <c r="G29" s="66">
        <f t="shared" si="1"/>
        <v>-7.1910075423398112E-5</v>
      </c>
    </row>
    <row r="30" spans="2:22" x14ac:dyDescent="0.25">
      <c r="B30" s="120">
        <v>45779</v>
      </c>
      <c r="C30" s="126">
        <v>243.42</v>
      </c>
      <c r="D30" s="66">
        <f t="shared" si="0"/>
        <v>-4.2135406013499299E-3</v>
      </c>
      <c r="F30" s="100">
        <v>24346.7</v>
      </c>
      <c r="G30" s="66">
        <f t="shared" si="1"/>
        <v>5.1368033467302787E-4</v>
      </c>
    </row>
    <row r="31" spans="2:22" x14ac:dyDescent="0.25">
      <c r="B31" s="120">
        <v>45782</v>
      </c>
      <c r="C31" s="126">
        <v>239.2</v>
      </c>
      <c r="D31" s="66">
        <f t="shared" si="0"/>
        <v>-1.7336291183961849E-2</v>
      </c>
      <c r="F31" s="100">
        <v>24461.15</v>
      </c>
      <c r="G31" s="66">
        <f t="shared" si="1"/>
        <v>4.7008424139616256E-3</v>
      </c>
    </row>
    <row r="32" spans="2:22" x14ac:dyDescent="0.25">
      <c r="B32" s="120">
        <v>45783</v>
      </c>
      <c r="C32" s="126">
        <v>237</v>
      </c>
      <c r="D32" s="66">
        <f t="shared" si="0"/>
        <v>-9.1973244147156574E-3</v>
      </c>
      <c r="F32" s="100">
        <v>24379.599999999999</v>
      </c>
      <c r="G32" s="66">
        <f t="shared" si="1"/>
        <v>-3.3338579747886898E-3</v>
      </c>
    </row>
    <row r="33" spans="2:7" x14ac:dyDescent="0.25">
      <c r="B33" s="120">
        <v>45784</v>
      </c>
      <c r="C33" s="126">
        <v>238.67</v>
      </c>
      <c r="D33" s="66">
        <f t="shared" si="0"/>
        <v>7.0464135021095498E-3</v>
      </c>
      <c r="F33" s="100">
        <v>24414.400000000001</v>
      </c>
      <c r="G33" s="66">
        <f t="shared" si="1"/>
        <v>1.4274229273656402E-3</v>
      </c>
    </row>
    <row r="34" spans="2:7" x14ac:dyDescent="0.25">
      <c r="B34" s="120">
        <v>45785</v>
      </c>
      <c r="C34" s="126">
        <v>233.22</v>
      </c>
      <c r="D34" s="66">
        <f t="shared" si="0"/>
        <v>-2.2834876607868537E-2</v>
      </c>
      <c r="F34" s="100">
        <v>24273.8</v>
      </c>
      <c r="G34" s="66">
        <f t="shared" si="1"/>
        <v>-5.758896389016388E-3</v>
      </c>
    </row>
    <row r="35" spans="2:7" x14ac:dyDescent="0.25">
      <c r="B35" s="120">
        <v>45786</v>
      </c>
      <c r="C35" s="126">
        <v>234.96</v>
      </c>
      <c r="D35" s="66">
        <f t="shared" si="0"/>
        <v>7.4607666580910337E-3</v>
      </c>
      <c r="F35" s="100">
        <v>24008</v>
      </c>
      <c r="G35" s="66">
        <f t="shared" si="1"/>
        <v>-1.0950077861727414E-2</v>
      </c>
    </row>
    <row r="36" spans="2:7" x14ac:dyDescent="0.25">
      <c r="B36" s="120">
        <v>45789</v>
      </c>
      <c r="C36" s="126">
        <v>244.02</v>
      </c>
      <c r="D36" s="66">
        <f t="shared" si="0"/>
        <v>3.8559754851889672E-2</v>
      </c>
      <c r="F36" s="100">
        <v>24924.7</v>
      </c>
      <c r="G36" s="66">
        <f t="shared" si="1"/>
        <v>3.8183105631456105E-2</v>
      </c>
    </row>
    <row r="37" spans="2:7" x14ac:dyDescent="0.25">
      <c r="B37" s="120">
        <v>45790</v>
      </c>
      <c r="C37" s="126">
        <v>241.16</v>
      </c>
      <c r="D37" s="66">
        <f t="shared" si="0"/>
        <v>-1.1720350790918821E-2</v>
      </c>
      <c r="F37" s="100">
        <v>24578.35</v>
      </c>
      <c r="G37" s="66">
        <f t="shared" si="1"/>
        <v>-1.3895854313191403E-2</v>
      </c>
    </row>
    <row r="38" spans="2:7" x14ac:dyDescent="0.25">
      <c r="B38" s="120">
        <v>45791</v>
      </c>
      <c r="C38" s="126">
        <v>246.01</v>
      </c>
      <c r="D38" s="66">
        <f t="shared" si="0"/>
        <v>2.0111129540554051E-2</v>
      </c>
      <c r="F38" s="100">
        <v>24666.9</v>
      </c>
      <c r="G38" s="66">
        <f t="shared" si="1"/>
        <v>3.602764221357635E-3</v>
      </c>
    </row>
    <row r="39" spans="2:7" x14ac:dyDescent="0.25">
      <c r="B39" s="120">
        <v>45792</v>
      </c>
      <c r="C39" s="126">
        <v>247.61</v>
      </c>
      <c r="D39" s="66">
        <f t="shared" si="0"/>
        <v>6.5038006585098618E-3</v>
      </c>
      <c r="F39" s="100">
        <v>25062.1</v>
      </c>
      <c r="G39" s="66">
        <f t="shared" si="1"/>
        <v>1.6021470067175025E-2</v>
      </c>
    </row>
    <row r="40" spans="2:7" x14ac:dyDescent="0.25">
      <c r="B40" s="120">
        <v>45793</v>
      </c>
      <c r="C40" s="126">
        <v>247.27</v>
      </c>
      <c r="D40" s="66">
        <f t="shared" si="0"/>
        <v>-1.3731270950284591E-3</v>
      </c>
      <c r="F40" s="100">
        <v>25019.8</v>
      </c>
      <c r="G40" s="66">
        <f t="shared" si="1"/>
        <v>-1.6878074862042292E-3</v>
      </c>
    </row>
    <row r="41" spans="2:7" x14ac:dyDescent="0.25">
      <c r="B41" s="120">
        <v>45796</v>
      </c>
      <c r="C41" s="126">
        <v>246.58</v>
      </c>
      <c r="D41" s="66">
        <f t="shared" si="0"/>
        <v>-2.7904719537348299E-3</v>
      </c>
      <c r="F41" s="100">
        <v>24945.45</v>
      </c>
      <c r="G41" s="66">
        <f t="shared" si="1"/>
        <v>-2.9716464560067823E-3</v>
      </c>
    </row>
    <row r="42" spans="2:7" x14ac:dyDescent="0.25">
      <c r="B42" s="120">
        <v>45797</v>
      </c>
      <c r="C42" s="126">
        <v>249.26</v>
      </c>
      <c r="D42" s="66">
        <f t="shared" si="0"/>
        <v>1.0868683591532147E-2</v>
      </c>
      <c r="F42" s="100">
        <v>24683.9</v>
      </c>
      <c r="G42" s="66">
        <f t="shared" si="1"/>
        <v>-1.0484878003804265E-2</v>
      </c>
    </row>
    <row r="43" spans="2:7" x14ac:dyDescent="0.25">
      <c r="B43" s="120">
        <v>45798</v>
      </c>
      <c r="C43" s="126">
        <v>248.68</v>
      </c>
      <c r="D43" s="66">
        <f t="shared" si="0"/>
        <v>-2.3268875872581862E-3</v>
      </c>
      <c r="F43" s="100">
        <v>24813.45</v>
      </c>
      <c r="G43" s="66">
        <f t="shared" si="1"/>
        <v>5.2483602672186436E-3</v>
      </c>
    </row>
    <row r="44" spans="2:7" x14ac:dyDescent="0.25">
      <c r="B44" s="120">
        <v>45799</v>
      </c>
      <c r="C44" s="126">
        <v>241.67</v>
      </c>
      <c r="D44" s="66">
        <f t="shared" si="0"/>
        <v>-2.818883705967512E-2</v>
      </c>
      <c r="F44" s="100">
        <v>24609.7</v>
      </c>
      <c r="G44" s="66">
        <f t="shared" si="1"/>
        <v>-8.2112725155107924E-3</v>
      </c>
    </row>
    <row r="45" spans="2:7" x14ac:dyDescent="0.25">
      <c r="B45" s="120">
        <v>45800</v>
      </c>
      <c r="C45" s="126">
        <v>244.24</v>
      </c>
      <c r="D45" s="66">
        <f t="shared" si="0"/>
        <v>1.0634336078123141E-2</v>
      </c>
      <c r="F45" s="100">
        <v>24853.15</v>
      </c>
      <c r="G45" s="66">
        <f t="shared" si="1"/>
        <v>9.8924407855438545E-3</v>
      </c>
    </row>
    <row r="46" spans="2:7" x14ac:dyDescent="0.25">
      <c r="B46" s="120"/>
      <c r="D46" s="66"/>
      <c r="G46" s="66"/>
    </row>
    <row r="47" spans="2:7" x14ac:dyDescent="0.25">
      <c r="B47" s="120"/>
      <c r="D47" s="66"/>
      <c r="G47" s="66"/>
    </row>
    <row r="48" spans="2:7" x14ac:dyDescent="0.25">
      <c r="B48" s="120"/>
      <c r="D48" s="66"/>
      <c r="G48" s="66"/>
    </row>
    <row r="49" spans="2:7" x14ac:dyDescent="0.25">
      <c r="B49" s="120"/>
      <c r="D49" s="66"/>
      <c r="G49" s="66"/>
    </row>
    <row r="50" spans="2:7" x14ac:dyDescent="0.25">
      <c r="B50" s="120"/>
      <c r="D50" s="66"/>
      <c r="G50" s="66"/>
    </row>
    <row r="51" spans="2:7" x14ac:dyDescent="0.25">
      <c r="B51" s="120"/>
      <c r="D51" s="66"/>
      <c r="G51" s="66"/>
    </row>
    <row r="52" spans="2:7" x14ac:dyDescent="0.25">
      <c r="B52" s="120"/>
      <c r="D52" s="66"/>
      <c r="G52" s="66"/>
    </row>
    <row r="53" spans="2:7" x14ac:dyDescent="0.25">
      <c r="B53" s="120"/>
      <c r="D53" s="66"/>
      <c r="G53" s="66"/>
    </row>
    <row r="54" spans="2:7" x14ac:dyDescent="0.25">
      <c r="B54" s="120"/>
      <c r="D54" s="66"/>
      <c r="G54" s="66"/>
    </row>
    <row r="55" spans="2:7" x14ac:dyDescent="0.25">
      <c r="B55" s="120"/>
      <c r="D55" s="66"/>
      <c r="G55" s="66"/>
    </row>
    <row r="56" spans="2:7" x14ac:dyDescent="0.25">
      <c r="B56" s="120"/>
      <c r="D56" s="66"/>
      <c r="G56" s="66"/>
    </row>
    <row r="57" spans="2:7" x14ac:dyDescent="0.25">
      <c r="B57" s="120"/>
      <c r="D57" s="66"/>
      <c r="G57" s="66"/>
    </row>
    <row r="58" spans="2:7" x14ac:dyDescent="0.25">
      <c r="B58" s="120"/>
      <c r="D58" s="66"/>
      <c r="G58" s="66"/>
    </row>
    <row r="59" spans="2:7" x14ac:dyDescent="0.25">
      <c r="B59" s="120"/>
      <c r="D59" s="66"/>
      <c r="G59" s="66"/>
    </row>
    <row r="60" spans="2:7" x14ac:dyDescent="0.25">
      <c r="B60" s="120"/>
      <c r="D60" s="66"/>
      <c r="G60" s="66"/>
    </row>
    <row r="61" spans="2:7" x14ac:dyDescent="0.25">
      <c r="B61" s="120"/>
      <c r="D61" s="66"/>
      <c r="G61" s="66"/>
    </row>
    <row r="62" spans="2:7" x14ac:dyDescent="0.25">
      <c r="B62" s="120"/>
      <c r="D62" s="66"/>
      <c r="G62" s="66"/>
    </row>
    <row r="63" spans="2:7" x14ac:dyDescent="0.25">
      <c r="B63" s="120"/>
      <c r="D63" s="66"/>
      <c r="G63" s="66"/>
    </row>
    <row r="64" spans="2:7" x14ac:dyDescent="0.25">
      <c r="B64" s="120"/>
      <c r="D64" s="66"/>
      <c r="G64" s="66"/>
    </row>
    <row r="65" spans="2:7" x14ac:dyDescent="0.25">
      <c r="B65" s="120"/>
      <c r="D65" s="66"/>
      <c r="G65" s="66"/>
    </row>
    <row r="66" spans="2:7" x14ac:dyDescent="0.25">
      <c r="B66" s="120"/>
      <c r="D66" s="66"/>
      <c r="G66" s="66"/>
    </row>
    <row r="67" spans="2:7" x14ac:dyDescent="0.25">
      <c r="B67" s="120"/>
      <c r="D67" s="66"/>
      <c r="G67" s="66"/>
    </row>
    <row r="68" spans="2:7" x14ac:dyDescent="0.25">
      <c r="B68" s="120"/>
      <c r="D68" s="66"/>
      <c r="G68" s="66"/>
    </row>
    <row r="69" spans="2:7" x14ac:dyDescent="0.25">
      <c r="B69" s="120"/>
      <c r="D69" s="66"/>
      <c r="G69" s="66"/>
    </row>
    <row r="70" spans="2:7" x14ac:dyDescent="0.25">
      <c r="B70" s="120"/>
      <c r="D70" s="66"/>
      <c r="G70" s="66"/>
    </row>
    <row r="71" spans="2:7" x14ac:dyDescent="0.25">
      <c r="B71" s="120"/>
      <c r="D71" s="66"/>
      <c r="G71" s="66"/>
    </row>
    <row r="72" spans="2:7" x14ac:dyDescent="0.25">
      <c r="B72" s="120"/>
      <c r="D72" s="66"/>
      <c r="G72" s="66"/>
    </row>
    <row r="73" spans="2:7" x14ac:dyDescent="0.25">
      <c r="B73" s="120"/>
      <c r="D73" s="66"/>
      <c r="G73" s="66"/>
    </row>
    <row r="74" spans="2:7" x14ac:dyDescent="0.25">
      <c r="B74" s="120"/>
      <c r="D74" s="66"/>
      <c r="G74" s="66"/>
    </row>
    <row r="75" spans="2:7" x14ac:dyDescent="0.25">
      <c r="B75" s="120"/>
      <c r="D75" s="66"/>
      <c r="G75" s="66"/>
    </row>
    <row r="76" spans="2:7" x14ac:dyDescent="0.25">
      <c r="B76" s="120"/>
      <c r="D76" s="66"/>
      <c r="G76" s="66"/>
    </row>
    <row r="77" spans="2:7" x14ac:dyDescent="0.25">
      <c r="B77" s="120"/>
      <c r="D77" s="66"/>
      <c r="G77" s="66"/>
    </row>
    <row r="78" spans="2:7" x14ac:dyDescent="0.25">
      <c r="B78" s="120"/>
      <c r="D78" s="66"/>
      <c r="G78" s="66"/>
    </row>
    <row r="79" spans="2:7" x14ac:dyDescent="0.25">
      <c r="B79" s="120"/>
      <c r="D79" s="66"/>
      <c r="G79" s="66"/>
    </row>
    <row r="80" spans="2:7" x14ac:dyDescent="0.25">
      <c r="B80" s="120"/>
      <c r="D80" s="66"/>
      <c r="G80" s="66"/>
    </row>
    <row r="81" spans="2:7" x14ac:dyDescent="0.25">
      <c r="B81" s="120"/>
      <c r="D81" s="66"/>
      <c r="G81" s="66"/>
    </row>
    <row r="82" spans="2:7" x14ac:dyDescent="0.25">
      <c r="B82" s="120"/>
      <c r="D82" s="66"/>
      <c r="G82" s="66"/>
    </row>
    <row r="83" spans="2:7" x14ac:dyDescent="0.25">
      <c r="B83" s="120"/>
      <c r="D83" s="66"/>
      <c r="G83" s="66"/>
    </row>
    <row r="84" spans="2:7" x14ac:dyDescent="0.25">
      <c r="B84" s="120"/>
      <c r="D84" s="66"/>
      <c r="G84" s="66"/>
    </row>
    <row r="85" spans="2:7" x14ac:dyDescent="0.25">
      <c r="B85" s="120"/>
      <c r="D85" s="66"/>
      <c r="G85" s="66"/>
    </row>
    <row r="86" spans="2:7" x14ac:dyDescent="0.25">
      <c r="B86" s="120"/>
      <c r="D86" s="66"/>
      <c r="G86" s="66"/>
    </row>
    <row r="87" spans="2:7" x14ac:dyDescent="0.25">
      <c r="B87" s="120"/>
      <c r="D87" s="66"/>
      <c r="G87" s="66"/>
    </row>
    <row r="88" spans="2:7" x14ac:dyDescent="0.25">
      <c r="B88" s="120"/>
      <c r="D88" s="66"/>
      <c r="G88" s="66"/>
    </row>
    <row r="89" spans="2:7" x14ac:dyDescent="0.25">
      <c r="B89" s="120"/>
      <c r="D89" s="66"/>
      <c r="G89" s="66"/>
    </row>
    <row r="90" spans="2:7" x14ac:dyDescent="0.25">
      <c r="B90" s="120"/>
      <c r="D90" s="66"/>
      <c r="G90" s="66"/>
    </row>
    <row r="91" spans="2:7" x14ac:dyDescent="0.25">
      <c r="B91" s="120"/>
      <c r="D91" s="66"/>
      <c r="G91" s="66"/>
    </row>
    <row r="92" spans="2:7" x14ac:dyDescent="0.25">
      <c r="B92" s="120"/>
      <c r="D92" s="66"/>
      <c r="G92" s="66"/>
    </row>
    <row r="93" spans="2:7" x14ac:dyDescent="0.25">
      <c r="B93" s="120"/>
      <c r="D93" s="66"/>
      <c r="G93" s="66"/>
    </row>
    <row r="94" spans="2:7" x14ac:dyDescent="0.25">
      <c r="B94" s="120"/>
      <c r="D94" s="66"/>
      <c r="G94" s="66"/>
    </row>
    <row r="95" spans="2:7" x14ac:dyDescent="0.25">
      <c r="B95" s="120"/>
      <c r="D95" s="66"/>
      <c r="G95" s="66"/>
    </row>
    <row r="96" spans="2:7" x14ac:dyDescent="0.25">
      <c r="B96" s="120"/>
      <c r="D96" s="66"/>
      <c r="G96" s="66"/>
    </row>
    <row r="97" spans="2:7" x14ac:dyDescent="0.25">
      <c r="B97" s="120"/>
      <c r="D97" s="66"/>
      <c r="G97" s="66"/>
    </row>
    <row r="98" spans="2:7" x14ac:dyDescent="0.25">
      <c r="B98" s="120"/>
      <c r="D98" s="66"/>
      <c r="G98" s="66"/>
    </row>
    <row r="99" spans="2:7" x14ac:dyDescent="0.25">
      <c r="B99" s="120"/>
      <c r="D99" s="66"/>
      <c r="G99" s="66"/>
    </row>
    <row r="100" spans="2:7" x14ac:dyDescent="0.25">
      <c r="B100" s="120"/>
      <c r="D100" s="66"/>
      <c r="G100" s="66"/>
    </row>
    <row r="101" spans="2:7" x14ac:dyDescent="0.25">
      <c r="B101" s="120"/>
      <c r="D101" s="66"/>
      <c r="G101" s="66"/>
    </row>
    <row r="102" spans="2:7" x14ac:dyDescent="0.25">
      <c r="B102" s="120"/>
      <c r="D102" s="66"/>
      <c r="G102" s="66"/>
    </row>
    <row r="103" spans="2:7" x14ac:dyDescent="0.25">
      <c r="B103" s="120"/>
      <c r="D103" s="66"/>
      <c r="G103" s="66"/>
    </row>
    <row r="104" spans="2:7" x14ac:dyDescent="0.25">
      <c r="B104" s="120"/>
      <c r="D104" s="66"/>
      <c r="G104" s="66"/>
    </row>
    <row r="105" spans="2:7" x14ac:dyDescent="0.25">
      <c r="B105" s="120"/>
      <c r="D105" s="66"/>
      <c r="G105" s="66"/>
    </row>
    <row r="106" spans="2:7" x14ac:dyDescent="0.25">
      <c r="B106" s="120"/>
      <c r="D106" s="66"/>
      <c r="G106" s="66"/>
    </row>
    <row r="107" spans="2:7" x14ac:dyDescent="0.25">
      <c r="B107" s="120"/>
      <c r="D107" s="66"/>
      <c r="G107" s="66"/>
    </row>
    <row r="108" spans="2:7" x14ac:dyDescent="0.25">
      <c r="B108" s="120"/>
      <c r="D108" s="66"/>
      <c r="G108" s="66"/>
    </row>
    <row r="109" spans="2:7" x14ac:dyDescent="0.25">
      <c r="B109" s="120"/>
      <c r="D109" s="66"/>
      <c r="G109" s="66"/>
    </row>
    <row r="110" spans="2:7" x14ac:dyDescent="0.25">
      <c r="B110" s="120"/>
      <c r="D110" s="66"/>
      <c r="G110" s="66"/>
    </row>
    <row r="111" spans="2:7" x14ac:dyDescent="0.25">
      <c r="B111" s="120"/>
      <c r="D111" s="66"/>
      <c r="G111" s="66"/>
    </row>
    <row r="112" spans="2:7" x14ac:dyDescent="0.25">
      <c r="B112" s="120"/>
      <c r="D112" s="66"/>
      <c r="G112" s="66"/>
    </row>
    <row r="113" spans="2:7" x14ac:dyDescent="0.25">
      <c r="B113" s="120"/>
      <c r="D113" s="66"/>
      <c r="G113" s="66"/>
    </row>
    <row r="114" spans="2:7" x14ac:dyDescent="0.25">
      <c r="B114" s="120"/>
      <c r="D114" s="66"/>
      <c r="G114" s="66"/>
    </row>
    <row r="115" spans="2:7" x14ac:dyDescent="0.25">
      <c r="B115" s="120"/>
      <c r="D115" s="66"/>
      <c r="G115" s="66"/>
    </row>
    <row r="116" spans="2:7" x14ac:dyDescent="0.25">
      <c r="B116" s="120"/>
      <c r="D116" s="66"/>
      <c r="G116" s="66"/>
    </row>
    <row r="117" spans="2:7" x14ac:dyDescent="0.25">
      <c r="B117" s="120"/>
      <c r="D117" s="66"/>
      <c r="G117" s="66"/>
    </row>
    <row r="118" spans="2:7" x14ac:dyDescent="0.25">
      <c r="B118" s="120"/>
      <c r="D118" s="66"/>
      <c r="G118" s="66"/>
    </row>
    <row r="119" spans="2:7" x14ac:dyDescent="0.25">
      <c r="B119" s="120"/>
      <c r="D119" s="66"/>
      <c r="G119" s="66"/>
    </row>
    <row r="120" spans="2:7" x14ac:dyDescent="0.25">
      <c r="B120" s="120"/>
      <c r="D120" s="66"/>
      <c r="G120" s="66"/>
    </row>
    <row r="121" spans="2:7" x14ac:dyDescent="0.25">
      <c r="B121" s="120"/>
      <c r="D121" s="66"/>
      <c r="G121" s="66"/>
    </row>
    <row r="122" spans="2:7" x14ac:dyDescent="0.25">
      <c r="B122" s="120"/>
      <c r="D122" s="66"/>
      <c r="G122" s="66"/>
    </row>
    <row r="123" spans="2:7" x14ac:dyDescent="0.25">
      <c r="B123" s="120"/>
      <c r="D123" s="66"/>
      <c r="G123" s="66"/>
    </row>
    <row r="124" spans="2:7" x14ac:dyDescent="0.25">
      <c r="B124" s="120"/>
      <c r="D124" s="66"/>
      <c r="G124" s="66"/>
    </row>
    <row r="125" spans="2:7" x14ac:dyDescent="0.25">
      <c r="B125" s="120"/>
      <c r="D125" s="66"/>
      <c r="G125" s="66"/>
    </row>
    <row r="126" spans="2:7" x14ac:dyDescent="0.25">
      <c r="B126" s="120"/>
      <c r="D126" s="66"/>
      <c r="G126" s="66"/>
    </row>
    <row r="127" spans="2:7" x14ac:dyDescent="0.25">
      <c r="B127" s="120"/>
      <c r="D127" s="66"/>
      <c r="G127" s="66"/>
    </row>
    <row r="128" spans="2:7" x14ac:dyDescent="0.25">
      <c r="B128" s="120"/>
      <c r="D128" s="66"/>
      <c r="G128" s="66"/>
    </row>
    <row r="129" spans="2:7" x14ac:dyDescent="0.25">
      <c r="B129" s="120"/>
      <c r="D129" s="66"/>
      <c r="G129" s="66"/>
    </row>
    <row r="130" spans="2:7" x14ac:dyDescent="0.25">
      <c r="B130" s="120"/>
      <c r="D130" s="66"/>
      <c r="G130" s="66"/>
    </row>
    <row r="131" spans="2:7" x14ac:dyDescent="0.25">
      <c r="B131" s="120"/>
      <c r="D131" s="66"/>
      <c r="G131" s="66"/>
    </row>
    <row r="132" spans="2:7" x14ac:dyDescent="0.25">
      <c r="B132" s="120"/>
      <c r="D132" s="66"/>
      <c r="G132" s="66"/>
    </row>
    <row r="133" spans="2:7" x14ac:dyDescent="0.25">
      <c r="B133" s="120"/>
      <c r="D133" s="66"/>
      <c r="G133" s="66"/>
    </row>
    <row r="134" spans="2:7" x14ac:dyDescent="0.25">
      <c r="B134" s="120"/>
      <c r="D134" s="66"/>
      <c r="G134" s="66"/>
    </row>
    <row r="135" spans="2:7" x14ac:dyDescent="0.25">
      <c r="B135" s="120"/>
      <c r="D135" s="66"/>
      <c r="G135" s="66"/>
    </row>
    <row r="136" spans="2:7" x14ac:dyDescent="0.25">
      <c r="B136" s="120"/>
      <c r="D136" s="66"/>
      <c r="G136" s="66"/>
    </row>
    <row r="137" spans="2:7" x14ac:dyDescent="0.25">
      <c r="B137" s="120"/>
      <c r="D137" s="66"/>
      <c r="G137" s="66"/>
    </row>
    <row r="138" spans="2:7" x14ac:dyDescent="0.25">
      <c r="B138" s="120"/>
      <c r="D138" s="66"/>
      <c r="G138" s="66"/>
    </row>
    <row r="139" spans="2:7" x14ac:dyDescent="0.25">
      <c r="B139" s="120"/>
      <c r="D139" s="66"/>
      <c r="G139" s="66"/>
    </row>
    <row r="140" spans="2:7" x14ac:dyDescent="0.25">
      <c r="B140" s="120"/>
      <c r="D140" s="66"/>
      <c r="G140" s="66"/>
    </row>
    <row r="141" spans="2:7" x14ac:dyDescent="0.25">
      <c r="B141" s="120"/>
      <c r="D141" s="66"/>
      <c r="G141" s="66"/>
    </row>
    <row r="142" spans="2:7" x14ac:dyDescent="0.25">
      <c r="B142" s="120"/>
      <c r="D142" s="66"/>
      <c r="G142" s="66"/>
    </row>
    <row r="143" spans="2:7" x14ac:dyDescent="0.25">
      <c r="B143" s="120"/>
      <c r="D143" s="66"/>
      <c r="G143" s="66"/>
    </row>
    <row r="144" spans="2:7" x14ac:dyDescent="0.25">
      <c r="B144" s="120"/>
      <c r="D144" s="66"/>
      <c r="G144" s="66"/>
    </row>
    <row r="145" spans="2:7" x14ac:dyDescent="0.25">
      <c r="B145" s="120"/>
      <c r="D145" s="66"/>
      <c r="G145" s="66"/>
    </row>
    <row r="146" spans="2:7" x14ac:dyDescent="0.25">
      <c r="B146" s="120"/>
      <c r="D146" s="66"/>
      <c r="G146" s="66"/>
    </row>
    <row r="147" spans="2:7" x14ac:dyDescent="0.25">
      <c r="B147" s="120"/>
      <c r="D147" s="66"/>
      <c r="G147" s="66"/>
    </row>
    <row r="148" spans="2:7" x14ac:dyDescent="0.25">
      <c r="B148" s="120"/>
      <c r="D148" s="66"/>
      <c r="G148" s="66"/>
    </row>
    <row r="149" spans="2:7" x14ac:dyDescent="0.25">
      <c r="B149" s="120"/>
      <c r="D149" s="66"/>
      <c r="G149" s="66"/>
    </row>
    <row r="150" spans="2:7" x14ac:dyDescent="0.25">
      <c r="B150" s="120"/>
      <c r="D150" s="66"/>
      <c r="G150" s="66"/>
    </row>
    <row r="151" spans="2:7" x14ac:dyDescent="0.25">
      <c r="B151" s="120"/>
      <c r="D151" s="66"/>
      <c r="G151" s="66"/>
    </row>
    <row r="152" spans="2:7" x14ac:dyDescent="0.25">
      <c r="B152" s="120"/>
      <c r="D152" s="66"/>
      <c r="G152" s="66"/>
    </row>
    <row r="153" spans="2:7" x14ac:dyDescent="0.25">
      <c r="B153" s="120"/>
      <c r="D153" s="66"/>
      <c r="G153" s="66"/>
    </row>
    <row r="154" spans="2:7" x14ac:dyDescent="0.25">
      <c r="B154" s="120"/>
      <c r="D154" s="66"/>
      <c r="G154" s="66"/>
    </row>
    <row r="155" spans="2:7" x14ac:dyDescent="0.25">
      <c r="B155" s="120"/>
      <c r="D155" s="66"/>
      <c r="G155" s="66"/>
    </row>
    <row r="156" spans="2:7" x14ac:dyDescent="0.25">
      <c r="B156" s="120"/>
      <c r="D156" s="66"/>
      <c r="G156" s="66"/>
    </row>
    <row r="157" spans="2:7" x14ac:dyDescent="0.25">
      <c r="B157" s="120"/>
      <c r="D157" s="66"/>
      <c r="G157" s="66"/>
    </row>
    <row r="158" spans="2:7" x14ac:dyDescent="0.25">
      <c r="B158" s="120"/>
      <c r="D158" s="66"/>
      <c r="G158" s="66"/>
    </row>
    <row r="159" spans="2:7" x14ac:dyDescent="0.25">
      <c r="B159" s="120"/>
      <c r="D159" s="66"/>
      <c r="G159" s="66"/>
    </row>
    <row r="160" spans="2:7" x14ac:dyDescent="0.25">
      <c r="B160" s="120"/>
      <c r="D160" s="66"/>
      <c r="G160" s="66"/>
    </row>
    <row r="161" spans="2:7" x14ac:dyDescent="0.25">
      <c r="B161" s="120"/>
      <c r="D161" s="66"/>
      <c r="G161" s="66"/>
    </row>
    <row r="162" spans="2:7" x14ac:dyDescent="0.25">
      <c r="B162" s="120"/>
      <c r="D162" s="66"/>
      <c r="G162" s="66"/>
    </row>
    <row r="163" spans="2:7" x14ac:dyDescent="0.25">
      <c r="B163" s="120"/>
      <c r="D163" s="66"/>
      <c r="G163" s="66"/>
    </row>
    <row r="164" spans="2:7" x14ac:dyDescent="0.25">
      <c r="B164" s="120"/>
      <c r="D164" s="66"/>
      <c r="G164" s="66"/>
    </row>
    <row r="165" spans="2:7" x14ac:dyDescent="0.25">
      <c r="B165" s="120"/>
      <c r="D165" s="66"/>
      <c r="G165" s="66"/>
    </row>
    <row r="166" spans="2:7" x14ac:dyDescent="0.25">
      <c r="B166" s="120"/>
      <c r="D166" s="66"/>
      <c r="G166" s="66"/>
    </row>
    <row r="167" spans="2:7" x14ac:dyDescent="0.25">
      <c r="B167" s="120"/>
      <c r="D167" s="66"/>
      <c r="G167" s="66"/>
    </row>
    <row r="168" spans="2:7" x14ac:dyDescent="0.25">
      <c r="B168" s="120"/>
      <c r="D168" s="66"/>
      <c r="G168" s="66"/>
    </row>
    <row r="169" spans="2:7" x14ac:dyDescent="0.25">
      <c r="B169" s="120"/>
      <c r="D169" s="66"/>
      <c r="G169" s="66"/>
    </row>
    <row r="170" spans="2:7" x14ac:dyDescent="0.25">
      <c r="B170" s="120"/>
      <c r="D170" s="66"/>
      <c r="G170" s="66"/>
    </row>
    <row r="171" spans="2:7" x14ac:dyDescent="0.25">
      <c r="B171" s="120"/>
      <c r="D171" s="66"/>
      <c r="G171" s="66"/>
    </row>
    <row r="172" spans="2:7" x14ac:dyDescent="0.25">
      <c r="B172" s="120"/>
      <c r="D172" s="66"/>
      <c r="G172" s="66"/>
    </row>
    <row r="173" spans="2:7" x14ac:dyDescent="0.25">
      <c r="B173" s="120"/>
      <c r="D173" s="66"/>
      <c r="G173" s="66"/>
    </row>
    <row r="174" spans="2:7" x14ac:dyDescent="0.25">
      <c r="B174" s="120"/>
      <c r="D174" s="66"/>
      <c r="G174" s="66"/>
    </row>
    <row r="175" spans="2:7" x14ac:dyDescent="0.25">
      <c r="B175" s="120"/>
      <c r="D175" s="66"/>
      <c r="G175" s="66"/>
    </row>
    <row r="176" spans="2:7" x14ac:dyDescent="0.25">
      <c r="B176" s="120"/>
      <c r="D176" s="66"/>
      <c r="G176" s="66"/>
    </row>
    <row r="177" spans="2:7" x14ac:dyDescent="0.25">
      <c r="B177" s="120"/>
      <c r="D177" s="66"/>
      <c r="G177" s="66"/>
    </row>
    <row r="178" spans="2:7" x14ac:dyDescent="0.25">
      <c r="B178" s="120"/>
      <c r="D178" s="66"/>
      <c r="G178" s="66"/>
    </row>
    <row r="179" spans="2:7" x14ac:dyDescent="0.25">
      <c r="B179" s="120"/>
      <c r="D179" s="66"/>
      <c r="G179" s="66"/>
    </row>
    <row r="180" spans="2:7" x14ac:dyDescent="0.25">
      <c r="B180" s="120"/>
      <c r="D180" s="66"/>
      <c r="G180" s="66"/>
    </row>
    <row r="181" spans="2:7" x14ac:dyDescent="0.25">
      <c r="B181" s="120"/>
      <c r="D181" s="66"/>
      <c r="G181" s="66"/>
    </row>
    <row r="182" spans="2:7" x14ac:dyDescent="0.25">
      <c r="B182" s="120"/>
      <c r="D182" s="66"/>
      <c r="G182" s="66"/>
    </row>
    <row r="183" spans="2:7" x14ac:dyDescent="0.25">
      <c r="B183" s="120"/>
      <c r="D183" s="66"/>
      <c r="G183" s="66"/>
    </row>
    <row r="184" spans="2:7" x14ac:dyDescent="0.25">
      <c r="B184" s="120"/>
      <c r="D184" s="66"/>
      <c r="G184" s="66"/>
    </row>
    <row r="185" spans="2:7" x14ac:dyDescent="0.25">
      <c r="B185" s="120"/>
      <c r="D185" s="66"/>
      <c r="G185" s="66"/>
    </row>
    <row r="186" spans="2:7" x14ac:dyDescent="0.25">
      <c r="B186" s="120"/>
      <c r="D186" s="66"/>
      <c r="G186" s="66"/>
    </row>
    <row r="187" spans="2:7" x14ac:dyDescent="0.25">
      <c r="B187" s="120"/>
      <c r="D187" s="66"/>
      <c r="G187" s="66"/>
    </row>
    <row r="188" spans="2:7" x14ac:dyDescent="0.25">
      <c r="B188" s="120"/>
      <c r="D188" s="66"/>
      <c r="G188" s="66"/>
    </row>
    <row r="189" spans="2:7" x14ac:dyDescent="0.25">
      <c r="B189" s="120"/>
      <c r="D189" s="66"/>
      <c r="G189" s="66"/>
    </row>
    <row r="190" spans="2:7" x14ac:dyDescent="0.25">
      <c r="B190" s="120"/>
      <c r="D190" s="66"/>
      <c r="G190" s="66"/>
    </row>
    <row r="191" spans="2:7" x14ac:dyDescent="0.25">
      <c r="B191" s="120"/>
      <c r="D191" s="66"/>
      <c r="G191" s="66"/>
    </row>
    <row r="192" spans="2:7" x14ac:dyDescent="0.25">
      <c r="B192" s="120"/>
      <c r="D192" s="66"/>
      <c r="G192" s="66"/>
    </row>
    <row r="193" spans="2:7" x14ac:dyDescent="0.25">
      <c r="B193" s="120"/>
      <c r="D193" s="66"/>
      <c r="G193" s="66"/>
    </row>
    <row r="194" spans="2:7" x14ac:dyDescent="0.25">
      <c r="B194" s="120"/>
      <c r="D194" s="66"/>
      <c r="G194" s="66"/>
    </row>
    <row r="195" spans="2:7" x14ac:dyDescent="0.25">
      <c r="B195" s="120"/>
      <c r="D195" s="66"/>
      <c r="G195" s="66"/>
    </row>
    <row r="196" spans="2:7" x14ac:dyDescent="0.25">
      <c r="B196" s="120"/>
      <c r="D196" s="66"/>
      <c r="G196" s="66"/>
    </row>
    <row r="197" spans="2:7" x14ac:dyDescent="0.25">
      <c r="B197" s="120"/>
      <c r="D197" s="66"/>
      <c r="G197" s="66"/>
    </row>
    <row r="198" spans="2:7" x14ac:dyDescent="0.25">
      <c r="B198" s="120"/>
      <c r="D198" s="66"/>
      <c r="G198" s="66"/>
    </row>
    <row r="199" spans="2:7" x14ac:dyDescent="0.25">
      <c r="B199" s="120"/>
      <c r="D199" s="66"/>
      <c r="G199" s="66"/>
    </row>
    <row r="200" spans="2:7" x14ac:dyDescent="0.25">
      <c r="B200" s="120"/>
      <c r="D200" s="66"/>
      <c r="G200" s="66"/>
    </row>
    <row r="201" spans="2:7" x14ac:dyDescent="0.25">
      <c r="B201" s="120"/>
      <c r="D201" s="66"/>
      <c r="G201" s="66"/>
    </row>
    <row r="202" spans="2:7" x14ac:dyDescent="0.25">
      <c r="B202" s="120"/>
      <c r="D202" s="66"/>
      <c r="G202" s="66"/>
    </row>
    <row r="203" spans="2:7" x14ac:dyDescent="0.25">
      <c r="B203" s="120"/>
      <c r="D203" s="66"/>
      <c r="G203" s="66"/>
    </row>
    <row r="204" spans="2:7" x14ac:dyDescent="0.25">
      <c r="B204" s="120"/>
      <c r="D204" s="66"/>
      <c r="G204" s="66"/>
    </row>
    <row r="205" spans="2:7" x14ac:dyDescent="0.25">
      <c r="B205" s="120"/>
      <c r="D205" s="66"/>
      <c r="G205" s="66"/>
    </row>
    <row r="206" spans="2:7" x14ac:dyDescent="0.25">
      <c r="B206" s="120"/>
      <c r="D206" s="66"/>
      <c r="G206" s="66"/>
    </row>
    <row r="207" spans="2:7" x14ac:dyDescent="0.25">
      <c r="B207" s="120"/>
      <c r="D207" s="66"/>
      <c r="G207" s="66"/>
    </row>
    <row r="208" spans="2:7" x14ac:dyDescent="0.25">
      <c r="B208" s="120"/>
      <c r="D208" s="66"/>
      <c r="G208" s="66"/>
    </row>
    <row r="209" spans="2:7" x14ac:dyDescent="0.25">
      <c r="B209" s="120"/>
      <c r="D209" s="66"/>
      <c r="G209" s="66"/>
    </row>
    <row r="210" spans="2:7" x14ac:dyDescent="0.25">
      <c r="B210" s="120"/>
      <c r="D210" s="66"/>
      <c r="G210" s="66"/>
    </row>
    <row r="211" spans="2:7" x14ac:dyDescent="0.25">
      <c r="B211" s="120"/>
      <c r="D211" s="66"/>
      <c r="G211" s="66"/>
    </row>
    <row r="212" spans="2:7" x14ac:dyDescent="0.25">
      <c r="B212" s="120"/>
      <c r="D212" s="66"/>
      <c r="G212" s="66"/>
    </row>
    <row r="213" spans="2:7" x14ac:dyDescent="0.25">
      <c r="B213" s="120"/>
      <c r="D213" s="66"/>
      <c r="G213" s="66"/>
    </row>
    <row r="214" spans="2:7" x14ac:dyDescent="0.25">
      <c r="B214" s="120"/>
      <c r="D214" s="66"/>
      <c r="G214" s="66"/>
    </row>
    <row r="215" spans="2:7" x14ac:dyDescent="0.25">
      <c r="B215" s="120"/>
      <c r="D215" s="66"/>
      <c r="G215" s="66"/>
    </row>
    <row r="216" spans="2:7" x14ac:dyDescent="0.25">
      <c r="B216" s="120"/>
      <c r="D216" s="66"/>
      <c r="G216" s="66"/>
    </row>
    <row r="217" spans="2:7" x14ac:dyDescent="0.25">
      <c r="B217" s="120"/>
      <c r="D217" s="66"/>
      <c r="G217" s="66"/>
    </row>
    <row r="218" spans="2:7" x14ac:dyDescent="0.25">
      <c r="B218" s="120"/>
      <c r="D218" s="66"/>
      <c r="G218" s="66"/>
    </row>
  </sheetData>
  <mergeCells count="3">
    <mergeCell ref="B6:D6"/>
    <mergeCell ref="F6:G6"/>
    <mergeCell ref="I6:J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H70"/>
  <sheetViews>
    <sheetView showGridLines="0" zoomScale="175" zoomScaleNormal="175" workbookViewId="0">
      <pane ySplit="6" topLeftCell="A55" activePane="bottomLeft" state="frozen"/>
      <selection pane="bottomLeft" activeCell="C69" sqref="C69"/>
    </sheetView>
  </sheetViews>
  <sheetFormatPr defaultRowHeight="15" x14ac:dyDescent="0.25"/>
  <cols>
    <col min="1" max="1" width="1.85546875" customWidth="1"/>
    <col min="2" max="2" width="27.28515625" customWidth="1"/>
    <col min="4" max="8" width="9.85546875" bestFit="1" customWidth="1"/>
  </cols>
  <sheetData>
    <row r="2" spans="2:8" x14ac:dyDescent="0.25">
      <c r="B2" s="252" t="str">
        <f>"Intrinsic Growth of - "&amp;'Profit &amp; Loss'!A1</f>
        <v>Intrinsic Growth of - OIL &amp; NATURAL GAS CORPN LTD</v>
      </c>
      <c r="C2" s="252"/>
      <c r="D2" s="252"/>
      <c r="E2" s="252"/>
      <c r="F2" s="252"/>
      <c r="G2" s="252"/>
      <c r="H2" s="252"/>
    </row>
    <row r="3" spans="2:8" ht="2.1" customHeight="1" x14ac:dyDescent="0.25"/>
    <row r="4" spans="2:8" x14ac:dyDescent="0.25">
      <c r="B4" s="256" t="s">
        <v>304</v>
      </c>
      <c r="C4" s="256"/>
      <c r="D4" s="256"/>
      <c r="E4" s="256"/>
      <c r="F4" s="256"/>
      <c r="G4" s="256"/>
      <c r="H4" s="256"/>
    </row>
    <row r="5" spans="2:8" ht="2.1" customHeight="1" x14ac:dyDescent="0.25"/>
    <row r="6" spans="2:8" x14ac:dyDescent="0.25">
      <c r="B6" s="133" t="s">
        <v>274</v>
      </c>
      <c r="C6" s="133"/>
      <c r="D6" s="134">
        <f>'Historical FS'!H3</f>
        <v>43921</v>
      </c>
      <c r="E6" s="134">
        <f>'Historical FS'!I3</f>
        <v>44286</v>
      </c>
      <c r="F6" s="134">
        <f>'Historical FS'!J3</f>
        <v>44651</v>
      </c>
      <c r="G6" s="134">
        <f>'Historical FS'!K3</f>
        <v>45016</v>
      </c>
      <c r="H6" s="134">
        <f>'Historical FS'!L3</f>
        <v>45382</v>
      </c>
    </row>
    <row r="7" spans="2:8" x14ac:dyDescent="0.25">
      <c r="B7" s="140"/>
      <c r="C7" s="140"/>
      <c r="D7" s="141"/>
      <c r="E7" s="141"/>
      <c r="F7" s="141"/>
      <c r="G7" s="141"/>
      <c r="H7" s="141"/>
    </row>
    <row r="8" spans="2:8" ht="15.75" thickBot="1" x14ac:dyDescent="0.3">
      <c r="B8" s="158" t="s">
        <v>305</v>
      </c>
      <c r="C8" s="159"/>
      <c r="D8" s="159"/>
      <c r="E8" s="159"/>
      <c r="F8" s="159"/>
      <c r="G8" s="159"/>
      <c r="H8" s="159"/>
    </row>
    <row r="9" spans="2:8" x14ac:dyDescent="0.25">
      <c r="B9" s="143" t="str">
        <f>'Raw FS'!B36</f>
        <v>Inventories</v>
      </c>
      <c r="C9" s="11"/>
      <c r="D9" s="165">
        <f>'Raw FS'!H36</f>
        <v>34065</v>
      </c>
      <c r="E9" s="165">
        <f>'Raw FS'!I36</f>
        <v>45736</v>
      </c>
      <c r="F9" s="165">
        <f>'Raw FS'!J36</f>
        <v>55360</v>
      </c>
      <c r="G9" s="165">
        <f>'Raw FS'!K36</f>
        <v>45238</v>
      </c>
      <c r="H9" s="165">
        <f>'Raw FS'!L36</f>
        <v>53255</v>
      </c>
    </row>
    <row r="10" spans="2:8" x14ac:dyDescent="0.25">
      <c r="B10" s="143" t="str">
        <f>'Raw FS'!B37</f>
        <v xml:space="preserve">Trade receivables </v>
      </c>
      <c r="C10" s="11"/>
      <c r="D10" s="165">
        <f>'Raw FS'!H37</f>
        <v>9173</v>
      </c>
      <c r="E10" s="165">
        <f>'Raw FS'!I37</f>
        <v>16016</v>
      </c>
      <c r="F10" s="165">
        <f>'Raw FS'!J37</f>
        <v>19187</v>
      </c>
      <c r="G10" s="165">
        <f>'Raw FS'!K37</f>
        <v>18752</v>
      </c>
      <c r="H10" s="165">
        <f>'Raw FS'!L37</f>
        <v>19763</v>
      </c>
    </row>
    <row r="11" spans="2:8" x14ac:dyDescent="0.25">
      <c r="B11" s="143" t="str">
        <f>'Raw FS'!B39</f>
        <v>Loans n Advances</v>
      </c>
      <c r="C11" s="11"/>
      <c r="D11" s="165">
        <f>'Raw FS'!H39</f>
        <v>-1268</v>
      </c>
      <c r="E11" s="165">
        <f>'Raw FS'!I39</f>
        <v>-817</v>
      </c>
      <c r="F11" s="165">
        <f>'Raw FS'!J39</f>
        <v>-911</v>
      </c>
      <c r="G11" s="165">
        <f>'Raw FS'!K39</f>
        <v>-1060</v>
      </c>
      <c r="H11" s="165">
        <f>'Raw FS'!L39</f>
        <v>-1237</v>
      </c>
    </row>
    <row r="12" spans="2:8" x14ac:dyDescent="0.25">
      <c r="B12" s="144" t="str">
        <f>'Raw FS'!B40</f>
        <v>Other asset items</v>
      </c>
      <c r="C12" s="59"/>
      <c r="D12" s="166">
        <f>'Raw FS'!H40</f>
        <v>72274</v>
      </c>
      <c r="E12" s="166">
        <f>'Raw FS'!I40</f>
        <v>69245</v>
      </c>
      <c r="F12" s="166">
        <f>'Raw FS'!J40</f>
        <v>75019</v>
      </c>
      <c r="G12" s="166">
        <f>'Raw FS'!K40</f>
        <v>77407</v>
      </c>
      <c r="H12" s="166">
        <f>'Raw FS'!L40</f>
        <v>84620</v>
      </c>
    </row>
    <row r="13" spans="2:8" ht="15.75" thickBot="1" x14ac:dyDescent="0.3">
      <c r="B13" s="156" t="s">
        <v>125</v>
      </c>
      <c r="C13" s="156"/>
      <c r="D13" s="167">
        <f>SUM(D9:D12)</f>
        <v>114244</v>
      </c>
      <c r="E13" s="167">
        <f t="shared" ref="E13:H13" si="0">SUM(E9:E12)</f>
        <v>130180</v>
      </c>
      <c r="F13" s="167">
        <f t="shared" si="0"/>
        <v>148655</v>
      </c>
      <c r="G13" s="167">
        <f t="shared" si="0"/>
        <v>140337</v>
      </c>
      <c r="H13" s="167">
        <f t="shared" si="0"/>
        <v>156401</v>
      </c>
    </row>
    <row r="14" spans="2:8" x14ac:dyDescent="0.25">
      <c r="D14" s="168"/>
      <c r="E14" s="168"/>
      <c r="F14" s="168"/>
      <c r="G14" s="168"/>
      <c r="H14" s="168"/>
    </row>
    <row r="15" spans="2:8" ht="15.75" thickBot="1" x14ac:dyDescent="0.3">
      <c r="B15" s="158" t="s">
        <v>308</v>
      </c>
      <c r="C15" s="159"/>
      <c r="D15" s="169"/>
      <c r="E15" s="169"/>
      <c r="F15" s="169"/>
      <c r="G15" s="169"/>
      <c r="H15" s="169"/>
    </row>
    <row r="16" spans="2:8" x14ac:dyDescent="0.25">
      <c r="B16" s="143" t="str">
        <f>'Raw FS'!B13</f>
        <v>Trade Payables</v>
      </c>
      <c r="C16" s="11"/>
      <c r="D16" s="165">
        <f>'Raw FS'!H13</f>
        <v>23064</v>
      </c>
      <c r="E16" s="165">
        <f>'Raw FS'!I13</f>
        <v>27251</v>
      </c>
      <c r="F16" s="165">
        <f>'Raw FS'!J13</f>
        <v>40186</v>
      </c>
      <c r="G16" s="165">
        <f>'Raw FS'!K13</f>
        <v>33643</v>
      </c>
      <c r="H16" s="165">
        <f>'Raw FS'!L13</f>
        <v>37490</v>
      </c>
    </row>
    <row r="17" spans="1:8" x14ac:dyDescent="0.25">
      <c r="B17" s="143" t="str">
        <f>'Raw FS'!B14</f>
        <v>Advance from Customers</v>
      </c>
      <c r="C17" s="11"/>
      <c r="D17" s="165">
        <f>'Raw FS'!H14</f>
        <v>1359</v>
      </c>
      <c r="E17" s="165">
        <f>'Raw FS'!I14</f>
        <v>1268</v>
      </c>
      <c r="F17" s="165">
        <f>'Raw FS'!J14</f>
        <v>1953</v>
      </c>
      <c r="G17" s="165">
        <f>'Raw FS'!K14</f>
        <v>1325</v>
      </c>
      <c r="H17" s="165">
        <f>'Raw FS'!L14</f>
        <v>1424</v>
      </c>
    </row>
    <row r="18" spans="1:8" x14ac:dyDescent="0.25">
      <c r="B18" s="143" t="str">
        <f>'Raw FS'!B15</f>
        <v>Other liability items</v>
      </c>
      <c r="C18" s="11"/>
      <c r="D18" s="165">
        <f>'Raw FS'!H15</f>
        <v>130958</v>
      </c>
      <c r="E18" s="165">
        <f>'Raw FS'!I15</f>
        <v>137445</v>
      </c>
      <c r="F18" s="165">
        <f>'Raw FS'!J15</f>
        <v>135807</v>
      </c>
      <c r="G18" s="165">
        <f>'Raw FS'!K15</f>
        <v>134637</v>
      </c>
      <c r="H18" s="165">
        <f>'Raw FS'!L15</f>
        <v>152588</v>
      </c>
    </row>
    <row r="19" spans="1:8" ht="15.75" thickBot="1" x14ac:dyDescent="0.3">
      <c r="B19" s="156" t="s">
        <v>309</v>
      </c>
      <c r="C19" s="156"/>
      <c r="D19" s="167">
        <f>SUM(D16:D18)</f>
        <v>155381</v>
      </c>
      <c r="E19" s="167">
        <f t="shared" ref="E19:H19" si="1">SUM(E16:E18)</f>
        <v>165964</v>
      </c>
      <c r="F19" s="167">
        <f t="shared" si="1"/>
        <v>177946</v>
      </c>
      <c r="G19" s="167">
        <f t="shared" si="1"/>
        <v>169605</v>
      </c>
      <c r="H19" s="167">
        <f t="shared" si="1"/>
        <v>191502</v>
      </c>
    </row>
    <row r="20" spans="1:8" x14ac:dyDescent="0.25">
      <c r="D20" s="168"/>
      <c r="E20" s="168"/>
      <c r="F20" s="168"/>
      <c r="G20" s="168"/>
      <c r="H20" s="168"/>
    </row>
    <row r="21" spans="1:8" ht="15.75" thickBot="1" x14ac:dyDescent="0.3">
      <c r="A21" t="s">
        <v>95</v>
      </c>
      <c r="B21" s="157" t="s">
        <v>310</v>
      </c>
      <c r="C21" s="157"/>
      <c r="D21" s="170">
        <f>D13-D19</f>
        <v>-41137</v>
      </c>
      <c r="E21" s="170">
        <f t="shared" ref="E21:H21" si="2">E13-E19</f>
        <v>-35784</v>
      </c>
      <c r="F21" s="170">
        <f t="shared" si="2"/>
        <v>-29291</v>
      </c>
      <c r="G21" s="170">
        <f t="shared" si="2"/>
        <v>-29268</v>
      </c>
      <c r="H21" s="170">
        <f t="shared" si="2"/>
        <v>-35101</v>
      </c>
    </row>
    <row r="22" spans="1:8" x14ac:dyDescent="0.25">
      <c r="D22" s="168"/>
      <c r="E22" s="168"/>
      <c r="F22" s="168"/>
      <c r="G22" s="168"/>
      <c r="H22" s="168"/>
    </row>
    <row r="23" spans="1:8" x14ac:dyDescent="0.25">
      <c r="B23" t="s">
        <v>311</v>
      </c>
      <c r="D23" s="168"/>
      <c r="E23" s="168"/>
      <c r="F23" s="168"/>
      <c r="G23" s="168"/>
      <c r="H23" s="168"/>
    </row>
    <row r="24" spans="1:8" x14ac:dyDescent="0.25">
      <c r="B24" t="str">
        <f>'Raw FS'!B19</f>
        <v>Land</v>
      </c>
      <c r="D24" s="168">
        <f>'Raw FS'!H19</f>
        <v>6798</v>
      </c>
      <c r="E24" s="168">
        <f>'Raw FS'!I19</f>
        <v>7550</v>
      </c>
      <c r="F24" s="168">
        <f>'Raw FS'!J19</f>
        <v>8582</v>
      </c>
      <c r="G24" s="168">
        <f>'Raw FS'!K19</f>
        <v>8970</v>
      </c>
      <c r="H24" s="168">
        <f>'Raw FS'!L19</f>
        <v>9819</v>
      </c>
    </row>
    <row r="25" spans="1:8" x14ac:dyDescent="0.25">
      <c r="B25" t="str">
        <f>'Raw FS'!B20</f>
        <v>Building</v>
      </c>
      <c r="D25" s="168">
        <f>'Raw FS'!H20</f>
        <v>14498</v>
      </c>
      <c r="E25" s="168">
        <f>'Raw FS'!I20</f>
        <v>15686</v>
      </c>
      <c r="F25" s="168">
        <f>'Raw FS'!J20</f>
        <v>17552</v>
      </c>
      <c r="G25" s="168">
        <f>'Raw FS'!K20</f>
        <v>18545</v>
      </c>
      <c r="H25" s="168">
        <f>'Raw FS'!L20</f>
        <v>20729</v>
      </c>
    </row>
    <row r="26" spans="1:8" x14ac:dyDescent="0.25">
      <c r="B26" t="str">
        <f>'Raw FS'!B21</f>
        <v>Plant Machinery</v>
      </c>
      <c r="D26" s="168">
        <f>'Raw FS'!H21</f>
        <v>97348</v>
      </c>
      <c r="E26" s="168">
        <f>'Raw FS'!I21</f>
        <v>103871</v>
      </c>
      <c r="F26" s="168">
        <f>'Raw FS'!J21</f>
        <v>116943</v>
      </c>
      <c r="G26" s="168">
        <f>'Raw FS'!K21</f>
        <v>130419</v>
      </c>
      <c r="H26" s="168">
        <f>'Raw FS'!L21</f>
        <v>166783</v>
      </c>
    </row>
    <row r="27" spans="1:8" x14ac:dyDescent="0.25">
      <c r="B27" t="str">
        <f>'Raw FS'!B22</f>
        <v>Equipments</v>
      </c>
      <c r="D27" s="168">
        <f>'Raw FS'!H22</f>
        <v>5156</v>
      </c>
      <c r="E27" s="168">
        <f>'Raw FS'!I22</f>
        <v>5727</v>
      </c>
      <c r="F27" s="168">
        <f>'Raw FS'!J22</f>
        <v>6399</v>
      </c>
      <c r="G27" s="168">
        <f>'Raw FS'!K22</f>
        <v>6454</v>
      </c>
      <c r="H27" s="168">
        <f>'Raw FS'!L22</f>
        <v>7594</v>
      </c>
    </row>
    <row r="28" spans="1:8" x14ac:dyDescent="0.25">
      <c r="B28" t="str">
        <f>'Raw FS'!B23</f>
        <v>Furniture n fittings</v>
      </c>
      <c r="D28" s="168">
        <f>'Raw FS'!H23</f>
        <v>1671</v>
      </c>
      <c r="E28" s="168">
        <f>'Raw FS'!I23</f>
        <v>1705</v>
      </c>
      <c r="F28" s="168">
        <f>'Raw FS'!J23</f>
        <v>1741</v>
      </c>
      <c r="G28" s="168">
        <f>'Raw FS'!K23</f>
        <v>1838</v>
      </c>
      <c r="H28" s="168">
        <f>'Raw FS'!L23</f>
        <v>2105</v>
      </c>
    </row>
    <row r="29" spans="1:8" x14ac:dyDescent="0.25">
      <c r="B29" t="str">
        <f>'Raw FS'!B24</f>
        <v>Railway sidings</v>
      </c>
      <c r="D29" s="168">
        <f>'Raw FS'!H24</f>
        <v>633</v>
      </c>
      <c r="E29" s="168">
        <f>'Raw FS'!I24</f>
        <v>681</v>
      </c>
      <c r="F29" s="168">
        <f>'Raw FS'!J24</f>
        <v>762</v>
      </c>
      <c r="G29" s="168">
        <f>'Raw FS'!K24</f>
        <v>793</v>
      </c>
      <c r="H29" s="168">
        <f>'Raw FS'!L24</f>
        <v>791</v>
      </c>
    </row>
    <row r="30" spans="1:8" x14ac:dyDescent="0.25">
      <c r="B30" t="str">
        <f>'Raw FS'!B25</f>
        <v>Vehicles</v>
      </c>
      <c r="D30" s="168">
        <f>'Raw FS'!H25</f>
        <v>3936</v>
      </c>
      <c r="E30" s="168">
        <f>'Raw FS'!I25</f>
        <v>6174</v>
      </c>
      <c r="F30" s="168">
        <f>'Raw FS'!J25</f>
        <v>6935</v>
      </c>
      <c r="G30" s="168">
        <f>'Raw FS'!K25</f>
        <v>7366</v>
      </c>
      <c r="H30" s="168">
        <f>'Raw FS'!L25</f>
        <v>8737</v>
      </c>
    </row>
    <row r="31" spans="1:8" x14ac:dyDescent="0.25">
      <c r="B31" t="str">
        <f>'Raw FS'!B26</f>
        <v>Intangible Assets</v>
      </c>
      <c r="D31" s="168">
        <f>'Raw FS'!H26</f>
        <v>14597</v>
      </c>
      <c r="E31" s="168">
        <f>'Raw FS'!I26</f>
        <v>23923</v>
      </c>
      <c r="F31" s="168">
        <f>'Raw FS'!J26</f>
        <v>24744</v>
      </c>
      <c r="G31" s="168">
        <f>'Raw FS'!K26</f>
        <v>26702</v>
      </c>
      <c r="H31" s="168">
        <f>'Raw FS'!L26</f>
        <v>27495</v>
      </c>
    </row>
    <row r="32" spans="1:8" x14ac:dyDescent="0.25">
      <c r="B32" t="str">
        <f>'Raw FS'!B27</f>
        <v>Other fixed assets</v>
      </c>
      <c r="D32" s="168">
        <f>'Raw FS'!H27</f>
        <v>140957</v>
      </c>
      <c r="E32" s="168">
        <f>'Raw FS'!I27</f>
        <v>140299</v>
      </c>
      <c r="F32" s="168">
        <f>'Raw FS'!J27</f>
        <v>144507</v>
      </c>
      <c r="G32" s="168">
        <f>'Raw FS'!K27</f>
        <v>132213</v>
      </c>
      <c r="H32" s="168">
        <f>'Raw FS'!L27</f>
        <v>146442</v>
      </c>
    </row>
    <row r="33" spans="1:8" x14ac:dyDescent="0.25">
      <c r="B33" s="43" t="s">
        <v>297</v>
      </c>
      <c r="C33" s="43"/>
      <c r="D33" s="171">
        <f>'Raw FS'!H28</f>
        <v>285595</v>
      </c>
      <c r="E33" s="171">
        <f>'Raw FS'!I28</f>
        <v>305615</v>
      </c>
      <c r="F33" s="171">
        <f>'Raw FS'!J28</f>
        <v>328166</v>
      </c>
      <c r="G33" s="171">
        <f>'Raw FS'!K28</f>
        <v>333300</v>
      </c>
      <c r="H33" s="171">
        <f>'Raw FS'!L28</f>
        <v>390494</v>
      </c>
    </row>
    <row r="34" spans="1:8" x14ac:dyDescent="0.25">
      <c r="B34" t="s">
        <v>298</v>
      </c>
      <c r="D34" s="168">
        <f>'Raw FS'!H29</f>
        <v>41702</v>
      </c>
      <c r="E34" s="168">
        <f>'Raw FS'!I29</f>
        <v>61869</v>
      </c>
      <c r="F34" s="168">
        <f>'Raw FS'!J29</f>
        <v>73763</v>
      </c>
      <c r="G34" s="168">
        <f>'Raw FS'!K29</f>
        <v>82436</v>
      </c>
      <c r="H34" s="168">
        <f>'Raw FS'!L29</f>
        <v>91996</v>
      </c>
    </row>
    <row r="35" spans="1:8" ht="15.75" thickBot="1" x14ac:dyDescent="0.3">
      <c r="A35" s="74" t="s">
        <v>95</v>
      </c>
      <c r="B35" s="156" t="s">
        <v>312</v>
      </c>
      <c r="C35" s="156"/>
      <c r="D35" s="167">
        <f>D33-D34</f>
        <v>243893</v>
      </c>
      <c r="E35" s="167">
        <f t="shared" ref="E35:H35" si="3">E33-E34</f>
        <v>243746</v>
      </c>
      <c r="F35" s="167">
        <f t="shared" si="3"/>
        <v>254403</v>
      </c>
      <c r="G35" s="167">
        <f t="shared" si="3"/>
        <v>250864</v>
      </c>
      <c r="H35" s="167">
        <f t="shared" si="3"/>
        <v>298498</v>
      </c>
    </row>
    <row r="36" spans="1:8" x14ac:dyDescent="0.25">
      <c r="D36" s="168"/>
      <c r="E36" s="168"/>
      <c r="F36" s="168"/>
      <c r="G36" s="168"/>
      <c r="H36" s="168"/>
    </row>
    <row r="37" spans="1:8" x14ac:dyDescent="0.25">
      <c r="A37" s="74" t="s">
        <v>95</v>
      </c>
      <c r="B37" s="43" t="s">
        <v>313</v>
      </c>
      <c r="C37" s="43"/>
      <c r="D37" s="171">
        <f>D35+D21</f>
        <v>202756</v>
      </c>
      <c r="E37" s="171">
        <f t="shared" ref="E37:H37" si="4">E35+E21</f>
        <v>207962</v>
      </c>
      <c r="F37" s="171">
        <f t="shared" si="4"/>
        <v>225112</v>
      </c>
      <c r="G37" s="171">
        <f t="shared" si="4"/>
        <v>221596</v>
      </c>
      <c r="H37" s="171">
        <f t="shared" si="4"/>
        <v>263397</v>
      </c>
    </row>
    <row r="38" spans="1:8" x14ac:dyDescent="0.25">
      <c r="B38" s="43" t="s">
        <v>314</v>
      </c>
      <c r="C38" s="43"/>
      <c r="D38" s="171">
        <f>('Historical FS'!H28+'Historical FS'!H22)</f>
        <v>25470.099999999966</v>
      </c>
      <c r="E38" s="171">
        <f>('Historical FS'!I28+'Historical FS'!I22)</f>
        <v>23934.969999999987</v>
      </c>
      <c r="F38" s="171">
        <f>('Historical FS'!J28+'Historical FS'!J22)</f>
        <v>52990.429999999971</v>
      </c>
      <c r="G38" s="171">
        <f>('Historical FS'!K28+'Historical FS'!K22)</f>
        <v>50969.930000000109</v>
      </c>
      <c r="H38" s="171">
        <f>('Historical FS'!L28+'Historical FS'!L22)</f>
        <v>74072.690000000031</v>
      </c>
    </row>
    <row r="40" spans="1:8" ht="15.75" thickBot="1" x14ac:dyDescent="0.3">
      <c r="B40" s="156" t="s">
        <v>315</v>
      </c>
      <c r="C40" s="156"/>
      <c r="D40" s="160">
        <f>D38/D37</f>
        <v>0.12561946378898758</v>
      </c>
      <c r="E40" s="160">
        <f>E38/E37</f>
        <v>0.11509299775920595</v>
      </c>
      <c r="F40" s="160">
        <f>F38/F37</f>
        <v>0.23539584740040501</v>
      </c>
      <c r="G40" s="160">
        <f>G38/G37</f>
        <v>0.23001286124298323</v>
      </c>
      <c r="H40" s="160">
        <f>H38/H37</f>
        <v>0.28122070486755746</v>
      </c>
    </row>
    <row r="43" spans="1:8" x14ac:dyDescent="0.25">
      <c r="B43" s="256" t="s">
        <v>316</v>
      </c>
      <c r="C43" s="256"/>
      <c r="D43" s="256"/>
      <c r="E43" s="256"/>
      <c r="F43" s="256"/>
      <c r="G43" s="256"/>
      <c r="H43" s="256"/>
    </row>
    <row r="44" spans="1:8" ht="2.1" customHeight="1" x14ac:dyDescent="0.25"/>
    <row r="45" spans="1:8" x14ac:dyDescent="0.25">
      <c r="B45" s="133" t="s">
        <v>274</v>
      </c>
      <c r="C45" s="133"/>
      <c r="D45" s="134">
        <f>'Historical FS'!H3</f>
        <v>43921</v>
      </c>
      <c r="E45" s="134">
        <f>'Historical FS'!I3</f>
        <v>44286</v>
      </c>
      <c r="F45" s="134">
        <f>'Historical FS'!J3</f>
        <v>44651</v>
      </c>
      <c r="G45" s="134">
        <f>'Historical FS'!K3</f>
        <v>45016</v>
      </c>
      <c r="H45" s="134">
        <f>'Historical FS'!L3</f>
        <v>45382</v>
      </c>
    </row>
    <row r="47" spans="1:8" x14ac:dyDescent="0.25">
      <c r="B47" t="s">
        <v>317</v>
      </c>
      <c r="D47" s="50">
        <f>-SUM('Raw FS'!H57:H58)</f>
        <v>41857</v>
      </c>
      <c r="E47" s="50">
        <f>-SUM('Raw FS'!I57:I58)</f>
        <v>32038</v>
      </c>
      <c r="F47" s="50">
        <f>-SUM('Raw FS'!J57:J58)</f>
        <v>33090</v>
      </c>
      <c r="G47" s="50">
        <f>-SUM('Raw FS'!K57:K58)</f>
        <v>38380</v>
      </c>
      <c r="H47" s="50">
        <f>-SUM('Raw FS'!L57:L58)</f>
        <v>37665</v>
      </c>
    </row>
    <row r="48" spans="1:8" x14ac:dyDescent="0.25">
      <c r="B48" t="s">
        <v>319</v>
      </c>
      <c r="E48" s="50">
        <f>E21-D21</f>
        <v>5353</v>
      </c>
      <c r="F48" s="50">
        <f t="shared" ref="F48:H48" si="5">F21-E21</f>
        <v>6493</v>
      </c>
      <c r="G48" s="50">
        <f t="shared" si="5"/>
        <v>23</v>
      </c>
      <c r="H48" s="168">
        <f t="shared" si="5"/>
        <v>-5833</v>
      </c>
    </row>
    <row r="50" spans="2:8" x14ac:dyDescent="0.25">
      <c r="B50" t="s">
        <v>314</v>
      </c>
      <c r="D50" s="163">
        <f>D38</f>
        <v>25470.099999999966</v>
      </c>
      <c r="E50" s="163">
        <f t="shared" ref="E50:H50" si="6">E38</f>
        <v>23934.969999999987</v>
      </c>
      <c r="F50" s="163">
        <f t="shared" si="6"/>
        <v>52990.429999999971</v>
      </c>
      <c r="G50" s="163">
        <f t="shared" si="6"/>
        <v>50969.930000000109</v>
      </c>
      <c r="H50" s="163">
        <f t="shared" si="6"/>
        <v>74072.690000000031</v>
      </c>
    </row>
    <row r="51" spans="2:8" x14ac:dyDescent="0.25">
      <c r="B51" t="s">
        <v>320</v>
      </c>
      <c r="D51" s="109">
        <v>0.25</v>
      </c>
      <c r="E51" s="109">
        <v>0.25</v>
      </c>
      <c r="F51" s="109">
        <v>0.25</v>
      </c>
      <c r="G51" s="109">
        <v>0.25</v>
      </c>
      <c r="H51" s="109">
        <v>0.25</v>
      </c>
    </row>
    <row r="52" spans="2:8" x14ac:dyDescent="0.25">
      <c r="B52" t="s">
        <v>322</v>
      </c>
      <c r="D52" s="163">
        <f>D50*(1-D51)</f>
        <v>19102.574999999975</v>
      </c>
      <c r="E52" s="163">
        <f t="shared" ref="E52:H52" si="7">E50*(1-E51)</f>
        <v>17951.22749999999</v>
      </c>
      <c r="F52" s="163">
        <f t="shared" si="7"/>
        <v>39742.82249999998</v>
      </c>
      <c r="G52" s="163">
        <f t="shared" si="7"/>
        <v>38227.447500000082</v>
      </c>
      <c r="H52" s="163">
        <f t="shared" si="7"/>
        <v>55554.517500000024</v>
      </c>
    </row>
    <row r="54" spans="2:8" x14ac:dyDescent="0.25">
      <c r="B54" t="s">
        <v>321</v>
      </c>
      <c r="E54" s="50">
        <f>SUM(E47:E48)</f>
        <v>37391</v>
      </c>
      <c r="F54" s="50">
        <f>SUM(F47:F48)</f>
        <v>39583</v>
      </c>
      <c r="G54" s="50">
        <f>SUM(G47:G48)</f>
        <v>38403</v>
      </c>
      <c r="H54" s="50">
        <f>SUM(H47:H48)</f>
        <v>31832</v>
      </c>
    </row>
    <row r="55" spans="2:8" ht="15.75" thickBot="1" x14ac:dyDescent="0.3">
      <c r="B55" s="156" t="s">
        <v>323</v>
      </c>
      <c r="C55" s="156"/>
      <c r="D55" s="160"/>
      <c r="E55" s="160">
        <f>E54/E52</f>
        <v>2.0829216275043043</v>
      </c>
      <c r="F55" s="160">
        <f t="shared" ref="F55:H55" si="8">F54/F52</f>
        <v>0.99597858204459488</v>
      </c>
      <c r="G55" s="160">
        <f t="shared" si="8"/>
        <v>1.0045923155083769</v>
      </c>
      <c r="H55" s="160">
        <f t="shared" si="8"/>
        <v>0.57298670625660619</v>
      </c>
    </row>
    <row r="57" spans="2:8" x14ac:dyDescent="0.25">
      <c r="F57" s="161" t="s">
        <v>324</v>
      </c>
      <c r="G57" s="161"/>
      <c r="H57" s="164">
        <f>AVERAGE(E55:H55)</f>
        <v>1.1641198078284705</v>
      </c>
    </row>
    <row r="58" spans="2:8" x14ac:dyDescent="0.25">
      <c r="F58" s="161" t="s">
        <v>325</v>
      </c>
      <c r="G58" s="161"/>
      <c r="H58" s="164">
        <f>MEDIAN(E55:H55)</f>
        <v>1.0002854487764858</v>
      </c>
    </row>
    <row r="60" spans="2:8" x14ac:dyDescent="0.25">
      <c r="B60" s="256" t="s">
        <v>316</v>
      </c>
      <c r="C60" s="256"/>
      <c r="D60" s="256"/>
      <c r="E60" s="256"/>
      <c r="F60" s="256"/>
      <c r="G60" s="256"/>
      <c r="H60" s="256"/>
    </row>
    <row r="61" spans="2:8" ht="2.1" customHeight="1" x14ac:dyDescent="0.25"/>
    <row r="62" spans="2:8" x14ac:dyDescent="0.25">
      <c r="B62" s="133" t="s">
        <v>274</v>
      </c>
      <c r="C62" s="133"/>
      <c r="D62" s="134">
        <f>'Historical FS'!H3</f>
        <v>43921</v>
      </c>
      <c r="E62" s="134">
        <f>'Historical FS'!I3</f>
        <v>44286</v>
      </c>
      <c r="F62" s="134">
        <f>'Historical FS'!J3</f>
        <v>44651</v>
      </c>
      <c r="G62" s="134">
        <f>'Historical FS'!K3</f>
        <v>45016</v>
      </c>
      <c r="H62" s="134">
        <f>'Historical FS'!L3</f>
        <v>45382</v>
      </c>
    </row>
    <row r="64" spans="2:8" x14ac:dyDescent="0.25">
      <c r="B64" s="6" t="s">
        <v>323</v>
      </c>
      <c r="E64" s="57">
        <f>E55</f>
        <v>2.0829216275043043</v>
      </c>
      <c r="F64" s="57">
        <f t="shared" ref="F64:H64" si="9">F55</f>
        <v>0.99597858204459488</v>
      </c>
      <c r="G64" s="57">
        <f t="shared" si="9"/>
        <v>1.0045923155083769</v>
      </c>
      <c r="H64" s="57">
        <f t="shared" si="9"/>
        <v>0.57298670625660619</v>
      </c>
    </row>
    <row r="65" spans="2:8" x14ac:dyDescent="0.25">
      <c r="B65" t="s">
        <v>315</v>
      </c>
      <c r="E65" s="57">
        <f>E40</f>
        <v>0.11509299775920595</v>
      </c>
      <c r="F65" s="57">
        <f t="shared" ref="F65:H65" si="10">F40</f>
        <v>0.23539584740040501</v>
      </c>
      <c r="G65" s="57">
        <f t="shared" si="10"/>
        <v>0.23001286124298323</v>
      </c>
      <c r="H65" s="57">
        <f t="shared" si="10"/>
        <v>0.28122070486755746</v>
      </c>
    </row>
    <row r="67" spans="2:8" ht="15.75" thickBot="1" x14ac:dyDescent="0.3">
      <c r="B67" s="156" t="s">
        <v>326</v>
      </c>
      <c r="C67" s="156"/>
      <c r="D67" s="160"/>
      <c r="E67" s="160">
        <f>E65*E64</f>
        <v>0.2397296942069545</v>
      </c>
      <c r="F67" s="160">
        <f t="shared" ref="F67:H67" si="11">F65*F64</f>
        <v>0.23444922231304122</v>
      </c>
      <c r="G67" s="160">
        <f t="shared" si="11"/>
        <v>0.23106915287279553</v>
      </c>
      <c r="H67" s="160">
        <f t="shared" si="11"/>
        <v>0.16113572541322288</v>
      </c>
    </row>
    <row r="69" spans="2:8" x14ac:dyDescent="0.25">
      <c r="F69" s="161" t="s">
        <v>324</v>
      </c>
      <c r="G69" s="161"/>
      <c r="H69" s="164">
        <f>AVERAGE(E67:H67)</f>
        <v>0.21659594870150353</v>
      </c>
    </row>
    <row r="70" spans="2:8" x14ac:dyDescent="0.25">
      <c r="F70" s="161" t="s">
        <v>325</v>
      </c>
      <c r="G70" s="161"/>
      <c r="H70" s="164">
        <f>MEDIAN(E67:H67)</f>
        <v>0.23275918759291836</v>
      </c>
    </row>
  </sheetData>
  <mergeCells count="4">
    <mergeCell ref="B2:H2"/>
    <mergeCell ref="B4:H4"/>
    <mergeCell ref="B43:H43"/>
    <mergeCell ref="B60:H6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L44"/>
  <sheetViews>
    <sheetView showGridLines="0" topLeftCell="A19" zoomScale="160" zoomScaleNormal="160" workbookViewId="0">
      <selection activeCell="H35" sqref="H35"/>
    </sheetView>
  </sheetViews>
  <sheetFormatPr defaultRowHeight="15" x14ac:dyDescent="0.25"/>
  <cols>
    <col min="1" max="1" width="1.85546875" customWidth="1"/>
    <col min="2" max="2" width="25.5703125" customWidth="1"/>
    <col min="3" max="3" width="11.140625" customWidth="1"/>
    <col min="4" max="4" width="11" bestFit="1" customWidth="1"/>
    <col min="5" max="5" width="13.42578125" bestFit="1" customWidth="1"/>
    <col min="6" max="7" width="12" customWidth="1"/>
    <col min="8" max="8" width="12.5703125" customWidth="1"/>
    <col min="9" max="9" width="13.28515625" customWidth="1"/>
    <col min="10" max="10" width="11.7109375" customWidth="1"/>
  </cols>
  <sheetData>
    <row r="2" spans="2:10" x14ac:dyDescent="0.25">
      <c r="B2" s="252" t="str">
        <f>"Free Cash Flow to the Firm - "&amp;'Profit &amp; Loss'!A1</f>
        <v>Free Cash Flow to the Firm - OIL &amp; NATURAL GAS CORPN LTD</v>
      </c>
      <c r="C2" s="252"/>
      <c r="D2" s="252"/>
      <c r="E2" s="252"/>
      <c r="F2" s="252"/>
      <c r="G2" s="252"/>
      <c r="H2" s="252"/>
      <c r="I2" s="252"/>
      <c r="J2" s="252"/>
    </row>
    <row r="3" spans="2:10" s="44" customFormat="1" ht="1.5" customHeight="1" x14ac:dyDescent="0.25">
      <c r="B3" s="172"/>
      <c r="C3" s="172"/>
      <c r="D3" s="172"/>
      <c r="E3" s="172"/>
      <c r="F3" s="172"/>
      <c r="G3" s="172"/>
      <c r="H3" s="172"/>
      <c r="I3" s="172"/>
    </row>
    <row r="4" spans="2:10" x14ac:dyDescent="0.25">
      <c r="B4" s="256" t="s">
        <v>327</v>
      </c>
      <c r="C4" s="256"/>
      <c r="D4" s="256"/>
      <c r="E4" s="256"/>
      <c r="F4" s="256"/>
      <c r="G4" s="256"/>
      <c r="H4" s="256"/>
      <c r="I4" s="256"/>
      <c r="J4" s="256"/>
    </row>
    <row r="5" spans="2:10" ht="2.1" customHeight="1" x14ac:dyDescent="0.25"/>
    <row r="6" spans="2:10" x14ac:dyDescent="0.25">
      <c r="B6" s="133" t="s">
        <v>274</v>
      </c>
      <c r="C6" s="133"/>
      <c r="D6" s="133"/>
      <c r="E6" s="173">
        <f>'Data Sheet'!K56</f>
        <v>45382</v>
      </c>
      <c r="F6" s="174">
        <f>E6+365</f>
        <v>45747</v>
      </c>
      <c r="G6" s="174">
        <f>F6+365</f>
        <v>46112</v>
      </c>
      <c r="H6" s="174">
        <f t="shared" ref="H6:J6" si="0">G6+365</f>
        <v>46477</v>
      </c>
      <c r="I6" s="174">
        <f t="shared" si="0"/>
        <v>46842</v>
      </c>
      <c r="J6" s="174">
        <f t="shared" si="0"/>
        <v>47207</v>
      </c>
    </row>
    <row r="8" spans="2:10" x14ac:dyDescent="0.25">
      <c r="B8" t="s">
        <v>314</v>
      </c>
      <c r="E8" s="163">
        <f>'Data Sheet'!K32-'Data Sheet'!K26</f>
        <v>79174.78</v>
      </c>
      <c r="F8" s="163">
        <f>E8*(1+$D$17)</f>
        <v>97603.43747064803</v>
      </c>
      <c r="G8" s="163">
        <f t="shared" ref="G8:J8" si="1">F8*(1+$D$17)</f>
        <v>120321.53428259226</v>
      </c>
      <c r="H8" s="163">
        <f t="shared" si="1"/>
        <v>148327.4768521419</v>
      </c>
      <c r="I8" s="163">
        <f t="shared" si="1"/>
        <v>182852.05986195384</v>
      </c>
      <c r="J8" s="163">
        <f t="shared" si="1"/>
        <v>225412.55676511387</v>
      </c>
    </row>
    <row r="9" spans="2:10" x14ac:dyDescent="0.25">
      <c r="B9" t="s">
        <v>230</v>
      </c>
      <c r="E9" s="109">
        <v>0.25</v>
      </c>
      <c r="F9" s="109">
        <f>E9</f>
        <v>0.25</v>
      </c>
      <c r="G9" s="109">
        <f t="shared" ref="G9:J9" si="2">F9</f>
        <v>0.25</v>
      </c>
      <c r="H9" s="109">
        <f t="shared" si="2"/>
        <v>0.25</v>
      </c>
      <c r="I9" s="109">
        <f t="shared" si="2"/>
        <v>0.25</v>
      </c>
      <c r="J9" s="109">
        <f t="shared" si="2"/>
        <v>0.25</v>
      </c>
    </row>
    <row r="10" spans="2:10" x14ac:dyDescent="0.25">
      <c r="B10" t="s">
        <v>322</v>
      </c>
      <c r="E10" s="163">
        <f>E8*(1-E9)</f>
        <v>59381.084999999999</v>
      </c>
      <c r="F10" s="163">
        <f t="shared" ref="F10:J10" si="3">F8*(1-F9)</f>
        <v>73202.578102986023</v>
      </c>
      <c r="G10" s="163">
        <f t="shared" si="3"/>
        <v>90241.150711944196</v>
      </c>
      <c r="H10" s="163">
        <f t="shared" si="3"/>
        <v>111245.60763910643</v>
      </c>
      <c r="I10" s="163">
        <f t="shared" si="3"/>
        <v>137139.04489646538</v>
      </c>
      <c r="J10" s="163">
        <f t="shared" si="3"/>
        <v>169059.41757383541</v>
      </c>
    </row>
    <row r="11" spans="2:10" x14ac:dyDescent="0.25">
      <c r="B11" t="s">
        <v>328</v>
      </c>
      <c r="E11" s="109">
        <f>'Intristic Growth'!H57</f>
        <v>1.1641198078284705</v>
      </c>
      <c r="F11" s="57">
        <f>E11+(($J$11-$E$11)/5)</f>
        <v>1.0574358462627764</v>
      </c>
      <c r="G11" s="57">
        <f t="shared" ref="G11:I11" si="4">F11+(($J$11-$E$11)/4)</f>
        <v>0.92408089430565887</v>
      </c>
      <c r="H11" s="57">
        <f t="shared" si="4"/>
        <v>0.79072594234854132</v>
      </c>
      <c r="I11" s="57">
        <f t="shared" si="4"/>
        <v>0.65737099039142377</v>
      </c>
      <c r="J11" s="109">
        <v>0.63070000000000004</v>
      </c>
    </row>
    <row r="12" spans="2:10" x14ac:dyDescent="0.25">
      <c r="B12" t="s">
        <v>329</v>
      </c>
      <c r="E12" s="176">
        <f>E10*(1-E11)</f>
        <v>-9745.6122588460694</v>
      </c>
      <c r="F12" s="176">
        <f t="shared" ref="F12:J12" si="5">F10*(1-F11)</f>
        <v>-4204.452021961989</v>
      </c>
      <c r="G12" s="176">
        <f t="shared" si="5"/>
        <v>6851.027458879058</v>
      </c>
      <c r="H12" s="176">
        <f t="shared" si="5"/>
        <v>23280.81970653791</v>
      </c>
      <c r="I12" s="176">
        <f t="shared" si="5"/>
        <v>46987.815131542004</v>
      </c>
      <c r="J12" s="176">
        <f t="shared" si="5"/>
        <v>62433.642910017414</v>
      </c>
    </row>
    <row r="13" spans="2:10" x14ac:dyDescent="0.25">
      <c r="B13" t="s">
        <v>330</v>
      </c>
      <c r="F13">
        <v>0.5</v>
      </c>
      <c r="G13">
        <f>F13+1</f>
        <v>1.5</v>
      </c>
      <c r="H13">
        <f t="shared" ref="H13:J13" si="6">G13+1</f>
        <v>2.5</v>
      </c>
      <c r="I13">
        <f t="shared" si="6"/>
        <v>3.5</v>
      </c>
      <c r="J13">
        <f t="shared" si="6"/>
        <v>4.5</v>
      </c>
    </row>
    <row r="14" spans="2:10" x14ac:dyDescent="0.25">
      <c r="B14" t="s">
        <v>331</v>
      </c>
      <c r="F14" s="210">
        <f>1/(1+$D$19)^F13</f>
        <v>0.92757363285924344</v>
      </c>
      <c r="G14" s="210">
        <f t="shared" ref="G14:J14" si="7">1/(1+$D$19)^G13</f>
        <v>0.79807771634366065</v>
      </c>
      <c r="H14" s="210">
        <f t="shared" si="7"/>
        <v>0.68666035639778067</v>
      </c>
      <c r="I14" s="210">
        <f t="shared" si="7"/>
        <v>0.59079765716111465</v>
      </c>
      <c r="J14" s="210">
        <f t="shared" si="7"/>
        <v>0.50831807669534779</v>
      </c>
    </row>
    <row r="15" spans="2:10" ht="15.75" thickBot="1" x14ac:dyDescent="0.3">
      <c r="B15" s="175" t="s">
        <v>332</v>
      </c>
      <c r="C15" s="175"/>
      <c r="D15" s="175"/>
      <c r="E15" s="238"/>
      <c r="F15" s="239">
        <f>F12*F14</f>
        <v>-3899.9388361936735</v>
      </c>
      <c r="G15" s="239">
        <f t="shared" ref="G15:J15" si="8">G12*G14</f>
        <v>5467.6523489899109</v>
      </c>
      <c r="H15" s="239">
        <f t="shared" si="8"/>
        <v>15986.015956923797</v>
      </c>
      <c r="I15" s="239">
        <f t="shared" si="8"/>
        <v>27760.291094834589</v>
      </c>
      <c r="J15" s="239">
        <f t="shared" si="8"/>
        <v>31736.149285104188</v>
      </c>
    </row>
    <row r="16" spans="2:10" ht="15.75" thickTop="1" x14ac:dyDescent="0.25"/>
    <row r="17" spans="2:12" x14ac:dyDescent="0.25">
      <c r="B17" s="40" t="s">
        <v>333</v>
      </c>
      <c r="C17" s="40"/>
      <c r="D17" s="191">
        <f>'Intristic Growth'!H70</f>
        <v>0.23275918759291836</v>
      </c>
    </row>
    <row r="18" spans="2:12" x14ac:dyDescent="0.25">
      <c r="B18" s="40" t="s">
        <v>334</v>
      </c>
      <c r="C18" s="40"/>
      <c r="D18" s="230">
        <v>6.5000000000000002E-2</v>
      </c>
    </row>
    <row r="19" spans="2:12" x14ac:dyDescent="0.25">
      <c r="B19" s="40" t="s">
        <v>335</v>
      </c>
      <c r="C19" s="40"/>
      <c r="D19" s="191">
        <f>WACC!K37</f>
        <v>0.16225978230398383</v>
      </c>
    </row>
    <row r="21" spans="2:12" x14ac:dyDescent="0.25">
      <c r="B21" s="256" t="s">
        <v>363</v>
      </c>
      <c r="C21" s="256"/>
      <c r="D21" s="256"/>
      <c r="E21" s="237"/>
      <c r="F21" s="256" t="s">
        <v>425</v>
      </c>
      <c r="G21" s="256"/>
      <c r="H21" s="256"/>
      <c r="I21" s="256"/>
      <c r="J21" s="256"/>
    </row>
    <row r="22" spans="2:12" x14ac:dyDescent="0.25">
      <c r="E22" s="154"/>
      <c r="F22" s="246">
        <f>D33</f>
        <v>479303.07113370893</v>
      </c>
      <c r="G22" s="241">
        <v>0.14000000000000001</v>
      </c>
      <c r="H22" s="241">
        <v>0.16225978230398383</v>
      </c>
      <c r="I22" s="241">
        <v>0.19</v>
      </c>
      <c r="J22" s="241">
        <v>0.22</v>
      </c>
    </row>
    <row r="23" spans="2:12" x14ac:dyDescent="0.25">
      <c r="B23" s="211" t="s">
        <v>364</v>
      </c>
      <c r="C23" s="211"/>
      <c r="D23" s="228">
        <f>J12*(1+D17)</f>
        <v>76965.646912219425</v>
      </c>
      <c r="F23" s="241">
        <v>0.03</v>
      </c>
      <c r="G23" s="240">
        <f t="dataTable" ref="G23:J27" dt2D="1" dtr="1" r1="D24" r2="D25"/>
        <v>432714.07539540977</v>
      </c>
      <c r="H23" s="163">
        <v>372854.60055795108</v>
      </c>
      <c r="I23" s="163">
        <v>321569.10491236264</v>
      </c>
      <c r="J23" s="163">
        <v>282960.85200772516</v>
      </c>
      <c r="K23" s="44"/>
      <c r="L23" s="44"/>
    </row>
    <row r="24" spans="2:12" x14ac:dyDescent="0.25">
      <c r="B24" t="s">
        <v>335</v>
      </c>
      <c r="D24" s="229">
        <f>D19</f>
        <v>0.16225978230398383</v>
      </c>
      <c r="F24" s="241">
        <v>0.05</v>
      </c>
      <c r="G24" s="240">
        <v>511750.4988500211</v>
      </c>
      <c r="H24" s="163">
        <v>425554.58351485641</v>
      </c>
      <c r="I24" s="163">
        <v>356500.38134989166</v>
      </c>
      <c r="J24" s="163">
        <v>307185.6381439683</v>
      </c>
    </row>
    <row r="25" spans="2:12" x14ac:dyDescent="0.25">
      <c r="B25" t="s">
        <v>365</v>
      </c>
      <c r="D25" s="229">
        <f>D18</f>
        <v>6.5000000000000002E-2</v>
      </c>
      <c r="F25" s="241">
        <v>6.5000000000000002E-2</v>
      </c>
      <c r="G25" s="240">
        <v>598690.56465009355</v>
      </c>
      <c r="H25" s="242">
        <v>479303.07113370893</v>
      </c>
      <c r="I25" s="163">
        <v>390034.40672991966</v>
      </c>
      <c r="J25" s="163">
        <v>329456.81249503052</v>
      </c>
    </row>
    <row r="26" spans="2:12" ht="15.75" thickBot="1" x14ac:dyDescent="0.3">
      <c r="B26" s="231" t="s">
        <v>414</v>
      </c>
      <c r="C26" s="231"/>
      <c r="D26" s="232">
        <f>D23/(D24-D25)</f>
        <v>791340.93341546436</v>
      </c>
      <c r="F26" s="241">
        <v>7.0000000000000007E-2</v>
      </c>
      <c r="G26" s="240">
        <v>635950.59285012458</v>
      </c>
      <c r="H26" s="163">
        <v>501103.08470618189</v>
      </c>
      <c r="I26" s="163">
        <v>403075.41659993056</v>
      </c>
      <c r="J26" s="163">
        <v>337870.36724987626</v>
      </c>
    </row>
    <row r="27" spans="2:12" x14ac:dyDescent="0.25">
      <c r="F27" s="241">
        <v>0.08</v>
      </c>
      <c r="G27" s="240">
        <v>729100.66335020226</v>
      </c>
      <c r="H27" s="163">
        <v>552653.53900831856</v>
      </c>
      <c r="I27" s="163">
        <v>432714.07539540983</v>
      </c>
      <c r="J27" s="163">
        <v>356500.38134989166</v>
      </c>
    </row>
    <row r="28" spans="2:12" x14ac:dyDescent="0.25">
      <c r="F28" s="235"/>
      <c r="G28" s="44"/>
      <c r="H28" s="44"/>
      <c r="I28" s="44"/>
      <c r="J28" s="44"/>
    </row>
    <row r="29" spans="2:12" x14ac:dyDescent="0.25">
      <c r="B29" s="256" t="s">
        <v>423</v>
      </c>
      <c r="C29" s="256"/>
      <c r="D29" s="256"/>
      <c r="F29" s="256" t="s">
        <v>424</v>
      </c>
      <c r="G29" s="256"/>
      <c r="H29" s="256"/>
      <c r="I29" s="256"/>
      <c r="J29" s="256"/>
    </row>
    <row r="30" spans="2:12" x14ac:dyDescent="0.25">
      <c r="D30" s="154"/>
      <c r="F30" s="246">
        <f>D39</f>
        <v>314.96717681504333</v>
      </c>
      <c r="G30" s="241">
        <v>0.14000000000000001</v>
      </c>
      <c r="H30" s="241">
        <v>0.16225978230398383</v>
      </c>
      <c r="I30" s="241">
        <v>0.19</v>
      </c>
      <c r="J30" s="241">
        <v>0.22</v>
      </c>
    </row>
    <row r="31" spans="2:12" x14ac:dyDescent="0.25">
      <c r="B31" s="211" t="s">
        <v>332</v>
      </c>
      <c r="C31" s="211"/>
      <c r="D31" s="228">
        <f>SUM(F15:J15)</f>
        <v>77050.169849658807</v>
      </c>
      <c r="F31" s="241">
        <v>0.03</v>
      </c>
      <c r="G31" s="240">
        <f t="dataTable" ref="G31:J35" dt2D="1" dtr="1" r1="D24" r2="D25" ca="1"/>
        <v>277.93384039596515</v>
      </c>
      <c r="H31" s="163">
        <v>230.35187314393002</v>
      </c>
      <c r="I31" s="163">
        <v>189.58531478472241</v>
      </c>
      <c r="J31" s="163">
        <v>158.89582694081702</v>
      </c>
    </row>
    <row r="32" spans="2:12" x14ac:dyDescent="0.25">
      <c r="B32" t="s">
        <v>415</v>
      </c>
      <c r="D32" s="228">
        <f>D26*J14</f>
        <v>402252.90128405014</v>
      </c>
      <c r="F32" s="241">
        <v>0.05</v>
      </c>
      <c r="G32" s="240">
        <v>340.75945860840437</v>
      </c>
      <c r="H32" s="163">
        <v>272.2427996855892</v>
      </c>
      <c r="I32" s="163">
        <v>217.3519942625415</v>
      </c>
      <c r="J32" s="163">
        <v>178.15197617620865</v>
      </c>
    </row>
    <row r="33" spans="2:10" x14ac:dyDescent="0.25">
      <c r="B33" t="s">
        <v>416</v>
      </c>
      <c r="D33" s="228">
        <f>D32+D31</f>
        <v>479303.07113370893</v>
      </c>
      <c r="F33" s="241">
        <v>6.5000000000000002E-2</v>
      </c>
      <c r="G33" s="240">
        <v>409.86763864208763</v>
      </c>
      <c r="H33" s="242">
        <v>314.96717681504333</v>
      </c>
      <c r="I33" s="163">
        <v>244.00800656124792</v>
      </c>
      <c r="J33" s="163">
        <v>195.85521015068159</v>
      </c>
    </row>
    <row r="34" spans="2:10" x14ac:dyDescent="0.25">
      <c r="D34" s="233"/>
      <c r="F34" s="241">
        <v>7.0000000000000007E-2</v>
      </c>
      <c r="G34" s="240">
        <v>439.48543008509472</v>
      </c>
      <c r="H34" s="163">
        <v>332.29588767854426</v>
      </c>
      <c r="I34" s="163">
        <v>254.37423356630043</v>
      </c>
      <c r="J34" s="163">
        <v>202.54309854103803</v>
      </c>
    </row>
    <row r="35" spans="2:10" x14ac:dyDescent="0.25">
      <c r="B35" t="s">
        <v>418</v>
      </c>
      <c r="D35" s="240">
        <f>'Data Sheet'!K69</f>
        <v>36689.64</v>
      </c>
      <c r="F35" s="241">
        <v>0.08</v>
      </c>
      <c r="G35" s="240">
        <v>513.52990869261248</v>
      </c>
      <c r="H35" s="163">
        <v>373.27306021626333</v>
      </c>
      <c r="I35" s="163">
        <v>277.93384039596515</v>
      </c>
      <c r="J35" s="163">
        <v>217.3519942625415</v>
      </c>
    </row>
    <row r="36" spans="2:10" x14ac:dyDescent="0.25">
      <c r="B36" t="s">
        <v>417</v>
      </c>
      <c r="D36" s="240">
        <f>SUM('Raw FS'!L7:L8)</f>
        <v>119755</v>
      </c>
    </row>
    <row r="37" spans="2:10" x14ac:dyDescent="0.25">
      <c r="B37" s="43" t="s">
        <v>419</v>
      </c>
      <c r="C37" s="43"/>
      <c r="D37" s="243">
        <f>D33+D35-D36</f>
        <v>396237.71113370894</v>
      </c>
      <c r="F37" s="44"/>
      <c r="G37" s="44"/>
    </row>
    <row r="38" spans="2:10" x14ac:dyDescent="0.25">
      <c r="B38" s="74" t="s">
        <v>420</v>
      </c>
      <c r="C38" s="74"/>
      <c r="D38" s="244">
        <f>'Data Sheet'!B6</f>
        <v>1258.0285829795837</v>
      </c>
      <c r="F38" s="44"/>
      <c r="G38" s="44"/>
    </row>
    <row r="39" spans="2:10" ht="15.75" thickBot="1" x14ac:dyDescent="0.3">
      <c r="B39" s="231" t="s">
        <v>421</v>
      </c>
      <c r="C39" s="231"/>
      <c r="D39" s="245">
        <f>D37/D38</f>
        <v>314.96717681504333</v>
      </c>
      <c r="F39" s="44"/>
      <c r="G39" s="44"/>
    </row>
    <row r="40" spans="2:10" x14ac:dyDescent="0.25">
      <c r="F40" s="44"/>
      <c r="G40" s="44"/>
    </row>
    <row r="41" spans="2:10" x14ac:dyDescent="0.25">
      <c r="B41" s="2" t="s">
        <v>372</v>
      </c>
      <c r="C41" s="2"/>
      <c r="D41" s="39">
        <f>'Data Sheet'!B8</f>
        <v>247.35</v>
      </c>
    </row>
    <row r="42" spans="2:10" x14ac:dyDescent="0.25">
      <c r="B42" t="s">
        <v>422</v>
      </c>
      <c r="D42" s="236">
        <f>D41/D39</f>
        <v>0.78531992603549972</v>
      </c>
    </row>
    <row r="43" spans="2:10" x14ac:dyDescent="0.25">
      <c r="E43" s="234"/>
    </row>
    <row r="44" spans="2:10" x14ac:dyDescent="0.25">
      <c r="E44" s="234"/>
    </row>
  </sheetData>
  <mergeCells count="6">
    <mergeCell ref="B2:J2"/>
    <mergeCell ref="B4:J4"/>
    <mergeCell ref="B21:D21"/>
    <mergeCell ref="B29:D29"/>
    <mergeCell ref="F21:J21"/>
    <mergeCell ref="F29:J29"/>
  </mergeCells>
  <pageMargins left="0.7" right="0.7" top="0.75" bottom="0.75" header="0.3" footer="0.3"/>
  <pageSetup paperSize="9" orientation="portrait" r:id="rId1"/>
  <ignoredErrors>
    <ignoredError sqref="D36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R31"/>
  <sheetViews>
    <sheetView showGridLines="0" topLeftCell="A10" zoomScale="160" zoomScaleNormal="160" workbookViewId="0">
      <selection activeCell="P29" sqref="P29"/>
    </sheetView>
  </sheetViews>
  <sheetFormatPr defaultRowHeight="15" x14ac:dyDescent="0.25"/>
  <cols>
    <col min="1" max="1" width="1.85546875" customWidth="1"/>
    <col min="2" max="2" width="19.85546875" customWidth="1"/>
    <col min="3" max="3" width="9.85546875" bestFit="1" customWidth="1"/>
    <col min="4" max="5" width="11.7109375" customWidth="1"/>
    <col min="6" max="6" width="10.42578125" bestFit="1" customWidth="1"/>
    <col min="7" max="7" width="10.85546875" customWidth="1"/>
    <col min="8" max="8" width="10.140625" customWidth="1"/>
    <col min="9" max="9" width="1.85546875" style="44" customWidth="1"/>
    <col min="10" max="10" width="10.5703125" style="44" bestFit="1" customWidth="1"/>
    <col min="11" max="11" width="10.85546875" style="44" customWidth="1"/>
    <col min="12" max="12" width="10.7109375" style="44" customWidth="1"/>
    <col min="13" max="13" width="1.85546875" style="44" customWidth="1"/>
    <col min="14" max="14" width="12.5703125" style="44" customWidth="1"/>
    <col min="15" max="15" width="12.28515625" style="44" customWidth="1"/>
    <col min="17" max="18" width="9.140625" style="44"/>
  </cols>
  <sheetData>
    <row r="2" spans="2:18" x14ac:dyDescent="0.25">
      <c r="B2" s="252" t="str">
        <f>"Intrinsic Growth of - "&amp;'Profit &amp; Loss'!A1</f>
        <v>Intrinsic Growth of - OIL &amp; NATURAL GAS CORPN LTD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131"/>
      <c r="R2" s="131"/>
    </row>
    <row r="4" spans="2:18" x14ac:dyDescent="0.25">
      <c r="B4" s="212" t="s">
        <v>366</v>
      </c>
      <c r="C4" s="153"/>
      <c r="D4" s="257" t="s">
        <v>371</v>
      </c>
      <c r="E4" s="257"/>
      <c r="F4" s="257"/>
      <c r="G4" s="257"/>
      <c r="H4" s="257"/>
      <c r="I4" s="213"/>
      <c r="J4" s="257" t="s">
        <v>376</v>
      </c>
      <c r="K4" s="257"/>
      <c r="L4" s="257"/>
      <c r="M4" s="215"/>
      <c r="N4" s="257" t="s">
        <v>375</v>
      </c>
      <c r="O4" s="257"/>
      <c r="P4" s="257"/>
    </row>
    <row r="5" spans="2:18" ht="34.5" customHeight="1" x14ac:dyDescent="0.25">
      <c r="B5" s="133" t="s">
        <v>377</v>
      </c>
      <c r="C5" s="133" t="s">
        <v>378</v>
      </c>
      <c r="D5" s="225" t="s">
        <v>372</v>
      </c>
      <c r="E5" s="225" t="s">
        <v>367</v>
      </c>
      <c r="F5" s="225" t="s">
        <v>368</v>
      </c>
      <c r="G5" s="225" t="s">
        <v>369</v>
      </c>
      <c r="H5" s="225" t="s">
        <v>370</v>
      </c>
      <c r="I5" s="214"/>
      <c r="J5" s="129" t="s">
        <v>373</v>
      </c>
      <c r="K5" s="129" t="s">
        <v>103</v>
      </c>
      <c r="L5" s="129" t="s">
        <v>374</v>
      </c>
      <c r="M5" s="153"/>
      <c r="N5" s="129" t="s">
        <v>397</v>
      </c>
      <c r="O5" s="129" t="s">
        <v>398</v>
      </c>
      <c r="P5" s="129" t="s">
        <v>352</v>
      </c>
    </row>
    <row r="6" spans="2:18" s="44" customFormat="1" ht="6" customHeight="1" x14ac:dyDescent="0.25">
      <c r="B6" s="140"/>
      <c r="C6" s="140"/>
      <c r="D6" s="216"/>
      <c r="E6" s="216"/>
      <c r="F6" s="216"/>
      <c r="G6" s="216"/>
      <c r="H6" s="216"/>
      <c r="I6" s="216"/>
      <c r="J6" s="140"/>
      <c r="K6" s="140"/>
      <c r="L6" s="140"/>
      <c r="N6" s="140"/>
      <c r="O6" s="140"/>
      <c r="P6" s="140"/>
    </row>
    <row r="7" spans="2:18" x14ac:dyDescent="0.25">
      <c r="B7" s="40" t="str">
        <f>'Comps Data'!C3</f>
        <v>O N G C</v>
      </c>
      <c r="C7" s="40"/>
      <c r="D7" s="222">
        <f>'Comps Data'!D3</f>
        <v>244.55</v>
      </c>
      <c r="E7" s="127">
        <f>'Comps Data'!E3</f>
        <v>1258.03</v>
      </c>
      <c r="F7" s="222">
        <f>E7*D7</f>
        <v>307651.2365</v>
      </c>
      <c r="G7" s="222">
        <f>'Comps Data'!I3</f>
        <v>160639.54999999999</v>
      </c>
      <c r="H7" s="222">
        <f>F7+G7</f>
        <v>468290.78649999999</v>
      </c>
      <c r="I7" s="222"/>
      <c r="J7" s="222">
        <f>'Comps Data'!K3</f>
        <v>663262.31000000006</v>
      </c>
      <c r="K7" s="222">
        <f>'Comps Data'!L3</f>
        <v>102289.87</v>
      </c>
      <c r="L7" s="222">
        <f>'Comps Data'!M3</f>
        <v>38328.589999999997</v>
      </c>
      <c r="M7" s="40"/>
      <c r="N7" s="223">
        <f>$H7/J7</f>
        <v>0.7060416059220973</v>
      </c>
      <c r="O7" s="223">
        <f>$H7/K7</f>
        <v>4.5780758788724629</v>
      </c>
      <c r="P7" s="223">
        <f>F7/L7</f>
        <v>8.0266776445467993</v>
      </c>
    </row>
    <row r="8" spans="2:18" x14ac:dyDescent="0.25">
      <c r="B8" t="str">
        <f>'Comps Data'!C4</f>
        <v>Oil India</v>
      </c>
      <c r="D8" s="218">
        <f>'Comps Data'!D4</f>
        <v>431.1</v>
      </c>
      <c r="E8" s="105">
        <f>'Comps Data'!E4</f>
        <v>162.66</v>
      </c>
      <c r="F8" s="218">
        <f t="shared" ref="F8:F14" si="0">E8*D8</f>
        <v>70122.725999999995</v>
      </c>
      <c r="G8" s="218">
        <f>'Comps Data'!I4</f>
        <v>23448.07</v>
      </c>
      <c r="H8" s="218">
        <f t="shared" ref="H8:H14" si="1">F8+G8</f>
        <v>93570.796000000002</v>
      </c>
      <c r="I8" s="219"/>
      <c r="J8" s="219">
        <f>'Comps Data'!K4</f>
        <v>32512.48</v>
      </c>
      <c r="K8" s="219">
        <f>'Comps Data'!L4</f>
        <v>12823.92</v>
      </c>
      <c r="L8" s="219">
        <f>'Comps Data'!M4</f>
        <v>7039.63</v>
      </c>
      <c r="N8" s="220">
        <f t="shared" ref="N8:O14" si="2">$H8/J8</f>
        <v>2.877996264818925</v>
      </c>
      <c r="O8" s="220">
        <f t="shared" si="2"/>
        <v>7.2965829481157085</v>
      </c>
      <c r="P8" s="221">
        <f t="shared" ref="P8:P14" si="3">F8/L8</f>
        <v>9.9611380143558677</v>
      </c>
    </row>
    <row r="9" spans="2:18" x14ac:dyDescent="0.25">
      <c r="B9" t="str">
        <f>'Comps Data'!C5</f>
        <v>Deep Industries</v>
      </c>
      <c r="D9" s="218">
        <f>'Comps Data'!D5</f>
        <v>422.5</v>
      </c>
      <c r="E9" s="105">
        <f>'Comps Data'!E5</f>
        <v>6.4</v>
      </c>
      <c r="F9" s="218">
        <f t="shared" si="0"/>
        <v>2704</v>
      </c>
      <c r="G9" s="218">
        <f>'Comps Data'!I5</f>
        <v>154.11000000000001</v>
      </c>
      <c r="H9" s="218">
        <f t="shared" si="1"/>
        <v>2858.11</v>
      </c>
      <c r="I9" s="219"/>
      <c r="J9" s="219">
        <f>'Comps Data'!K5</f>
        <v>576.13</v>
      </c>
      <c r="K9" s="219">
        <f>'Comps Data'!L5</f>
        <v>263.8</v>
      </c>
      <c r="L9" s="219">
        <f>'Comps Data'!M5</f>
        <v>-78.760000000000005</v>
      </c>
      <c r="N9" s="220">
        <f t="shared" si="2"/>
        <v>4.960876885425165</v>
      </c>
      <c r="O9" s="220">
        <f t="shared" si="2"/>
        <v>10.834382107657316</v>
      </c>
      <c r="P9" s="221">
        <f t="shared" si="3"/>
        <v>-34.332148298628745</v>
      </c>
    </row>
    <row r="10" spans="2:18" x14ac:dyDescent="0.25">
      <c r="B10" t="str">
        <f>'Comps Data'!C6</f>
        <v>Hind.Oil Explor.</v>
      </c>
      <c r="D10" s="218">
        <f>'Comps Data'!D6</f>
        <v>182.3</v>
      </c>
      <c r="E10" s="105">
        <f>'Comps Data'!E6</f>
        <v>13.22</v>
      </c>
      <c r="F10" s="218">
        <f t="shared" si="0"/>
        <v>2410.0060000000003</v>
      </c>
      <c r="G10" s="218">
        <f>'Comps Data'!I6</f>
        <v>76.63</v>
      </c>
      <c r="H10" s="218">
        <f t="shared" si="1"/>
        <v>2486.6360000000004</v>
      </c>
      <c r="I10" s="219"/>
      <c r="J10" s="219">
        <f>'Comps Data'!K6</f>
        <v>667.09</v>
      </c>
      <c r="K10" s="219">
        <f>'Comps Data'!L6</f>
        <v>266.07</v>
      </c>
      <c r="L10" s="219">
        <f>'Comps Data'!M6</f>
        <v>166.66</v>
      </c>
      <c r="N10" s="220">
        <f t="shared" si="2"/>
        <v>3.7275869822662613</v>
      </c>
      <c r="O10" s="220">
        <f t="shared" si="2"/>
        <v>9.3457962190401034</v>
      </c>
      <c r="P10" s="221">
        <f t="shared" si="3"/>
        <v>14.460614424576985</v>
      </c>
    </row>
    <row r="11" spans="2:18" x14ac:dyDescent="0.25">
      <c r="B11" t="str">
        <f>'Comps Data'!C7</f>
        <v>Asian Energy</v>
      </c>
      <c r="D11" s="218">
        <f>'Comps Data'!D7</f>
        <v>313.25</v>
      </c>
      <c r="E11" s="105">
        <f>'Comps Data'!E7</f>
        <v>4.4800000000000004</v>
      </c>
      <c r="F11" s="218">
        <f t="shared" si="0"/>
        <v>1403.3600000000001</v>
      </c>
      <c r="G11" s="218">
        <f>'Comps Data'!I7</f>
        <v>-53.63</v>
      </c>
      <c r="H11" s="218">
        <f t="shared" si="1"/>
        <v>1349.73</v>
      </c>
      <c r="I11" s="219"/>
      <c r="J11" s="219">
        <f>'Comps Data'!K7</f>
        <v>465.04</v>
      </c>
      <c r="K11" s="219">
        <f>'Comps Data'!L7</f>
        <v>77.710000000000008</v>
      </c>
      <c r="L11" s="219">
        <f>'Comps Data'!M7</f>
        <v>42.16</v>
      </c>
      <c r="N11" s="220">
        <f t="shared" si="2"/>
        <v>2.9023954928608289</v>
      </c>
      <c r="O11" s="220">
        <f t="shared" si="2"/>
        <v>17.368807103332902</v>
      </c>
      <c r="P11" s="221">
        <f t="shared" si="3"/>
        <v>33.286527514231501</v>
      </c>
    </row>
    <row r="12" spans="2:18" x14ac:dyDescent="0.25">
      <c r="B12" t="str">
        <f>'Comps Data'!C8</f>
        <v>Selan Expl. Tech</v>
      </c>
      <c r="D12" s="218">
        <f>'Comps Data'!D8</f>
        <v>546.4</v>
      </c>
      <c r="E12" s="105">
        <f>'Comps Data'!E8</f>
        <v>1.52</v>
      </c>
      <c r="F12" s="218">
        <f t="shared" si="0"/>
        <v>830.52800000000002</v>
      </c>
      <c r="G12" s="218">
        <f>'Comps Data'!I8</f>
        <v>-19.560000000000002</v>
      </c>
      <c r="H12" s="218">
        <f t="shared" si="1"/>
        <v>810.96800000000007</v>
      </c>
      <c r="I12" s="219"/>
      <c r="J12" s="219">
        <f>'Comps Data'!K8</f>
        <v>258.08</v>
      </c>
      <c r="K12" s="219">
        <f>'Comps Data'!L8</f>
        <v>103.41000000000001</v>
      </c>
      <c r="L12" s="219">
        <f>'Comps Data'!M8</f>
        <v>73.98</v>
      </c>
      <c r="N12" s="220">
        <f t="shared" si="2"/>
        <v>3.1423124612523252</v>
      </c>
      <c r="O12" s="220">
        <f t="shared" si="2"/>
        <v>7.8422589691519198</v>
      </c>
      <c r="P12" s="221">
        <f t="shared" si="3"/>
        <v>11.226385509597188</v>
      </c>
    </row>
    <row r="13" spans="2:18" x14ac:dyDescent="0.25">
      <c r="B13" t="str">
        <f>'Comps Data'!C9</f>
        <v>Guj.Nat.Resour.</v>
      </c>
      <c r="D13" s="218">
        <f>'Comps Data'!D9</f>
        <v>46.94</v>
      </c>
      <c r="E13" s="105">
        <f>'Comps Data'!E9</f>
        <v>12.84</v>
      </c>
      <c r="F13" s="218">
        <f t="shared" si="0"/>
        <v>602.70959999999991</v>
      </c>
      <c r="G13" s="218">
        <f>'Comps Data'!I9</f>
        <v>49.12</v>
      </c>
      <c r="H13" s="218">
        <f t="shared" si="1"/>
        <v>651.82959999999991</v>
      </c>
      <c r="I13" s="219"/>
      <c r="J13" s="219">
        <f>'Comps Data'!K9</f>
        <v>25.6</v>
      </c>
      <c r="K13" s="219">
        <f>'Comps Data'!L9</f>
        <v>7.45</v>
      </c>
      <c r="L13" s="219">
        <f>'Comps Data'!M9</f>
        <v>-1.73</v>
      </c>
      <c r="N13" s="220">
        <f t="shared" si="2"/>
        <v>25.462093749999994</v>
      </c>
      <c r="O13" s="220">
        <f t="shared" si="2"/>
        <v>87.493906040268442</v>
      </c>
      <c r="P13" s="221">
        <f t="shared" si="3"/>
        <v>-348.38705202312133</v>
      </c>
    </row>
    <row r="14" spans="2:18" x14ac:dyDescent="0.25">
      <c r="B14" t="str">
        <f>'Comps Data'!C10</f>
        <v>Aban Offshore</v>
      </c>
      <c r="D14" s="218">
        <f>'Comps Data'!D10</f>
        <v>44.18</v>
      </c>
      <c r="E14" s="105">
        <f>'Comps Data'!E10</f>
        <v>5.84</v>
      </c>
      <c r="F14" s="218">
        <f t="shared" si="0"/>
        <v>258.01119999999997</v>
      </c>
      <c r="G14" s="218">
        <f>'Comps Data'!I10</f>
        <v>15326.63</v>
      </c>
      <c r="H14" s="218">
        <f t="shared" si="1"/>
        <v>15584.6412</v>
      </c>
      <c r="I14" s="219"/>
      <c r="J14" s="219">
        <f>'Comps Data'!K10</f>
        <v>497.41</v>
      </c>
      <c r="K14" s="219">
        <f>'Comps Data'!L10</f>
        <v>289.48</v>
      </c>
      <c r="L14" s="219">
        <f>'Comps Data'!M10</f>
        <v>-969.67</v>
      </c>
      <c r="N14" s="220">
        <f t="shared" si="2"/>
        <v>31.331579984318768</v>
      </c>
      <c r="O14" s="220">
        <f t="shared" si="2"/>
        <v>53.836676799778914</v>
      </c>
      <c r="P14" s="221">
        <f t="shared" si="3"/>
        <v>-0.26608145039033898</v>
      </c>
    </row>
    <row r="16" spans="2:18" x14ac:dyDescent="0.25">
      <c r="B16" s="40" t="s">
        <v>399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223">
        <f>MAX(N7:N14)</f>
        <v>31.331579984318768</v>
      </c>
      <c r="O16" s="223">
        <f t="shared" ref="O16:P16" si="4">MAX(O7:O14)</f>
        <v>87.493906040268442</v>
      </c>
      <c r="P16" s="223">
        <f t="shared" si="4"/>
        <v>33.286527514231501</v>
      </c>
    </row>
    <row r="17" spans="2:16" x14ac:dyDescent="0.25">
      <c r="B17" s="40" t="s">
        <v>400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223">
        <f>QUARTILE(N7:N14,3)</f>
        <v>10.086181101568872</v>
      </c>
      <c r="O17" s="223">
        <f t="shared" ref="O17:P17" si="5">QUARTILE(O7:O14,3)</f>
        <v>26.485774527444406</v>
      </c>
      <c r="P17" s="223">
        <f t="shared" si="5"/>
        <v>12.034942738342137</v>
      </c>
    </row>
    <row r="18" spans="2:16" x14ac:dyDescent="0.25">
      <c r="B18" s="39" t="s">
        <v>244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224">
        <f>AVERAGE(N7:N14)</f>
        <v>9.3888604283580452</v>
      </c>
      <c r="O18" s="224">
        <f t="shared" ref="O18:P18" si="6">AVERAGE(O7:O14)</f>
        <v>24.824560758277222</v>
      </c>
      <c r="P18" s="224">
        <f t="shared" si="6"/>
        <v>-38.252992333104011</v>
      </c>
    </row>
    <row r="19" spans="2:16" x14ac:dyDescent="0.25">
      <c r="B19" s="39" t="s">
        <v>186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224">
        <f>MEDIAN(N7:N14)</f>
        <v>3.4349497217592933</v>
      </c>
      <c r="O19" s="224">
        <f t="shared" ref="O19:P19" si="7">MEDIAN(O7:O14)</f>
        <v>10.09008916334871</v>
      </c>
      <c r="P19" s="224">
        <f t="shared" si="7"/>
        <v>8.9939078294513344</v>
      </c>
    </row>
    <row r="20" spans="2:16" x14ac:dyDescent="0.25">
      <c r="B20" s="40" t="s">
        <v>401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223">
        <f>QUARTILE(N7:N14,1)</f>
        <v>2.8962956858503528</v>
      </c>
      <c r="O20" s="223">
        <f t="shared" ref="O20:P20" si="8">QUARTILE(O7:O14,1)</f>
        <v>7.705839963892867</v>
      </c>
      <c r="P20" s="223">
        <f t="shared" si="8"/>
        <v>-8.7825981624499398</v>
      </c>
    </row>
    <row r="21" spans="2:16" x14ac:dyDescent="0.25">
      <c r="B21" s="40" t="s">
        <v>402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223">
        <f>MIN(N7:N14)</f>
        <v>0.7060416059220973</v>
      </c>
      <c r="O21" s="223">
        <f t="shared" ref="O21:P21" si="9">MIN(O7:O14)</f>
        <v>4.5780758788724629</v>
      </c>
      <c r="P21" s="223">
        <f t="shared" si="9"/>
        <v>-348.38705202312133</v>
      </c>
    </row>
    <row r="23" spans="2:16" x14ac:dyDescent="0.25">
      <c r="B23" s="133" t="s">
        <v>403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29" t="s">
        <v>397</v>
      </c>
      <c r="O23" s="129" t="s">
        <v>398</v>
      </c>
      <c r="P23" s="129" t="s">
        <v>352</v>
      </c>
    </row>
    <row r="24" spans="2:16" ht="6" customHeight="1" x14ac:dyDescent="0.25"/>
    <row r="25" spans="2:16" x14ac:dyDescent="0.25">
      <c r="B25" t="s">
        <v>404</v>
      </c>
      <c r="N25" s="217">
        <f>N19*J$7</f>
        <v>2278272.6871879264</v>
      </c>
      <c r="O25" s="217">
        <f>O19*K$7</f>
        <v>1032113.9088073482</v>
      </c>
      <c r="P25" s="155">
        <f>P26+P27</f>
        <v>505363.35569283005</v>
      </c>
    </row>
    <row r="26" spans="2:16" x14ac:dyDescent="0.25">
      <c r="B26" t="s">
        <v>369</v>
      </c>
      <c r="N26" s="217">
        <f>G7</f>
        <v>160639.54999999999</v>
      </c>
      <c r="O26" s="217">
        <f>N26</f>
        <v>160639.54999999999</v>
      </c>
      <c r="P26" s="217">
        <f>O26</f>
        <v>160639.54999999999</v>
      </c>
    </row>
    <row r="27" spans="2:16" x14ac:dyDescent="0.25">
      <c r="B27" t="s">
        <v>405</v>
      </c>
      <c r="N27" s="217">
        <f>N25-N26</f>
        <v>2117633.1371879266</v>
      </c>
      <c r="O27" s="217">
        <f t="shared" ref="O27" si="10">O25-O26</f>
        <v>871474.35880734818</v>
      </c>
      <c r="P27" s="217">
        <f>P19*L7</f>
        <v>344723.80569283006</v>
      </c>
    </row>
    <row r="28" spans="2:16" x14ac:dyDescent="0.25">
      <c r="B28" t="s">
        <v>367</v>
      </c>
      <c r="N28" s="217">
        <f>$E$7</f>
        <v>1258.03</v>
      </c>
      <c r="O28" s="217">
        <f t="shared" ref="O28:P28" si="11">$E$7</f>
        <v>1258.03</v>
      </c>
      <c r="P28" s="217">
        <f t="shared" si="11"/>
        <v>1258.03</v>
      </c>
    </row>
    <row r="29" spans="2:16" x14ac:dyDescent="0.25">
      <c r="B29" s="226" t="s">
        <v>406</v>
      </c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7">
        <f>N27/N28</f>
        <v>1683.2930352916278</v>
      </c>
      <c r="O29" s="227">
        <f t="shared" ref="O29:P29" si="12">O27/O28</f>
        <v>692.72939342253221</v>
      </c>
      <c r="P29" s="227">
        <f t="shared" si="12"/>
        <v>274.01874811636452</v>
      </c>
    </row>
    <row r="31" spans="2:16" x14ac:dyDescent="0.25">
      <c r="B31" s="196" t="s">
        <v>407</v>
      </c>
      <c r="N31" s="44" t="str">
        <f>IF(N29&gt;$D$7,"Undervalued","Overvalued")</f>
        <v>Undervalued</v>
      </c>
      <c r="O31" s="44" t="str">
        <f t="shared" ref="O31:P31" si="13">IF(O29&gt;$D$7,"Undervalued","Overvalued")</f>
        <v>Undervalued</v>
      </c>
      <c r="P31" s="44" t="str">
        <f t="shared" si="13"/>
        <v>Undervalued</v>
      </c>
    </row>
  </sheetData>
  <mergeCells count="4">
    <mergeCell ref="J4:L4"/>
    <mergeCell ref="N4:P4"/>
    <mergeCell ref="B2:P2"/>
    <mergeCell ref="D4:H4"/>
  </mergeCells>
  <pageMargins left="0.7" right="0.7" top="0.75" bottom="0.75" header="0.3" footer="0.3"/>
  <pageSetup paperSize="9" scale="84" orientation="landscape" r:id="rId1"/>
  <colBreaks count="1" manualBreakCount="1">
    <brk id="1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J10"/>
  <sheetViews>
    <sheetView showGridLines="0" zoomScale="130" zoomScaleNormal="130" workbookViewId="0">
      <selection activeCell="G12" sqref="G12"/>
    </sheetView>
  </sheetViews>
  <sheetFormatPr defaultRowHeight="15" x14ac:dyDescent="0.25"/>
  <cols>
    <col min="1" max="1" width="1.85546875" customWidth="1"/>
    <col min="2" max="2" width="17.28515625" customWidth="1"/>
    <col min="3" max="3" width="18.7109375" customWidth="1"/>
    <col min="4" max="4" width="16.85546875" customWidth="1"/>
    <col min="5" max="5" width="19" customWidth="1"/>
    <col min="6" max="6" width="18.140625" customWidth="1"/>
  </cols>
  <sheetData>
    <row r="2" spans="1:10" s="38" customFormat="1" x14ac:dyDescent="0.25">
      <c r="A2"/>
      <c r="B2" s="252" t="s">
        <v>408</v>
      </c>
      <c r="C2" s="252"/>
      <c r="D2" s="252"/>
      <c r="E2" s="252"/>
      <c r="F2" s="252"/>
      <c r="G2" s="249"/>
      <c r="H2" s="249"/>
      <c r="I2" s="249"/>
      <c r="J2" s="249"/>
    </row>
    <row r="5" spans="1:10" x14ac:dyDescent="0.25">
      <c r="C5" s="247" t="s">
        <v>426</v>
      </c>
      <c r="D5" s="247" t="s">
        <v>402</v>
      </c>
      <c r="E5" s="247" t="s">
        <v>427</v>
      </c>
      <c r="F5" s="247" t="s">
        <v>399</v>
      </c>
    </row>
    <row r="6" spans="1:10" x14ac:dyDescent="0.25">
      <c r="B6" s="43" t="s">
        <v>409</v>
      </c>
      <c r="C6" s="248">
        <f>D6</f>
        <v>274.01874811636452</v>
      </c>
      <c r="D6" s="248">
        <f>'Relative Valuation'!P29</f>
        <v>274.01874811636452</v>
      </c>
      <c r="E6" s="248">
        <f>F6</f>
        <v>1683.2930352916278</v>
      </c>
      <c r="F6" s="248">
        <f>'Relative Valuation'!N29</f>
        <v>1683.2930352916278</v>
      </c>
    </row>
    <row r="7" spans="1:10" x14ac:dyDescent="0.25">
      <c r="B7" s="43" t="s">
        <v>410</v>
      </c>
      <c r="C7" s="248">
        <f>D7</f>
        <v>158.89582694081702</v>
      </c>
      <c r="D7" s="248">
        <f>FCFF!J31</f>
        <v>158.89582694081702</v>
      </c>
      <c r="E7" s="248">
        <f>F7</f>
        <v>217.3519942625415</v>
      </c>
      <c r="F7" s="248">
        <f>FCFF!J35</f>
        <v>217.3519942625415</v>
      </c>
    </row>
    <row r="8" spans="1:10" x14ac:dyDescent="0.25">
      <c r="B8" s="43" t="s">
        <v>411</v>
      </c>
      <c r="C8" s="248">
        <f>D8</f>
        <v>230.35187314393002</v>
      </c>
      <c r="D8" s="248">
        <f>FCFF!H31</f>
        <v>230.35187314393002</v>
      </c>
      <c r="E8" s="248">
        <f>F8</f>
        <v>373.27306021626333</v>
      </c>
      <c r="F8" s="248">
        <f>FCFF!H35</f>
        <v>373.27306021626333</v>
      </c>
    </row>
    <row r="9" spans="1:10" x14ac:dyDescent="0.25">
      <c r="B9" s="43" t="s">
        <v>412</v>
      </c>
      <c r="C9" s="248">
        <f>D9</f>
        <v>277.93384039596515</v>
      </c>
      <c r="D9" s="248">
        <f>FCFF!G31</f>
        <v>277.93384039596515</v>
      </c>
      <c r="E9" s="248">
        <f>F9</f>
        <v>513.52990869261248</v>
      </c>
      <c r="F9" s="248">
        <f>FCFF!G35</f>
        <v>513.52990869261248</v>
      </c>
    </row>
    <row r="10" spans="1:10" x14ac:dyDescent="0.25">
      <c r="B10" s="43" t="s">
        <v>413</v>
      </c>
      <c r="C10" s="248">
        <f>D10</f>
        <v>205</v>
      </c>
      <c r="D10" s="248">
        <v>205</v>
      </c>
      <c r="E10" s="248">
        <f>F10</f>
        <v>345</v>
      </c>
      <c r="F10" s="248">
        <v>345</v>
      </c>
    </row>
  </sheetData>
  <mergeCells count="1">
    <mergeCell ref="B2:F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3:K251"/>
  <sheetViews>
    <sheetView showGridLines="0" zoomScale="130" zoomScaleNormal="130" workbookViewId="0">
      <selection activeCell="H20" sqref="H20"/>
    </sheetView>
  </sheetViews>
  <sheetFormatPr defaultRowHeight="15" x14ac:dyDescent="0.25"/>
  <cols>
    <col min="1" max="1" width="1.85546875" customWidth="1"/>
    <col min="2" max="2" width="15.42578125" customWidth="1"/>
    <col min="3" max="3" width="15.85546875" customWidth="1"/>
    <col min="4" max="4" width="12.140625" customWidth="1"/>
    <col min="5" max="5" width="13.140625" customWidth="1"/>
    <col min="7" max="7" width="10.42578125" customWidth="1"/>
    <col min="8" max="8" width="10.5703125" customWidth="1"/>
    <col min="10" max="10" width="10.42578125" customWidth="1"/>
    <col min="11" max="11" width="11.85546875" customWidth="1"/>
  </cols>
  <sheetData>
    <row r="3" spans="2:11" x14ac:dyDescent="0.25">
      <c r="B3" s="133" t="s">
        <v>258</v>
      </c>
      <c r="C3" s="133" t="s">
        <v>428</v>
      </c>
      <c r="D3" s="133" t="s">
        <v>263</v>
      </c>
      <c r="E3" s="133" t="s">
        <v>429</v>
      </c>
      <c r="F3" s="133"/>
      <c r="G3" s="252" t="s">
        <v>430</v>
      </c>
      <c r="H3" s="252"/>
      <c r="I3" s="252"/>
      <c r="J3" s="252"/>
      <c r="K3" s="252"/>
    </row>
    <row r="4" spans="2:11" x14ac:dyDescent="0.25">
      <c r="B4" s="258">
        <v>45440</v>
      </c>
      <c r="C4">
        <v>277.64999999999998</v>
      </c>
      <c r="D4">
        <f>(C4-C5)/C5</f>
        <v>1.2212905577834363E-2</v>
      </c>
      <c r="E4">
        <v>0.20228523063901824</v>
      </c>
    </row>
    <row r="5" spans="2:11" x14ac:dyDescent="0.25">
      <c r="B5" s="258">
        <v>45441</v>
      </c>
      <c r="C5">
        <v>274.3</v>
      </c>
      <c r="D5">
        <f>(C5-C6)/C6</f>
        <v>9.012322972227288E-3</v>
      </c>
      <c r="E5">
        <v>7.6545285606831603E-2</v>
      </c>
      <c r="G5" t="s">
        <v>185</v>
      </c>
      <c r="K5" s="259">
        <f>AVERAGE(E4:E251)</f>
        <v>8.4875814056589336E-4</v>
      </c>
    </row>
    <row r="6" spans="2:11" x14ac:dyDescent="0.25">
      <c r="B6" s="258">
        <v>45442</v>
      </c>
      <c r="C6">
        <v>271.85000000000002</v>
      </c>
      <c r="D6">
        <f>(C6-C7)/C7</f>
        <v>1.9310086239220228E-2</v>
      </c>
      <c r="E6">
        <v>6.3980660757453733E-2</v>
      </c>
      <c r="G6" t="s">
        <v>431</v>
      </c>
      <c r="K6" s="259">
        <f>_xlfn.STDEV.S(E4:E251)</f>
        <v>2.4028043282764814E-2</v>
      </c>
    </row>
    <row r="7" spans="2:11" x14ac:dyDescent="0.25">
      <c r="B7" s="258">
        <v>45443</v>
      </c>
      <c r="C7">
        <v>266.7</v>
      </c>
      <c r="D7">
        <f>(C7-C8)/C8</f>
        <v>8.8897295252504845E-3</v>
      </c>
      <c r="E7">
        <v>4.3460728527263716E-2</v>
      </c>
      <c r="G7" t="s">
        <v>432</v>
      </c>
      <c r="K7" s="259">
        <f>MIN(E4:E251)</f>
        <v>-6.9887572166514728E-2</v>
      </c>
    </row>
    <row r="8" spans="2:11" x14ac:dyDescent="0.25">
      <c r="B8" s="258">
        <v>45446</v>
      </c>
      <c r="C8">
        <v>264.35000000000002</v>
      </c>
      <c r="D8">
        <f>(C8-C9)/C9</f>
        <v>-6.9517775431186202E-2</v>
      </c>
      <c r="E8">
        <v>3.7697481620522486E-2</v>
      </c>
      <c r="G8" t="s">
        <v>433</v>
      </c>
      <c r="K8" s="259">
        <f>MAX(E4:E251)</f>
        <v>0.20228523063901824</v>
      </c>
    </row>
    <row r="9" spans="2:11" x14ac:dyDescent="0.25">
      <c r="B9" s="258">
        <v>45447</v>
      </c>
      <c r="C9">
        <v>284.10000000000002</v>
      </c>
      <c r="D9">
        <f>(C9-C10)/C10</f>
        <v>0.20228523063901824</v>
      </c>
      <c r="E9">
        <v>3.6102348405187563E-2</v>
      </c>
      <c r="G9" t="s">
        <v>436</v>
      </c>
      <c r="K9">
        <v>243</v>
      </c>
    </row>
    <row r="10" spans="2:11" x14ac:dyDescent="0.25">
      <c r="B10" s="258">
        <v>45448</v>
      </c>
      <c r="C10">
        <v>236.3</v>
      </c>
      <c r="D10">
        <f>(C10-C11)/C11</f>
        <v>-4.5252525252525204E-2</v>
      </c>
      <c r="E10">
        <v>3.529233565586179E-2</v>
      </c>
    </row>
    <row r="11" spans="2:11" x14ac:dyDescent="0.25">
      <c r="B11" s="258">
        <v>45449</v>
      </c>
      <c r="C11">
        <v>247.5</v>
      </c>
      <c r="D11">
        <f>(C11-C12)/C12</f>
        <v>-1.9024970273483991E-2</v>
      </c>
      <c r="E11">
        <v>3.4337349397590408E-2</v>
      </c>
    </row>
    <row r="12" spans="2:11" x14ac:dyDescent="0.25">
      <c r="B12" s="258">
        <v>45450</v>
      </c>
      <c r="C12">
        <v>252.3</v>
      </c>
      <c r="D12">
        <f>(C12-C13)/C13</f>
        <v>-3.1105990783410011E-2</v>
      </c>
      <c r="E12">
        <v>3.3121445299431368E-2</v>
      </c>
      <c r="G12" s="121" t="s">
        <v>434</v>
      </c>
      <c r="H12" s="247" t="s">
        <v>439</v>
      </c>
      <c r="I12" s="247" t="s">
        <v>435</v>
      </c>
      <c r="J12" s="247" t="s">
        <v>437</v>
      </c>
      <c r="K12" s="247" t="s">
        <v>438</v>
      </c>
    </row>
    <row r="13" spans="2:11" x14ac:dyDescent="0.25">
      <c r="B13" s="258">
        <v>45453</v>
      </c>
      <c r="C13">
        <v>260.39999999999998</v>
      </c>
      <c r="D13">
        <f>(C13-C14)/C14</f>
        <v>4.8234613158402474E-3</v>
      </c>
      <c r="E13">
        <v>3.0967398738505878E-2</v>
      </c>
      <c r="G13" s="260">
        <v>0.05</v>
      </c>
      <c r="H13" s="57">
        <f>100%-G13</f>
        <v>0.95</v>
      </c>
      <c r="I13" s="259">
        <f>_xlfn.PERCENTILE.INC(E4:E251,G13)</f>
        <v>-3.6162317774346274E-2</v>
      </c>
      <c r="J13">
        <f>$K$9*(1-I13)</f>
        <v>251.78744321916614</v>
      </c>
      <c r="K13">
        <f>$K$9-J13</f>
        <v>-8.7874432191661356</v>
      </c>
    </row>
    <row r="14" spans="2:11" x14ac:dyDescent="0.25">
      <c r="B14" s="258">
        <v>45454</v>
      </c>
      <c r="C14">
        <v>259.14999999999998</v>
      </c>
      <c r="D14">
        <f>(C14-C15)/C15</f>
        <v>-5.2641199049534029E-2</v>
      </c>
      <c r="E14">
        <v>3.0126176482676355E-2</v>
      </c>
      <c r="G14" s="260">
        <v>0.01</v>
      </c>
      <c r="H14" s="57">
        <f t="shared" ref="H14:H16" si="0">100%-G14</f>
        <v>0.99</v>
      </c>
      <c r="I14" s="259">
        <f>_xlfn.PERCENTILE.INC(E5:E252,G14)</f>
        <v>-5.1205033843888463E-2</v>
      </c>
      <c r="J14">
        <f>$K$9*(1-I14)</f>
        <v>255.44282322406491</v>
      </c>
      <c r="K14">
        <f>$K$9-J14</f>
        <v>-12.442823224064909</v>
      </c>
    </row>
    <row r="15" spans="2:11" x14ac:dyDescent="0.25">
      <c r="B15" s="258">
        <v>45455</v>
      </c>
      <c r="C15">
        <v>273.55</v>
      </c>
      <c r="D15">
        <f>(C15-C16)/C16</f>
        <v>-7.0780399274046777E-3</v>
      </c>
      <c r="E15">
        <v>2.9128163921253402E-2</v>
      </c>
      <c r="G15" s="260">
        <v>5.0000000000000001E-3</v>
      </c>
      <c r="H15" s="57">
        <f t="shared" si="0"/>
        <v>0.995</v>
      </c>
      <c r="I15" s="259">
        <f>_xlfn.PERCENTILE.INC(E6:E253,G15)</f>
        <v>-6.5720545745314468E-2</v>
      </c>
      <c r="J15">
        <f>$K$9*(1-I15)</f>
        <v>258.9700926161114</v>
      </c>
      <c r="K15">
        <f>$K$9-J15</f>
        <v>-15.970092616111401</v>
      </c>
    </row>
    <row r="16" spans="2:11" x14ac:dyDescent="0.25">
      <c r="B16" s="258">
        <v>45456</v>
      </c>
      <c r="C16">
        <v>275.5</v>
      </c>
      <c r="D16">
        <f>(C16-C17)/C17</f>
        <v>-3.7967817754475186E-3</v>
      </c>
      <c r="E16">
        <v>2.9006496462117844E-2</v>
      </c>
      <c r="G16" s="261">
        <v>0.1</v>
      </c>
      <c r="H16" s="57">
        <f t="shared" si="0"/>
        <v>0.9</v>
      </c>
      <c r="I16" s="259">
        <f t="shared" ref="I16" si="1">_xlfn.PERCENTILE.INC(E7:E254,G16)</f>
        <v>-2.7292917850464168E-2</v>
      </c>
      <c r="J16">
        <f>$K$9*(1-I16)</f>
        <v>249.63217903766278</v>
      </c>
      <c r="K16">
        <f>$K$9-J16</f>
        <v>-6.6321790376627803</v>
      </c>
    </row>
    <row r="17" spans="2:5" x14ac:dyDescent="0.25">
      <c r="B17" s="258">
        <v>45457</v>
      </c>
      <c r="C17">
        <v>276.55</v>
      </c>
      <c r="D17">
        <f>(C17-C18)/C18</f>
        <v>4.1757443718229278E-3</v>
      </c>
      <c r="E17">
        <v>2.850662808430764E-2</v>
      </c>
    </row>
    <row r="18" spans="2:5" x14ac:dyDescent="0.25">
      <c r="B18" s="258">
        <v>45461</v>
      </c>
      <c r="C18">
        <v>275.39999999999998</v>
      </c>
      <c r="D18">
        <f>(C18-C19)/C19</f>
        <v>-1.4503263234228938E-3</v>
      </c>
      <c r="E18">
        <v>2.8065866084424979E-2</v>
      </c>
    </row>
    <row r="19" spans="2:5" x14ac:dyDescent="0.25">
      <c r="B19" s="258">
        <v>45462</v>
      </c>
      <c r="C19">
        <v>275.8</v>
      </c>
      <c r="D19">
        <f>(C19-C20)/C20</f>
        <v>1.5650893021542992E-2</v>
      </c>
      <c r="E19">
        <v>2.6603423386265281E-2</v>
      </c>
    </row>
    <row r="20" spans="2:5" x14ac:dyDescent="0.25">
      <c r="B20" s="258">
        <v>45463</v>
      </c>
      <c r="C20">
        <v>271.55</v>
      </c>
      <c r="D20">
        <f>(C20-C21)/C21</f>
        <v>-1.1035497517013475E-3</v>
      </c>
      <c r="E20">
        <v>2.5527192008879023E-2</v>
      </c>
    </row>
    <row r="21" spans="2:5" x14ac:dyDescent="0.25">
      <c r="B21" s="258">
        <v>45464</v>
      </c>
      <c r="C21">
        <v>271.85000000000002</v>
      </c>
      <c r="D21">
        <f>(C21-C22)/C22</f>
        <v>8.1587242722048793E-3</v>
      </c>
      <c r="E21">
        <v>2.549608202409271E-2</v>
      </c>
    </row>
    <row r="22" spans="2:5" x14ac:dyDescent="0.25">
      <c r="B22" s="258">
        <v>45467</v>
      </c>
      <c r="C22">
        <v>269.64999999999998</v>
      </c>
      <c r="D22">
        <f>(C22-C23)/C23</f>
        <v>-9.2626898851426464E-4</v>
      </c>
      <c r="E22">
        <v>2.4809160305343549E-2</v>
      </c>
    </row>
    <row r="23" spans="2:5" x14ac:dyDescent="0.25">
      <c r="B23" s="258">
        <v>45468</v>
      </c>
      <c r="C23">
        <v>269.89999999999998</v>
      </c>
      <c r="D23">
        <f>(C23-C24)/C24</f>
        <v>1.0861423220973698E-2</v>
      </c>
      <c r="E23">
        <v>2.4312099509988649E-2</v>
      </c>
    </row>
    <row r="24" spans="2:5" x14ac:dyDescent="0.25">
      <c r="B24" s="258">
        <v>45469</v>
      </c>
      <c r="C24">
        <v>267</v>
      </c>
      <c r="D24">
        <f>(C24-C25)/C25</f>
        <v>-2.8011204481792717E-3</v>
      </c>
      <c r="E24">
        <v>2.422270426608817E-2</v>
      </c>
    </row>
    <row r="25" spans="2:5" x14ac:dyDescent="0.25">
      <c r="B25" s="258">
        <v>45470</v>
      </c>
      <c r="C25">
        <v>267.75</v>
      </c>
      <c r="D25">
        <f>(C25-C26)/C26</f>
        <v>9.3457943925233649E-4</v>
      </c>
      <c r="E25">
        <v>2.4158579392938237E-2</v>
      </c>
    </row>
    <row r="26" spans="2:5" x14ac:dyDescent="0.25">
      <c r="B26" s="258">
        <v>45471</v>
      </c>
      <c r="C26">
        <v>267.5</v>
      </c>
      <c r="D26">
        <f>(C26-C27)/C27</f>
        <v>-2.4434719183078005E-2</v>
      </c>
      <c r="E26">
        <v>2.3682526136121235E-2</v>
      </c>
    </row>
    <row r="27" spans="2:5" x14ac:dyDescent="0.25">
      <c r="B27" s="258">
        <v>45474</v>
      </c>
      <c r="C27">
        <v>274.2</v>
      </c>
      <c r="D27">
        <f>(C27-C28)/C28</f>
        <v>4.5795933321121085E-3</v>
      </c>
      <c r="E27">
        <v>2.3617248209660217E-2</v>
      </c>
    </row>
    <row r="28" spans="2:5" x14ac:dyDescent="0.25">
      <c r="B28" s="258">
        <v>45475</v>
      </c>
      <c r="C28">
        <v>272.95</v>
      </c>
      <c r="D28">
        <f>(C28-C29)/C29</f>
        <v>-6.9128615608514974E-3</v>
      </c>
      <c r="E28">
        <v>2.336849326815877E-2</v>
      </c>
    </row>
    <row r="29" spans="2:5" x14ac:dyDescent="0.25">
      <c r="B29" s="258">
        <v>45476</v>
      </c>
      <c r="C29">
        <v>274.85000000000002</v>
      </c>
      <c r="D29">
        <f>(C29-C30)/C30</f>
        <v>5.4605023662189338E-4</v>
      </c>
      <c r="E29">
        <v>2.2848712018502231E-2</v>
      </c>
    </row>
    <row r="30" spans="2:5" x14ac:dyDescent="0.25">
      <c r="B30" s="258">
        <v>45477</v>
      </c>
      <c r="C30">
        <v>274.7</v>
      </c>
      <c r="D30">
        <f>(C30-C31)/C31</f>
        <v>-8.4822234253745625E-3</v>
      </c>
      <c r="E30">
        <v>2.1992993382639294E-2</v>
      </c>
    </row>
    <row r="31" spans="2:5" x14ac:dyDescent="0.25">
      <c r="B31" s="258">
        <v>45478</v>
      </c>
      <c r="C31">
        <v>277.05</v>
      </c>
      <c r="D31">
        <f>(C31-C32)/C32</f>
        <v>-3.8688410825815325E-2</v>
      </c>
      <c r="E31">
        <v>2.1471793870778841E-2</v>
      </c>
    </row>
    <row r="32" spans="2:5" x14ac:dyDescent="0.25">
      <c r="B32" s="258">
        <v>45481</v>
      </c>
      <c r="C32">
        <v>288.2</v>
      </c>
      <c r="D32">
        <f>(C32-C33)/C33</f>
        <v>-3.6603710513120474E-2</v>
      </c>
      <c r="E32">
        <v>2.1418020679468283E-2</v>
      </c>
    </row>
    <row r="33" spans="2:5" x14ac:dyDescent="0.25">
      <c r="B33" s="258">
        <v>45482</v>
      </c>
      <c r="C33">
        <v>299.14999999999998</v>
      </c>
      <c r="D33">
        <f>(C33-C34)/C34</f>
        <v>5.7152462598755709E-3</v>
      </c>
      <c r="E33">
        <v>2.1267009101558976E-2</v>
      </c>
    </row>
    <row r="34" spans="2:5" x14ac:dyDescent="0.25">
      <c r="B34" s="258">
        <v>45483</v>
      </c>
      <c r="C34">
        <v>297.45</v>
      </c>
      <c r="D34">
        <f>(C34-C35)/C35</f>
        <v>-2.3478115042763329E-3</v>
      </c>
      <c r="E34">
        <v>2.1168231736431752E-2</v>
      </c>
    </row>
    <row r="35" spans="2:5" x14ac:dyDescent="0.25">
      <c r="B35" s="258">
        <v>45484</v>
      </c>
      <c r="C35">
        <v>298.14999999999998</v>
      </c>
      <c r="D35">
        <f>(C35-C36)/C36</f>
        <v>-2.1657095980311805E-2</v>
      </c>
      <c r="E35">
        <v>2.1116928446771419E-2</v>
      </c>
    </row>
    <row r="36" spans="2:5" x14ac:dyDescent="0.25">
      <c r="B36" s="258">
        <v>45485</v>
      </c>
      <c r="C36">
        <v>304.75</v>
      </c>
      <c r="D36">
        <f>(C36-C37)/C37</f>
        <v>-7.652230543796882E-3</v>
      </c>
      <c r="E36">
        <v>2.0169277867819281E-2</v>
      </c>
    </row>
    <row r="37" spans="2:5" x14ac:dyDescent="0.25">
      <c r="B37" s="258">
        <v>45488</v>
      </c>
      <c r="C37">
        <v>307.10000000000002</v>
      </c>
      <c r="D37">
        <f>(C37-C38)/C38</f>
        <v>-4.7751937984496055E-2</v>
      </c>
      <c r="E37">
        <v>2.0038003109345351E-2</v>
      </c>
    </row>
    <row r="38" spans="2:5" x14ac:dyDescent="0.25">
      <c r="B38" s="258">
        <v>45489</v>
      </c>
      <c r="C38">
        <v>322.5</v>
      </c>
      <c r="D38">
        <f>(C38-C39)/C39</f>
        <v>-4.6490004648993421E-4</v>
      </c>
      <c r="E38">
        <v>2.0033741037536905E-2</v>
      </c>
    </row>
    <row r="39" spans="2:5" x14ac:dyDescent="0.25">
      <c r="B39" s="258">
        <v>45491</v>
      </c>
      <c r="C39">
        <v>322.64999999999998</v>
      </c>
      <c r="D39">
        <f>(C39-C40)/C40</f>
        <v>-2.728369008139889E-2</v>
      </c>
      <c r="E39">
        <v>2.0026050146532023E-2</v>
      </c>
    </row>
    <row r="40" spans="2:5" x14ac:dyDescent="0.25">
      <c r="B40" s="258">
        <v>45492</v>
      </c>
      <c r="C40">
        <v>331.7</v>
      </c>
      <c r="D40">
        <f>(C40-C41)/C41</f>
        <v>3.7697481620522486E-2</v>
      </c>
      <c r="E40">
        <v>1.9832661915091521E-2</v>
      </c>
    </row>
    <row r="41" spans="2:5" x14ac:dyDescent="0.25">
      <c r="B41" s="258">
        <v>45495</v>
      </c>
      <c r="C41">
        <v>319.64999999999998</v>
      </c>
      <c r="D41">
        <f>(C41-C42)/C42</f>
        <v>-3.5847880299252934E-3</v>
      </c>
      <c r="E41">
        <v>1.9646670549407889E-2</v>
      </c>
    </row>
    <row r="42" spans="2:5" x14ac:dyDescent="0.25">
      <c r="B42" s="258">
        <v>45496</v>
      </c>
      <c r="C42">
        <v>320.8</v>
      </c>
      <c r="D42">
        <f>(C42-C43)/C43</f>
        <v>2.1168231736431752E-2</v>
      </c>
      <c r="E42">
        <v>1.9352628874807449E-2</v>
      </c>
    </row>
    <row r="43" spans="2:5" x14ac:dyDescent="0.25">
      <c r="B43" s="258">
        <v>45497</v>
      </c>
      <c r="C43">
        <v>314.14999999999998</v>
      </c>
      <c r="D43">
        <f>(C43-C44)/C44</f>
        <v>-1.6898763886715799E-2</v>
      </c>
      <c r="E43">
        <v>1.9310086239220228E-2</v>
      </c>
    </row>
    <row r="44" spans="2:5" x14ac:dyDescent="0.25">
      <c r="B44" s="258">
        <v>45498</v>
      </c>
      <c r="C44">
        <v>319.55</v>
      </c>
      <c r="D44">
        <f>(C44-C45)/C45</f>
        <v>-4.8391899940440734E-2</v>
      </c>
      <c r="E44">
        <v>1.930585683297175E-2</v>
      </c>
    </row>
    <row r="45" spans="2:5" x14ac:dyDescent="0.25">
      <c r="B45" s="258">
        <v>45499</v>
      </c>
      <c r="C45">
        <v>335.8</v>
      </c>
      <c r="D45">
        <f>(C45-C46)/C46</f>
        <v>1.2665862484921558E-2</v>
      </c>
      <c r="E45">
        <v>1.912516568831665E-2</v>
      </c>
    </row>
    <row r="46" spans="2:5" x14ac:dyDescent="0.25">
      <c r="B46" s="258">
        <v>45502</v>
      </c>
      <c r="C46">
        <v>331.6</v>
      </c>
      <c r="D46">
        <f>(C46-C47)/C47</f>
        <v>-3.9050765995793171E-3</v>
      </c>
      <c r="E46">
        <v>1.8267784225231034E-2</v>
      </c>
    </row>
    <row r="47" spans="2:5" x14ac:dyDescent="0.25">
      <c r="B47" s="258">
        <v>45503</v>
      </c>
      <c r="C47">
        <v>332.9</v>
      </c>
      <c r="D47">
        <f>(C47-C48)/C48</f>
        <v>3.0129557095510697E-3</v>
      </c>
      <c r="E47">
        <v>1.8054338299736992E-2</v>
      </c>
    </row>
    <row r="48" spans="2:5" x14ac:dyDescent="0.25">
      <c r="B48" s="258">
        <v>45504</v>
      </c>
      <c r="C48">
        <v>331.9</v>
      </c>
      <c r="D48">
        <f>(C48-C49)/C49</f>
        <v>-6.8821065230401301E-3</v>
      </c>
      <c r="E48">
        <v>1.7809403994338623E-2</v>
      </c>
    </row>
    <row r="49" spans="2:5" x14ac:dyDescent="0.25">
      <c r="B49" s="258">
        <v>45505</v>
      </c>
      <c r="C49">
        <v>334.2</v>
      </c>
      <c r="D49">
        <f>(C49-C50)/C50</f>
        <v>-2.2092172640819346E-2</v>
      </c>
      <c r="E49">
        <v>1.7784963621665342E-2</v>
      </c>
    </row>
    <row r="50" spans="2:5" x14ac:dyDescent="0.25">
      <c r="B50" s="258">
        <v>45506</v>
      </c>
      <c r="C50">
        <v>341.75</v>
      </c>
      <c r="D50">
        <f>(C50-C51)/C51</f>
        <v>3.529233565586179E-2</v>
      </c>
      <c r="E50">
        <v>1.7642140468227419E-2</v>
      </c>
    </row>
    <row r="51" spans="2:5" x14ac:dyDescent="0.25">
      <c r="B51" s="258">
        <v>45509</v>
      </c>
      <c r="C51">
        <v>330.1</v>
      </c>
      <c r="D51">
        <f>(C51-C52)/C52</f>
        <v>6.3980660757453733E-2</v>
      </c>
      <c r="E51">
        <v>1.7157712305025958E-2</v>
      </c>
    </row>
    <row r="52" spans="2:5" x14ac:dyDescent="0.25">
      <c r="B52" s="258">
        <v>45510</v>
      </c>
      <c r="C52">
        <v>310.25</v>
      </c>
      <c r="D52">
        <f>(C52-C53)/C53</f>
        <v>1.3557660895132235E-2</v>
      </c>
      <c r="E52">
        <v>1.7089996864220903E-2</v>
      </c>
    </row>
    <row r="53" spans="2:5" x14ac:dyDescent="0.25">
      <c r="B53" s="258">
        <v>45511</v>
      </c>
      <c r="C53">
        <v>306.10000000000002</v>
      </c>
      <c r="D53">
        <f>(C53-C54)/C54</f>
        <v>-6.9887572166514728E-2</v>
      </c>
      <c r="E53">
        <v>1.6076213158678281E-2</v>
      </c>
    </row>
    <row r="54" spans="2:5" x14ac:dyDescent="0.25">
      <c r="B54" s="258">
        <v>45512</v>
      </c>
      <c r="C54">
        <v>329.1</v>
      </c>
      <c r="D54">
        <f>(C54-C55)/C55</f>
        <v>1.9832661915091521E-2</v>
      </c>
      <c r="E54">
        <v>1.575280218115719E-2</v>
      </c>
    </row>
    <row r="55" spans="2:5" x14ac:dyDescent="0.25">
      <c r="B55" s="258">
        <v>45513</v>
      </c>
      <c r="C55">
        <v>322.7</v>
      </c>
      <c r="D55">
        <f>(C55-C56)/C56</f>
        <v>-2.9619606074274614E-2</v>
      </c>
      <c r="E55">
        <v>1.5650893021542992E-2</v>
      </c>
    </row>
    <row r="56" spans="2:5" x14ac:dyDescent="0.25">
      <c r="B56" s="258">
        <v>45516</v>
      </c>
      <c r="C56">
        <v>332.55</v>
      </c>
      <c r="D56">
        <f>(C56-C57)/C57</f>
        <v>-2.5637269264576618E-2</v>
      </c>
      <c r="E56">
        <v>1.4647415777359282E-2</v>
      </c>
    </row>
    <row r="57" spans="2:5" x14ac:dyDescent="0.25">
      <c r="B57" s="258">
        <v>45517</v>
      </c>
      <c r="C57">
        <v>341.3</v>
      </c>
      <c r="D57">
        <f>(C57-C58)/C58</f>
        <v>1.6076213158678281E-2</v>
      </c>
      <c r="E57">
        <v>1.4634986225895317E-2</v>
      </c>
    </row>
    <row r="58" spans="2:5" x14ac:dyDescent="0.25">
      <c r="B58" s="258">
        <v>45518</v>
      </c>
      <c r="C58">
        <v>335.9</v>
      </c>
      <c r="D58">
        <f>(C58-C59)/C59</f>
        <v>2.3617248209660217E-2</v>
      </c>
      <c r="E58">
        <v>1.4517345399698428E-2</v>
      </c>
    </row>
    <row r="59" spans="2:5" x14ac:dyDescent="0.25">
      <c r="B59" s="258">
        <v>45520</v>
      </c>
      <c r="C59">
        <v>328.15</v>
      </c>
      <c r="D59">
        <f>(C59-C60)/C60</f>
        <v>-4.3992718446603319E-3</v>
      </c>
      <c r="E59">
        <v>1.4355948869223116E-2</v>
      </c>
    </row>
    <row r="60" spans="2:5" x14ac:dyDescent="0.25">
      <c r="B60" s="258">
        <v>45523</v>
      </c>
      <c r="C60">
        <v>329.6</v>
      </c>
      <c r="D60">
        <f>(C60-C61)/C61</f>
        <v>-1.6999701759618218E-2</v>
      </c>
      <c r="E60">
        <v>1.4254603048901072E-2</v>
      </c>
    </row>
    <row r="61" spans="2:5" x14ac:dyDescent="0.25">
      <c r="B61" s="258">
        <v>45524</v>
      </c>
      <c r="C61">
        <v>335.3</v>
      </c>
      <c r="D61">
        <f>(C61-C62)/C62</f>
        <v>1.575280218115719E-2</v>
      </c>
      <c r="E61">
        <v>1.4140987758547887E-2</v>
      </c>
    </row>
    <row r="62" spans="2:5" x14ac:dyDescent="0.25">
      <c r="B62" s="258">
        <v>45525</v>
      </c>
      <c r="C62">
        <v>330.1</v>
      </c>
      <c r="D62">
        <f>(C62-C63)/C63</f>
        <v>7.3237717424474644E-3</v>
      </c>
      <c r="E62">
        <v>1.3948497854077289E-2</v>
      </c>
    </row>
    <row r="63" spans="2:5" x14ac:dyDescent="0.25">
      <c r="B63" s="258">
        <v>45526</v>
      </c>
      <c r="C63">
        <v>327.7</v>
      </c>
      <c r="D63">
        <f>(C63-C64)/C64</f>
        <v>1.032834900570361E-2</v>
      </c>
      <c r="E63">
        <v>1.3557660895132235E-2</v>
      </c>
    </row>
    <row r="64" spans="2:5" x14ac:dyDescent="0.25">
      <c r="B64" s="258">
        <v>45527</v>
      </c>
      <c r="C64">
        <v>324.35000000000002</v>
      </c>
      <c r="D64">
        <f>(C64-C65)/C65</f>
        <v>1.7089996864220903E-2</v>
      </c>
      <c r="E64">
        <v>1.3494318181818019E-2</v>
      </c>
    </row>
    <row r="65" spans="2:5" x14ac:dyDescent="0.25">
      <c r="B65" s="258">
        <v>45530</v>
      </c>
      <c r="C65">
        <v>318.89999999999998</v>
      </c>
      <c r="D65">
        <f>(C65-C66)/C66</f>
        <v>-2.7299069696507687E-2</v>
      </c>
      <c r="E65">
        <v>1.3393528969149745E-2</v>
      </c>
    </row>
    <row r="66" spans="2:5" x14ac:dyDescent="0.25">
      <c r="B66" s="258">
        <v>45531</v>
      </c>
      <c r="C66">
        <v>327.85</v>
      </c>
      <c r="D66">
        <f>(C66-C67)/C67</f>
        <v>-3.0409001064315034E-3</v>
      </c>
      <c r="E66">
        <v>1.3311488838828588E-2</v>
      </c>
    </row>
    <row r="67" spans="2:5" x14ac:dyDescent="0.25">
      <c r="B67" s="258">
        <v>45532</v>
      </c>
      <c r="C67">
        <v>328.85</v>
      </c>
      <c r="D67">
        <f>(C67-C68)/C68</f>
        <v>3.2031726662599493E-3</v>
      </c>
      <c r="E67">
        <v>1.2803363271546046E-2</v>
      </c>
    </row>
    <row r="68" spans="2:5" x14ac:dyDescent="0.25">
      <c r="B68" s="258">
        <v>45533</v>
      </c>
      <c r="C68">
        <v>327.8</v>
      </c>
      <c r="D68">
        <f>(C68-C69)/C69</f>
        <v>-5.4611650485437233E-3</v>
      </c>
      <c r="E68">
        <v>1.2665862484921558E-2</v>
      </c>
    </row>
    <row r="69" spans="2:5" x14ac:dyDescent="0.25">
      <c r="B69" s="258">
        <v>45534</v>
      </c>
      <c r="C69">
        <v>329.6</v>
      </c>
      <c r="D69">
        <f>(C69-C70)/C70</f>
        <v>-3.4769463340891225E-3</v>
      </c>
      <c r="E69">
        <v>1.2414649286157667E-2</v>
      </c>
    </row>
    <row r="70" spans="2:5" x14ac:dyDescent="0.25">
      <c r="B70" s="258">
        <v>45537</v>
      </c>
      <c r="C70">
        <v>330.75</v>
      </c>
      <c r="D70">
        <f>(C70-C71)/C71</f>
        <v>1.3948497854077289E-2</v>
      </c>
      <c r="E70">
        <v>1.2341168351398497E-2</v>
      </c>
    </row>
    <row r="71" spans="2:5" x14ac:dyDescent="0.25">
      <c r="B71" s="258">
        <v>45538</v>
      </c>
      <c r="C71">
        <v>326.2</v>
      </c>
      <c r="D71">
        <f>(C71-C72)/C72</f>
        <v>1.2414649286157667E-2</v>
      </c>
      <c r="E71">
        <v>1.2212905577834363E-2</v>
      </c>
    </row>
    <row r="72" spans="2:5" x14ac:dyDescent="0.25">
      <c r="B72" s="258">
        <v>45539</v>
      </c>
      <c r="C72">
        <v>322.2</v>
      </c>
      <c r="D72">
        <f>(C72-C73)/C73</f>
        <v>2.4809160305343549E-2</v>
      </c>
      <c r="E72">
        <v>1.1859346491955605E-2</v>
      </c>
    </row>
    <row r="73" spans="2:5" x14ac:dyDescent="0.25">
      <c r="B73" s="258">
        <v>45540</v>
      </c>
      <c r="C73">
        <v>314.39999999999998</v>
      </c>
      <c r="D73">
        <f>(C73-C74)/C74</f>
        <v>9.6339113680154152E-3</v>
      </c>
      <c r="E73">
        <v>1.1856368563685637E-2</v>
      </c>
    </row>
    <row r="74" spans="2:5" x14ac:dyDescent="0.25">
      <c r="B74" s="258">
        <v>45541</v>
      </c>
      <c r="C74">
        <v>311.39999999999998</v>
      </c>
      <c r="D74">
        <f>(C74-C75)/C75</f>
        <v>8.4196891191708739E-3</v>
      </c>
      <c r="E74">
        <v>1.1228295304166431E-2</v>
      </c>
    </row>
    <row r="75" spans="2:5" x14ac:dyDescent="0.25">
      <c r="B75" s="258">
        <v>45544</v>
      </c>
      <c r="C75">
        <v>308.8</v>
      </c>
      <c r="D75">
        <f>(C75-C76)/C76</f>
        <v>3.3121445299431368E-2</v>
      </c>
      <c r="E75">
        <v>1.1163734776725149E-2</v>
      </c>
    </row>
    <row r="76" spans="2:5" x14ac:dyDescent="0.25">
      <c r="B76" s="258">
        <v>45545</v>
      </c>
      <c r="C76">
        <v>298.89999999999998</v>
      </c>
      <c r="D76">
        <f>(C76-C77)/C77</f>
        <v>1.1163734776725149E-2</v>
      </c>
      <c r="E76">
        <v>1.0861423220973698E-2</v>
      </c>
    </row>
    <row r="77" spans="2:5" x14ac:dyDescent="0.25">
      <c r="B77" s="258">
        <v>45546</v>
      </c>
      <c r="C77">
        <v>295.60000000000002</v>
      </c>
      <c r="D77">
        <f>(C77-C78)/C78</f>
        <v>3.6102348405187563E-2</v>
      </c>
      <c r="E77">
        <v>1.0685483870967764E-2</v>
      </c>
    </row>
    <row r="78" spans="2:5" x14ac:dyDescent="0.25">
      <c r="B78" s="258">
        <v>45547</v>
      </c>
      <c r="C78">
        <v>285.3</v>
      </c>
      <c r="D78">
        <f>(C78-C79)/C79</f>
        <v>-2.9756844074137052E-2</v>
      </c>
      <c r="E78">
        <v>1.055397964291674E-2</v>
      </c>
    </row>
    <row r="79" spans="2:5" x14ac:dyDescent="0.25">
      <c r="B79" s="258">
        <v>45548</v>
      </c>
      <c r="C79">
        <v>294.05</v>
      </c>
      <c r="D79">
        <f>(C79-C80)/C80</f>
        <v>8.920912677989442E-3</v>
      </c>
      <c r="E79">
        <v>1.0427750585230973E-2</v>
      </c>
    </row>
    <row r="80" spans="2:5" x14ac:dyDescent="0.25">
      <c r="B80" s="258">
        <v>45551</v>
      </c>
      <c r="C80">
        <v>291.45</v>
      </c>
      <c r="D80">
        <f>(C80-C81)/C81</f>
        <v>-3.5897435897436288E-3</v>
      </c>
      <c r="E80">
        <v>1.0338680926916191E-2</v>
      </c>
    </row>
    <row r="81" spans="2:5" x14ac:dyDescent="0.25">
      <c r="B81" s="258">
        <v>45552</v>
      </c>
      <c r="C81">
        <v>292.5</v>
      </c>
      <c r="D81">
        <f>(C81-C82)/C82</f>
        <v>-7.2967928050228321E-3</v>
      </c>
      <c r="E81">
        <v>1.032834900570361E-2</v>
      </c>
    </row>
    <row r="82" spans="2:5" x14ac:dyDescent="0.25">
      <c r="B82" s="258">
        <v>45553</v>
      </c>
      <c r="C82">
        <v>294.64999999999998</v>
      </c>
      <c r="D82">
        <f>(C82-C83)/C83</f>
        <v>1.4634986225895317E-2</v>
      </c>
      <c r="E82">
        <v>1.0093315558941067E-2</v>
      </c>
    </row>
    <row r="83" spans="2:5" x14ac:dyDescent="0.25">
      <c r="B83" s="258">
        <v>45554</v>
      </c>
      <c r="C83">
        <v>290.39999999999998</v>
      </c>
      <c r="D83">
        <f>(C83-C84)/C84</f>
        <v>1.8054338299736992E-2</v>
      </c>
      <c r="E83">
        <v>1.0037394213737498E-2</v>
      </c>
    </row>
    <row r="84" spans="2:5" x14ac:dyDescent="0.25">
      <c r="B84" s="258">
        <v>45555</v>
      </c>
      <c r="C84">
        <v>285.25</v>
      </c>
      <c r="D84">
        <f>(C84-C85)/C85</f>
        <v>-3.4934497816593887E-3</v>
      </c>
      <c r="E84">
        <v>9.8695805428269702E-3</v>
      </c>
    </row>
    <row r="85" spans="2:5" x14ac:dyDescent="0.25">
      <c r="B85" s="258">
        <v>45558</v>
      </c>
      <c r="C85">
        <v>286.25</v>
      </c>
      <c r="D85">
        <f>(C85-C86)/C86</f>
        <v>-3.1138940599086104E-2</v>
      </c>
      <c r="E85">
        <v>9.729944400317667E-3</v>
      </c>
    </row>
    <row r="86" spans="2:5" x14ac:dyDescent="0.25">
      <c r="B86" s="258">
        <v>45559</v>
      </c>
      <c r="C86">
        <v>295.45</v>
      </c>
      <c r="D86">
        <f>(C86-C87)/C87</f>
        <v>-1.335782267490399E-2</v>
      </c>
      <c r="E86">
        <v>9.7066891749314679E-3</v>
      </c>
    </row>
    <row r="87" spans="2:5" x14ac:dyDescent="0.25">
      <c r="B87" s="258">
        <v>45560</v>
      </c>
      <c r="C87">
        <v>299.45</v>
      </c>
      <c r="D87">
        <f>(C87-C88)/C88</f>
        <v>2.5108804820890528E-3</v>
      </c>
      <c r="E87">
        <v>9.6339113680154152E-3</v>
      </c>
    </row>
    <row r="88" spans="2:5" x14ac:dyDescent="0.25">
      <c r="B88" s="258">
        <v>45561</v>
      </c>
      <c r="C88">
        <v>298.7</v>
      </c>
      <c r="D88">
        <f>(C88-C89)/C89</f>
        <v>1.1856368563685637E-2</v>
      </c>
      <c r="E88">
        <v>9.5100268761629577E-3</v>
      </c>
    </row>
    <row r="89" spans="2:5" x14ac:dyDescent="0.25">
      <c r="B89" s="258">
        <v>45562</v>
      </c>
      <c r="C89">
        <v>295.2</v>
      </c>
      <c r="D89">
        <f>(C89-C90)/C90</f>
        <v>-6.7294751009421266E-3</v>
      </c>
      <c r="E89">
        <v>9.2827004219408794E-3</v>
      </c>
    </row>
    <row r="90" spans="2:5" x14ac:dyDescent="0.25">
      <c r="B90" s="258">
        <v>45565</v>
      </c>
      <c r="C90">
        <v>297.2</v>
      </c>
      <c r="D90">
        <f>(C90-C91)/C91</f>
        <v>-1.3440860215054909E-3</v>
      </c>
      <c r="E90">
        <v>9.012322972227288E-3</v>
      </c>
    </row>
    <row r="91" spans="2:5" x14ac:dyDescent="0.25">
      <c r="B91" s="258">
        <v>45566</v>
      </c>
      <c r="C91">
        <v>297.60000000000002</v>
      </c>
      <c r="D91">
        <f>(C91-C92)/C92</f>
        <v>1.9352628874807449E-2</v>
      </c>
      <c r="E91">
        <v>8.920912677989442E-3</v>
      </c>
    </row>
    <row r="92" spans="2:5" x14ac:dyDescent="0.25">
      <c r="B92" s="258">
        <v>45568</v>
      </c>
      <c r="C92">
        <v>291.95</v>
      </c>
      <c r="D92">
        <f>(C92-C93)/C93</f>
        <v>-3.4240712206821684E-4</v>
      </c>
      <c r="E92">
        <v>8.8897295252504845E-3</v>
      </c>
    </row>
    <row r="93" spans="2:5" x14ac:dyDescent="0.25">
      <c r="B93" s="258">
        <v>45569</v>
      </c>
      <c r="C93">
        <v>292.05</v>
      </c>
      <c r="D93">
        <f>(C93-C94)/C94</f>
        <v>-1.083827265029632E-2</v>
      </c>
      <c r="E93">
        <v>8.658008658008658E-3</v>
      </c>
    </row>
    <row r="94" spans="2:5" x14ac:dyDescent="0.25">
      <c r="B94" s="258">
        <v>45572</v>
      </c>
      <c r="C94">
        <v>295.25</v>
      </c>
      <c r="D94">
        <f>(C94-C95)/C95</f>
        <v>2.0038003109345351E-2</v>
      </c>
      <c r="E94">
        <v>8.4824541017894401E-3</v>
      </c>
    </row>
    <row r="95" spans="2:5" x14ac:dyDescent="0.25">
      <c r="B95" s="258">
        <v>45573</v>
      </c>
      <c r="C95">
        <v>289.45</v>
      </c>
      <c r="D95">
        <f>(C95-C96)/C96</f>
        <v>-1.3630942238882263E-2</v>
      </c>
      <c r="E95">
        <v>8.4445874215859501E-3</v>
      </c>
    </row>
    <row r="96" spans="2:5" x14ac:dyDescent="0.25">
      <c r="B96" s="258">
        <v>45574</v>
      </c>
      <c r="C96">
        <v>293.45</v>
      </c>
      <c r="D96">
        <f>(C96-C97)/C97</f>
        <v>1.7157712305025958E-2</v>
      </c>
      <c r="E96">
        <v>8.4196891191708739E-3</v>
      </c>
    </row>
    <row r="97" spans="2:5" x14ac:dyDescent="0.25">
      <c r="B97" s="258">
        <v>45575</v>
      </c>
      <c r="C97">
        <v>288.5</v>
      </c>
      <c r="D97">
        <f>(C97-C98)/C98</f>
        <v>-8.658008658008658E-4</v>
      </c>
      <c r="E97">
        <v>8.3368070029178828E-3</v>
      </c>
    </row>
    <row r="98" spans="2:5" x14ac:dyDescent="0.25">
      <c r="B98" s="258">
        <v>45576</v>
      </c>
      <c r="C98">
        <v>288.75</v>
      </c>
      <c r="D98">
        <f>(C98-C99)/C99</f>
        <v>-1.2989232609810327E-2</v>
      </c>
      <c r="E98">
        <v>8.3267248215702725E-3</v>
      </c>
    </row>
    <row r="99" spans="2:5" x14ac:dyDescent="0.25">
      <c r="B99" s="258">
        <v>45579</v>
      </c>
      <c r="C99">
        <v>292.55</v>
      </c>
      <c r="D99">
        <f>(C99-C100)/C100</f>
        <v>2.1116928446771419E-2</v>
      </c>
      <c r="E99">
        <v>8.1587242722048793E-3</v>
      </c>
    </row>
    <row r="100" spans="2:5" x14ac:dyDescent="0.25">
      <c r="B100" s="258">
        <v>45580</v>
      </c>
      <c r="C100">
        <v>286.5</v>
      </c>
      <c r="D100">
        <f>(C100-C101)/C101</f>
        <v>9.8695805428269702E-3</v>
      </c>
      <c r="E100">
        <v>8.0716764872063931E-3</v>
      </c>
    </row>
    <row r="101" spans="2:5" x14ac:dyDescent="0.25">
      <c r="B101" s="258">
        <v>45581</v>
      </c>
      <c r="C101">
        <v>283.7</v>
      </c>
      <c r="D101">
        <f>(C101-C102)/C102</f>
        <v>-5.9565522074281315E-3</v>
      </c>
      <c r="E101">
        <v>7.9514542791379195E-3</v>
      </c>
    </row>
    <row r="102" spans="2:5" x14ac:dyDescent="0.25">
      <c r="B102" s="258">
        <v>45582</v>
      </c>
      <c r="C102">
        <v>285.39999999999998</v>
      </c>
      <c r="D102">
        <f>(C102-C103)/C103</f>
        <v>1.3494318181818019E-2</v>
      </c>
      <c r="E102">
        <v>7.7851304009342167E-3</v>
      </c>
    </row>
    <row r="103" spans="2:5" x14ac:dyDescent="0.25">
      <c r="B103" s="258">
        <v>45583</v>
      </c>
      <c r="C103">
        <v>281.60000000000002</v>
      </c>
      <c r="D103">
        <f>(C103-C104)/C104</f>
        <v>-6.0007059654076543E-3</v>
      </c>
      <c r="E103">
        <v>7.3237717424474644E-3</v>
      </c>
    </row>
    <row r="104" spans="2:5" x14ac:dyDescent="0.25">
      <c r="B104" s="258">
        <v>45586</v>
      </c>
      <c r="C104">
        <v>283.3</v>
      </c>
      <c r="D104">
        <f>(C104-C105)/C105</f>
        <v>2.422270426608817E-2</v>
      </c>
      <c r="E104">
        <v>6.9776714513556616E-3</v>
      </c>
    </row>
    <row r="105" spans="2:5" x14ac:dyDescent="0.25">
      <c r="B105" s="258">
        <v>45587</v>
      </c>
      <c r="C105">
        <v>276.60000000000002</v>
      </c>
      <c r="D105">
        <f>(C105-C106)/C106</f>
        <v>2.1418020679468283E-2</v>
      </c>
      <c r="E105">
        <v>6.6275326642681312E-3</v>
      </c>
    </row>
    <row r="106" spans="2:5" x14ac:dyDescent="0.25">
      <c r="B106" s="258">
        <v>45588</v>
      </c>
      <c r="C106">
        <v>270.8</v>
      </c>
      <c r="D106">
        <f>(C106-C107)/C107</f>
        <v>-1.8460402436777318E-4</v>
      </c>
      <c r="E106">
        <v>6.5290648694186302E-3</v>
      </c>
    </row>
    <row r="107" spans="2:5" x14ac:dyDescent="0.25">
      <c r="B107" s="258">
        <v>45589</v>
      </c>
      <c r="C107">
        <v>270.85000000000002</v>
      </c>
      <c r="D107">
        <f>(C107-C108)/C108</f>
        <v>6.5031586770717201E-3</v>
      </c>
      <c r="E107">
        <v>6.5221878224974716E-3</v>
      </c>
    </row>
    <row r="108" spans="2:5" x14ac:dyDescent="0.25">
      <c r="B108" s="258">
        <v>45590</v>
      </c>
      <c r="C108">
        <v>269.10000000000002</v>
      </c>
      <c r="D108">
        <f>(C108-C109)/C109</f>
        <v>1.912516568831665E-2</v>
      </c>
      <c r="E108">
        <v>6.5031586770717201E-3</v>
      </c>
    </row>
    <row r="109" spans="2:5" x14ac:dyDescent="0.25">
      <c r="B109" s="258">
        <v>45593</v>
      </c>
      <c r="C109">
        <v>264.05</v>
      </c>
      <c r="D109">
        <f>(C109-C110)/C110</f>
        <v>2.6580596164799261E-3</v>
      </c>
      <c r="E109">
        <v>6.3291139240507638E-3</v>
      </c>
    </row>
    <row r="110" spans="2:5" x14ac:dyDescent="0.25">
      <c r="B110" s="258">
        <v>45594</v>
      </c>
      <c r="C110">
        <v>263.35000000000002</v>
      </c>
      <c r="D110">
        <f>(C110-C111)/C111</f>
        <v>-6.226415094339537E-3</v>
      </c>
      <c r="E110">
        <v>5.7939914163089882E-3</v>
      </c>
    </row>
    <row r="111" spans="2:5" x14ac:dyDescent="0.25">
      <c r="B111" s="258">
        <v>45595</v>
      </c>
      <c r="C111">
        <v>265</v>
      </c>
      <c r="D111">
        <f>(C111-C112)/C112</f>
        <v>1.2803363271546046E-2</v>
      </c>
      <c r="E111">
        <v>5.7152462598755709E-3</v>
      </c>
    </row>
    <row r="112" spans="2:5" x14ac:dyDescent="0.25">
      <c r="B112" s="258">
        <v>45596</v>
      </c>
      <c r="C112">
        <v>261.64999999999998</v>
      </c>
      <c r="D112">
        <f>(C112-C113)/C113</f>
        <v>-1.690775878264137E-2</v>
      </c>
      <c r="E112">
        <v>5.031703824913145E-3</v>
      </c>
    </row>
    <row r="113" spans="2:5" x14ac:dyDescent="0.25">
      <c r="B113" s="258">
        <v>45597</v>
      </c>
      <c r="C113">
        <v>266.14999999999998</v>
      </c>
      <c r="D113">
        <f>(C113-C114)/C114</f>
        <v>-2.0607175712971566E-2</v>
      </c>
      <c r="E113">
        <v>4.8234613158402474E-3</v>
      </c>
    </row>
    <row r="114" spans="2:5" x14ac:dyDescent="0.25">
      <c r="B114" s="258">
        <v>45600</v>
      </c>
      <c r="C114">
        <v>271.75</v>
      </c>
      <c r="D114">
        <f>(C114-C115)/C115</f>
        <v>2.4312099509988649E-2</v>
      </c>
      <c r="E114">
        <v>4.8067679292443759E-3</v>
      </c>
    </row>
    <row r="115" spans="2:5" x14ac:dyDescent="0.25">
      <c r="B115" s="258">
        <v>45601</v>
      </c>
      <c r="C115">
        <v>265.3</v>
      </c>
      <c r="D115">
        <f>(C115-C116)/C116</f>
        <v>-7.8534031413611295E-3</v>
      </c>
      <c r="E115">
        <v>4.5795933321121085E-3</v>
      </c>
    </row>
    <row r="116" spans="2:5" x14ac:dyDescent="0.25">
      <c r="B116" s="258">
        <v>45602</v>
      </c>
      <c r="C116">
        <v>267.39999999999998</v>
      </c>
      <c r="D116">
        <f>(C116-C117)/C117</f>
        <v>-6.1326890912471064E-3</v>
      </c>
      <c r="E116">
        <v>4.4418694476633224E-3</v>
      </c>
    </row>
    <row r="117" spans="2:5" x14ac:dyDescent="0.25">
      <c r="B117" s="258">
        <v>45603</v>
      </c>
      <c r="C117">
        <v>269.05</v>
      </c>
      <c r="D117">
        <f>(C117-C118)/C118</f>
        <v>1.4517345399698428E-2</v>
      </c>
      <c r="E117">
        <v>4.2313696491660556E-3</v>
      </c>
    </row>
    <row r="118" spans="2:5" x14ac:dyDescent="0.25">
      <c r="B118" s="258">
        <v>45604</v>
      </c>
      <c r="C118">
        <v>265.2</v>
      </c>
      <c r="D118">
        <f>(C118-C119)/C119</f>
        <v>1.0093315558941067E-2</v>
      </c>
      <c r="E118">
        <v>4.1757443718229278E-3</v>
      </c>
    </row>
    <row r="119" spans="2:5" x14ac:dyDescent="0.25">
      <c r="B119" s="258">
        <v>45607</v>
      </c>
      <c r="C119">
        <v>262.55</v>
      </c>
      <c r="D119">
        <f>(C119-C120)/C120</f>
        <v>2.1992993382639294E-2</v>
      </c>
      <c r="E119">
        <v>3.8015586390420073E-3</v>
      </c>
    </row>
    <row r="120" spans="2:5" x14ac:dyDescent="0.25">
      <c r="B120" s="258">
        <v>45608</v>
      </c>
      <c r="C120">
        <v>256.89999999999998</v>
      </c>
      <c r="D120">
        <f>(C120-C121)/C121</f>
        <v>2.9279718914698421E-3</v>
      </c>
      <c r="E120">
        <v>3.2031726662599493E-3</v>
      </c>
    </row>
    <row r="121" spans="2:5" x14ac:dyDescent="0.25">
      <c r="B121" s="258">
        <v>45609</v>
      </c>
      <c r="C121">
        <v>256.14999999999998</v>
      </c>
      <c r="D121">
        <f>(C121-C122)/C122</f>
        <v>1.4254603048901072E-2</v>
      </c>
      <c r="E121">
        <v>3.0129557095510697E-3</v>
      </c>
    </row>
    <row r="122" spans="2:5" x14ac:dyDescent="0.25">
      <c r="B122" s="258">
        <v>45610</v>
      </c>
      <c r="C122">
        <v>252.55</v>
      </c>
      <c r="D122">
        <f>(C122-C123)/C123</f>
        <v>6.9776714513556616E-3</v>
      </c>
      <c r="E122">
        <v>2.9279718914698421E-3</v>
      </c>
    </row>
    <row r="123" spans="2:5" x14ac:dyDescent="0.25">
      <c r="B123" s="258">
        <v>45614</v>
      </c>
      <c r="C123">
        <v>250.8</v>
      </c>
      <c r="D123">
        <f>(C123-C124)/C124</f>
        <v>5.984440454817701E-4</v>
      </c>
      <c r="E123">
        <v>2.7982804769243154E-3</v>
      </c>
    </row>
    <row r="124" spans="2:5" x14ac:dyDescent="0.25">
      <c r="B124" s="258">
        <v>45615</v>
      </c>
      <c r="C124">
        <v>250.65</v>
      </c>
      <c r="D124">
        <f>(C124-C125)/C125</f>
        <v>1.0685483870967764E-2</v>
      </c>
      <c r="E124">
        <v>2.6580596164799261E-3</v>
      </c>
    </row>
    <row r="125" spans="2:5" x14ac:dyDescent="0.25">
      <c r="B125" s="258">
        <v>45617</v>
      </c>
      <c r="C125">
        <v>248</v>
      </c>
      <c r="D125">
        <f>(C125-C126)/C126</f>
        <v>2.4158579392938237E-2</v>
      </c>
      <c r="E125">
        <v>2.5108804820890528E-3</v>
      </c>
    </row>
    <row r="126" spans="2:5" x14ac:dyDescent="0.25">
      <c r="B126" s="258">
        <v>45618</v>
      </c>
      <c r="C126">
        <v>242.15</v>
      </c>
      <c r="D126">
        <f>(C126-C127)/C127</f>
        <v>-1.404723127035826E-2</v>
      </c>
      <c r="E126">
        <v>2.3323146211998718E-3</v>
      </c>
    </row>
    <row r="127" spans="2:5" x14ac:dyDescent="0.25">
      <c r="B127" s="258">
        <v>45621</v>
      </c>
      <c r="C127">
        <v>245.6</v>
      </c>
      <c r="D127">
        <f>(C127-C128)/C128</f>
        <v>-4.7692904226444295E-2</v>
      </c>
      <c r="E127">
        <v>1.375015165608458E-3</v>
      </c>
    </row>
    <row r="128" spans="2:5" x14ac:dyDescent="0.25">
      <c r="B128" s="258">
        <v>45622</v>
      </c>
      <c r="C128">
        <v>257.89999999999998</v>
      </c>
      <c r="D128">
        <f>(C128-C129)/C129</f>
        <v>1.4355948869223116E-2</v>
      </c>
      <c r="E128">
        <v>1.1691348402180612E-3</v>
      </c>
    </row>
    <row r="129" spans="2:5" x14ac:dyDescent="0.25">
      <c r="B129" s="258">
        <v>45623</v>
      </c>
      <c r="C129">
        <v>254.25</v>
      </c>
      <c r="D129">
        <f>(C129-C130)/C130</f>
        <v>-1.9661816751872341E-4</v>
      </c>
      <c r="E129">
        <v>9.3457943925233649E-4</v>
      </c>
    </row>
    <row r="130" spans="2:5" x14ac:dyDescent="0.25">
      <c r="B130" s="258">
        <v>45624</v>
      </c>
      <c r="C130">
        <v>254.3</v>
      </c>
      <c r="D130">
        <f>(C130-C131)/C131</f>
        <v>8.3267248215702725E-3</v>
      </c>
      <c r="E130">
        <v>6.0831875902982667E-4</v>
      </c>
    </row>
    <row r="131" spans="2:5" x14ac:dyDescent="0.25">
      <c r="B131" s="258">
        <v>45625</v>
      </c>
      <c r="C131">
        <v>252.2</v>
      </c>
      <c r="D131">
        <f>(C131-C132)/C132</f>
        <v>-1.7530190884300741E-2</v>
      </c>
      <c r="E131">
        <v>5.984440454817701E-4</v>
      </c>
    </row>
    <row r="132" spans="2:5" x14ac:dyDescent="0.25">
      <c r="B132" s="258">
        <v>45628</v>
      </c>
      <c r="C132">
        <v>256.7</v>
      </c>
      <c r="D132">
        <f>(C132-C133)/C133</f>
        <v>-3.3003300330033884E-3</v>
      </c>
      <c r="E132">
        <v>5.4605023662189338E-4</v>
      </c>
    </row>
    <row r="133" spans="2:5" x14ac:dyDescent="0.25">
      <c r="B133" s="258">
        <v>45629</v>
      </c>
      <c r="C133">
        <v>257.55</v>
      </c>
      <c r="D133">
        <f>(C133-C134)/C134</f>
        <v>-1.8296169239565507E-2</v>
      </c>
      <c r="E133">
        <v>5.3302536312354882E-4</v>
      </c>
    </row>
    <row r="134" spans="2:5" x14ac:dyDescent="0.25">
      <c r="B134" s="258">
        <v>45630</v>
      </c>
      <c r="C134">
        <v>262.35000000000002</v>
      </c>
      <c r="D134">
        <f>(C134-C135)/C135</f>
        <v>6.3291139240507638E-3</v>
      </c>
      <c r="E134">
        <v>-1.8460402436777318E-4</v>
      </c>
    </row>
    <row r="135" spans="2:5" x14ac:dyDescent="0.25">
      <c r="B135" s="258">
        <v>45631</v>
      </c>
      <c r="C135">
        <v>260.7</v>
      </c>
      <c r="D135">
        <f>(C135-C136)/C136</f>
        <v>-2.2962112514352188E-3</v>
      </c>
      <c r="E135">
        <v>-1.9661816751872341E-4</v>
      </c>
    </row>
    <row r="136" spans="2:5" x14ac:dyDescent="0.25">
      <c r="B136" s="258">
        <v>45632</v>
      </c>
      <c r="C136">
        <v>261.3</v>
      </c>
      <c r="D136">
        <f>(C136-C137)/C137</f>
        <v>4.8067679292443759E-3</v>
      </c>
      <c r="E136">
        <v>-3.4240712206821684E-4</v>
      </c>
    </row>
    <row r="137" spans="2:5" x14ac:dyDescent="0.25">
      <c r="B137" s="258">
        <v>45635</v>
      </c>
      <c r="C137">
        <v>260.05</v>
      </c>
      <c r="D137">
        <f>(C137-C138)/C138</f>
        <v>4.4418694476633224E-3</v>
      </c>
      <c r="E137">
        <v>-4.6490004648993421E-4</v>
      </c>
    </row>
    <row r="138" spans="2:5" x14ac:dyDescent="0.25">
      <c r="B138" s="258">
        <v>45636</v>
      </c>
      <c r="C138">
        <v>258.89999999999998</v>
      </c>
      <c r="D138">
        <f>(C138-C139)/C139</f>
        <v>7.7851304009342167E-3</v>
      </c>
      <c r="E138">
        <v>-7.8662733529985692E-4</v>
      </c>
    </row>
    <row r="139" spans="2:5" x14ac:dyDescent="0.25">
      <c r="B139" s="258">
        <v>45637</v>
      </c>
      <c r="C139">
        <v>256.89999999999998</v>
      </c>
      <c r="D139">
        <f>(C139-C140)/C140</f>
        <v>1.1691348402180612E-3</v>
      </c>
      <c r="E139">
        <v>-8.658008658008658E-4</v>
      </c>
    </row>
    <row r="140" spans="2:5" x14ac:dyDescent="0.25">
      <c r="B140" s="258">
        <v>45638</v>
      </c>
      <c r="C140">
        <v>256.60000000000002</v>
      </c>
      <c r="D140">
        <f>(C140-C141)/C141</f>
        <v>1.0037394213737498E-2</v>
      </c>
      <c r="E140">
        <v>-9.2626898851426464E-4</v>
      </c>
    </row>
    <row r="141" spans="2:5" x14ac:dyDescent="0.25">
      <c r="B141" s="258">
        <v>45639</v>
      </c>
      <c r="C141">
        <v>254.05</v>
      </c>
      <c r="D141">
        <f>(C141-C142)/C142</f>
        <v>-7.8662733529985692E-4</v>
      </c>
      <c r="E141">
        <v>-1.1035497517013475E-3</v>
      </c>
    </row>
    <row r="142" spans="2:5" x14ac:dyDescent="0.25">
      <c r="B142" s="258">
        <v>45642</v>
      </c>
      <c r="C142">
        <v>254.25</v>
      </c>
      <c r="D142">
        <f>(C142-C143)/C143</f>
        <v>9.729944400317667E-3</v>
      </c>
      <c r="E142">
        <v>-1.2452230666838082E-3</v>
      </c>
    </row>
    <row r="143" spans="2:5" x14ac:dyDescent="0.25">
      <c r="B143" s="258">
        <v>45643</v>
      </c>
      <c r="C143">
        <v>251.8</v>
      </c>
      <c r="D143">
        <f>(C143-C144)/C144</f>
        <v>1.7784963621665342E-2</v>
      </c>
      <c r="E143">
        <v>-1.3440860215054909E-3</v>
      </c>
    </row>
    <row r="144" spans="2:5" x14ac:dyDescent="0.25">
      <c r="B144" s="258">
        <v>45644</v>
      </c>
      <c r="C144">
        <v>247.4</v>
      </c>
      <c r="D144">
        <f>(C144-C145)/C145</f>
        <v>1.3311488838828588E-2</v>
      </c>
      <c r="E144">
        <v>-1.4503263234228938E-3</v>
      </c>
    </row>
    <row r="145" spans="2:5" x14ac:dyDescent="0.25">
      <c r="B145" s="258">
        <v>45645</v>
      </c>
      <c r="C145">
        <v>244.15</v>
      </c>
      <c r="D145">
        <f>(C145-C146)/C146</f>
        <v>9.5100268761629577E-3</v>
      </c>
      <c r="E145">
        <v>-1.9349013200326295E-3</v>
      </c>
    </row>
    <row r="146" spans="2:5" x14ac:dyDescent="0.25">
      <c r="B146" s="258">
        <v>45646</v>
      </c>
      <c r="C146">
        <v>241.85</v>
      </c>
      <c r="D146">
        <f>(C146-C147)/C147</f>
        <v>2.0033741037536905E-2</v>
      </c>
      <c r="E146">
        <v>-2.2962112514352188E-3</v>
      </c>
    </row>
    <row r="147" spans="2:5" x14ac:dyDescent="0.25">
      <c r="B147" s="258">
        <v>45649</v>
      </c>
      <c r="C147">
        <v>237.1</v>
      </c>
      <c r="D147">
        <f>(C147-C148)/C148</f>
        <v>-1.5569856757317833E-2</v>
      </c>
      <c r="E147">
        <v>-2.3478115042763329E-3</v>
      </c>
    </row>
    <row r="148" spans="2:5" x14ac:dyDescent="0.25">
      <c r="B148" s="258">
        <v>45650</v>
      </c>
      <c r="C148">
        <v>240.85</v>
      </c>
      <c r="D148">
        <f>(C148-C149)/C149</f>
        <v>7.9514542791379195E-3</v>
      </c>
      <c r="E148">
        <v>-2.8011204481792717E-3</v>
      </c>
    </row>
    <row r="149" spans="2:5" x14ac:dyDescent="0.25">
      <c r="B149" s="258">
        <v>45652</v>
      </c>
      <c r="C149">
        <v>238.95</v>
      </c>
      <c r="D149">
        <f>(C149-C150)/C150</f>
        <v>-5.4110301768991106E-3</v>
      </c>
      <c r="E149">
        <v>-3.0409001064315034E-3</v>
      </c>
    </row>
    <row r="150" spans="2:5" x14ac:dyDescent="0.25">
      <c r="B150" s="258">
        <v>45653</v>
      </c>
      <c r="C150">
        <v>240.25</v>
      </c>
      <c r="D150">
        <f>(C150-C151)/C151</f>
        <v>1.4140987758547887E-2</v>
      </c>
      <c r="E150">
        <v>-3.3003300330033884E-3</v>
      </c>
    </row>
    <row r="151" spans="2:5" x14ac:dyDescent="0.25">
      <c r="B151" s="258">
        <v>45656</v>
      </c>
      <c r="C151">
        <v>236.9</v>
      </c>
      <c r="D151">
        <f>(C151-C152)/C152</f>
        <v>1.8267784225231034E-2</v>
      </c>
      <c r="E151">
        <v>-3.4769463340891225E-3</v>
      </c>
    </row>
    <row r="152" spans="2:5" x14ac:dyDescent="0.25">
      <c r="B152" s="258">
        <v>45657</v>
      </c>
      <c r="C152">
        <v>232.65</v>
      </c>
      <c r="D152">
        <f>(C152-C153)/C153</f>
        <v>-2.7586206896551699E-2</v>
      </c>
      <c r="E152">
        <v>-3.4934497816593887E-3</v>
      </c>
    </row>
    <row r="153" spans="2:5" x14ac:dyDescent="0.25">
      <c r="B153" s="258">
        <v>45658</v>
      </c>
      <c r="C153">
        <v>239.25</v>
      </c>
      <c r="D153">
        <f>(C153-C154)/C154</f>
        <v>9.7066891749314679E-3</v>
      </c>
      <c r="E153">
        <v>-3.5847880299252934E-3</v>
      </c>
    </row>
    <row r="154" spans="2:5" x14ac:dyDescent="0.25">
      <c r="B154" s="258">
        <v>45659</v>
      </c>
      <c r="C154">
        <v>236.95</v>
      </c>
      <c r="D154">
        <f>(C154-C155)/C155</f>
        <v>-3.7062624456455501E-2</v>
      </c>
      <c r="E154">
        <v>-3.5897435897436288E-3</v>
      </c>
    </row>
    <row r="155" spans="2:5" x14ac:dyDescent="0.25">
      <c r="B155" s="258">
        <v>45660</v>
      </c>
      <c r="C155">
        <v>246.07</v>
      </c>
      <c r="D155">
        <f>(C155-C156)/C156</f>
        <v>-4.9519100776391496E-2</v>
      </c>
      <c r="E155">
        <v>-3.7967817754475186E-3</v>
      </c>
    </row>
    <row r="156" spans="2:5" x14ac:dyDescent="0.25">
      <c r="B156" s="258">
        <v>45663</v>
      </c>
      <c r="C156">
        <v>258.89</v>
      </c>
      <c r="D156">
        <f>(C156-C157)/C157</f>
        <v>1.7809403994338623E-2</v>
      </c>
      <c r="E156">
        <v>-3.9050765995793171E-3</v>
      </c>
    </row>
    <row r="157" spans="2:5" x14ac:dyDescent="0.25">
      <c r="B157" s="258">
        <v>45664</v>
      </c>
      <c r="C157">
        <v>254.36</v>
      </c>
      <c r="D157">
        <f>(C157-C158)/C158</f>
        <v>-3.4650271357546759E-2</v>
      </c>
      <c r="E157">
        <v>-4.3992718446603319E-3</v>
      </c>
    </row>
    <row r="158" spans="2:5" x14ac:dyDescent="0.25">
      <c r="B158" s="258">
        <v>45665</v>
      </c>
      <c r="C158">
        <v>263.49</v>
      </c>
      <c r="D158">
        <f>(C158-C159)/C159</f>
        <v>-2.8894703866140771E-2</v>
      </c>
      <c r="E158">
        <v>-4.5690458235372452E-3</v>
      </c>
    </row>
    <row r="159" spans="2:5" x14ac:dyDescent="0.25">
      <c r="B159" s="258">
        <v>45666</v>
      </c>
      <c r="C159">
        <v>271.33</v>
      </c>
      <c r="D159">
        <f>(C159-C160)/C160</f>
        <v>3.0967398738505878E-2</v>
      </c>
      <c r="E159">
        <v>-5.4110301768991106E-3</v>
      </c>
    </row>
    <row r="160" spans="2:5" x14ac:dyDescent="0.25">
      <c r="B160" s="258">
        <v>45667</v>
      </c>
      <c r="C160">
        <v>263.18</v>
      </c>
      <c r="D160">
        <f>(C160-C161)/C161</f>
        <v>6.0831875902982667E-4</v>
      </c>
      <c r="E160">
        <v>-5.4611650485437233E-3</v>
      </c>
    </row>
    <row r="161" spans="2:5" x14ac:dyDescent="0.25">
      <c r="B161" s="258">
        <v>45670</v>
      </c>
      <c r="C161">
        <v>263.02</v>
      </c>
      <c r="D161">
        <f>(C161-C162)/C162</f>
        <v>2.850662808430764E-2</v>
      </c>
      <c r="E161">
        <v>-5.7827174670878273E-3</v>
      </c>
    </row>
    <row r="162" spans="2:5" x14ac:dyDescent="0.25">
      <c r="B162" s="258">
        <v>45671</v>
      </c>
      <c r="C162">
        <v>255.73</v>
      </c>
      <c r="D162">
        <f>(C162-C163)/C163</f>
        <v>-1.7820793486192782E-2</v>
      </c>
      <c r="E162">
        <v>-5.9565522074281315E-3</v>
      </c>
    </row>
    <row r="163" spans="2:5" x14ac:dyDescent="0.25">
      <c r="B163" s="258">
        <v>45672</v>
      </c>
      <c r="C163">
        <v>260.37</v>
      </c>
      <c r="D163">
        <f>(C163-C164)/C164</f>
        <v>8.4824541017894401E-3</v>
      </c>
      <c r="E163">
        <v>-6.0007059654076543E-3</v>
      </c>
    </row>
    <row r="164" spans="2:5" x14ac:dyDescent="0.25">
      <c r="B164" s="258">
        <v>45673</v>
      </c>
      <c r="C164">
        <v>258.18</v>
      </c>
      <c r="D164">
        <f>(C164-C165)/C165</f>
        <v>-1.8998404134052738E-2</v>
      </c>
      <c r="E164">
        <v>-6.1326890912471064E-3</v>
      </c>
    </row>
    <row r="165" spans="2:5" x14ac:dyDescent="0.25">
      <c r="B165" s="258">
        <v>45674</v>
      </c>
      <c r="C165">
        <v>263.18</v>
      </c>
      <c r="D165">
        <f>(C165-C166)/C166</f>
        <v>-1.271710995235768E-2</v>
      </c>
      <c r="E165">
        <v>-6.226415094339537E-3</v>
      </c>
    </row>
    <row r="166" spans="2:5" x14ac:dyDescent="0.25">
      <c r="B166" s="258">
        <v>45677</v>
      </c>
      <c r="C166">
        <v>266.57</v>
      </c>
      <c r="D166">
        <f>(C166-C167)/C167</f>
        <v>-1.0357885357885434E-2</v>
      </c>
      <c r="E166">
        <v>-6.4617745648399604E-3</v>
      </c>
    </row>
    <row r="167" spans="2:5" x14ac:dyDescent="0.25">
      <c r="B167" s="258">
        <v>45678</v>
      </c>
      <c r="C167">
        <v>269.36</v>
      </c>
      <c r="D167">
        <f>(C167-C168)/C168</f>
        <v>1.3393528969149745E-2</v>
      </c>
      <c r="E167">
        <v>-6.7294751009421266E-3</v>
      </c>
    </row>
    <row r="168" spans="2:5" x14ac:dyDescent="0.25">
      <c r="B168" s="258">
        <v>45679</v>
      </c>
      <c r="C168">
        <v>265.8</v>
      </c>
      <c r="D168">
        <f>(C168-C169)/C169</f>
        <v>6.6275326642681312E-3</v>
      </c>
      <c r="E168">
        <v>-6.8125932196557333E-3</v>
      </c>
    </row>
    <row r="169" spans="2:5" x14ac:dyDescent="0.25">
      <c r="B169" s="258">
        <v>45680</v>
      </c>
      <c r="C169">
        <v>264.05</v>
      </c>
      <c r="D169">
        <f>(C169-C170)/C170</f>
        <v>3.8015586390420073E-3</v>
      </c>
      <c r="E169">
        <v>-6.8821065230401301E-3</v>
      </c>
    </row>
    <row r="170" spans="2:5" x14ac:dyDescent="0.25">
      <c r="B170" s="258">
        <v>45681</v>
      </c>
      <c r="C170">
        <v>263.05</v>
      </c>
      <c r="D170">
        <f>(C170-C171)/C171</f>
        <v>2.549608202409271E-2</v>
      </c>
      <c r="E170">
        <v>-6.912255021549925E-3</v>
      </c>
    </row>
    <row r="171" spans="2:5" x14ac:dyDescent="0.25">
      <c r="B171" s="258">
        <v>45684</v>
      </c>
      <c r="C171">
        <v>256.51</v>
      </c>
      <c r="D171">
        <f>(C171-C172)/C172</f>
        <v>2.2848712018502231E-2</v>
      </c>
      <c r="E171">
        <v>-6.9128615608514974E-3</v>
      </c>
    </row>
    <row r="172" spans="2:5" x14ac:dyDescent="0.25">
      <c r="B172" s="258">
        <v>45685</v>
      </c>
      <c r="C172">
        <v>250.78</v>
      </c>
      <c r="D172">
        <f>(C172-C173)/C173</f>
        <v>8.4445874215859501E-3</v>
      </c>
      <c r="E172">
        <v>-6.9971089789248233E-3</v>
      </c>
    </row>
    <row r="173" spans="2:5" x14ac:dyDescent="0.25">
      <c r="B173" s="258">
        <v>45686</v>
      </c>
      <c r="C173">
        <v>248.68</v>
      </c>
      <c r="D173">
        <f>(C173-C174)/C174</f>
        <v>-1.0819411296738262E-2</v>
      </c>
      <c r="E173">
        <v>-7.0780399274046777E-3</v>
      </c>
    </row>
    <row r="174" spans="2:5" x14ac:dyDescent="0.25">
      <c r="B174" s="258">
        <v>45687</v>
      </c>
      <c r="C174">
        <v>251.4</v>
      </c>
      <c r="D174">
        <f>(C174-C175)/C175</f>
        <v>-2.0722966656279297E-2</v>
      </c>
      <c r="E174">
        <v>-7.1338648762065337E-3</v>
      </c>
    </row>
    <row r="175" spans="2:5" x14ac:dyDescent="0.25">
      <c r="B175" s="258">
        <v>45688</v>
      </c>
      <c r="C175">
        <v>256.72000000000003</v>
      </c>
      <c r="D175">
        <f>(C175-C176)/C176</f>
        <v>-2.2428696546209156E-2</v>
      </c>
      <c r="E175">
        <v>-7.1882166166872263E-3</v>
      </c>
    </row>
    <row r="176" spans="2:5" x14ac:dyDescent="0.25">
      <c r="B176" s="258">
        <v>45689</v>
      </c>
      <c r="C176">
        <v>262.61</v>
      </c>
      <c r="D176">
        <f>(C176-C177)/C177</f>
        <v>1.9646670549407889E-2</v>
      </c>
      <c r="E176">
        <v>-7.2967928050228321E-3</v>
      </c>
    </row>
    <row r="177" spans="2:5" x14ac:dyDescent="0.25">
      <c r="B177" s="258">
        <v>45691</v>
      </c>
      <c r="C177">
        <v>257.55</v>
      </c>
      <c r="D177">
        <f>(C177-C178)/C178</f>
        <v>3.4337349397590408E-2</v>
      </c>
      <c r="E177">
        <v>-7.4055158324821627E-3</v>
      </c>
    </row>
    <row r="178" spans="2:5" x14ac:dyDescent="0.25">
      <c r="B178" s="258">
        <v>45692</v>
      </c>
      <c r="C178">
        <v>249</v>
      </c>
      <c r="D178">
        <f>(C178-C179)/C179</f>
        <v>-2.0070838252656414E-2</v>
      </c>
      <c r="E178">
        <v>-7.652230543796882E-3</v>
      </c>
    </row>
    <row r="179" spans="2:5" x14ac:dyDescent="0.25">
      <c r="B179" s="258">
        <v>45693</v>
      </c>
      <c r="C179">
        <v>254.1</v>
      </c>
      <c r="D179">
        <f>(C179-C180)/C180</f>
        <v>-2.8855341104528889E-2</v>
      </c>
      <c r="E179">
        <v>-7.8534031413611295E-3</v>
      </c>
    </row>
    <row r="180" spans="2:5" x14ac:dyDescent="0.25">
      <c r="B180" s="258">
        <v>45694</v>
      </c>
      <c r="C180">
        <v>261.64999999999998</v>
      </c>
      <c r="D180">
        <f>(C180-C181)/C181</f>
        <v>2.1471793870778841E-2</v>
      </c>
      <c r="E180">
        <v>-8.4822234253745625E-3</v>
      </c>
    </row>
    <row r="181" spans="2:5" x14ac:dyDescent="0.25">
      <c r="B181" s="258">
        <v>45695</v>
      </c>
      <c r="C181">
        <v>256.14999999999998</v>
      </c>
      <c r="D181">
        <f>(C181-C182)/C182</f>
        <v>2.9128163921253402E-2</v>
      </c>
      <c r="E181">
        <v>-9.3227647952688411E-3</v>
      </c>
    </row>
    <row r="182" spans="2:5" x14ac:dyDescent="0.25">
      <c r="B182" s="258">
        <v>45698</v>
      </c>
      <c r="C182">
        <v>248.9</v>
      </c>
      <c r="D182">
        <f>(C182-C183)/C183</f>
        <v>2.6603423386265281E-2</v>
      </c>
      <c r="E182">
        <v>-9.5221455403162701E-3</v>
      </c>
    </row>
    <row r="183" spans="2:5" x14ac:dyDescent="0.25">
      <c r="B183" s="258">
        <v>45699</v>
      </c>
      <c r="C183">
        <v>242.45</v>
      </c>
      <c r="D183">
        <f>(C183-C184)/C184</f>
        <v>1.4647415777359282E-2</v>
      </c>
      <c r="E183">
        <v>-9.9703468133567983E-3</v>
      </c>
    </row>
    <row r="184" spans="2:5" x14ac:dyDescent="0.25">
      <c r="B184" s="258">
        <v>45700</v>
      </c>
      <c r="C184">
        <v>238.95</v>
      </c>
      <c r="D184">
        <f>(C184-C185)/C185</f>
        <v>6.5290648694186302E-3</v>
      </c>
      <c r="E184">
        <v>-1.0116860056984716E-2</v>
      </c>
    </row>
    <row r="185" spans="2:5" x14ac:dyDescent="0.25">
      <c r="B185" s="258">
        <v>45701</v>
      </c>
      <c r="C185">
        <v>237.4</v>
      </c>
      <c r="D185">
        <f>(C185-C186)/C186</f>
        <v>1.0427750585230973E-2</v>
      </c>
      <c r="E185">
        <v>-1.0253317249698413E-2</v>
      </c>
    </row>
    <row r="186" spans="2:5" x14ac:dyDescent="0.25">
      <c r="B186" s="258">
        <v>45702</v>
      </c>
      <c r="C186">
        <v>234.95</v>
      </c>
      <c r="D186">
        <f>(C186-C187)/C187</f>
        <v>1.930585683297175E-2</v>
      </c>
      <c r="E186">
        <v>-1.0253750398978589E-2</v>
      </c>
    </row>
    <row r="187" spans="2:5" x14ac:dyDescent="0.25">
      <c r="B187" s="258">
        <v>45705</v>
      </c>
      <c r="C187">
        <v>230.5</v>
      </c>
      <c r="D187">
        <f>(C187-C188)/C188</f>
        <v>-1.3481703402525169E-2</v>
      </c>
      <c r="E187">
        <v>-1.0357885357885434E-2</v>
      </c>
    </row>
    <row r="188" spans="2:5" x14ac:dyDescent="0.25">
      <c r="B188" s="258">
        <v>45706</v>
      </c>
      <c r="C188">
        <v>233.65</v>
      </c>
      <c r="D188">
        <f>(C188-C189)/C189</f>
        <v>-1.2468300929839344E-2</v>
      </c>
      <c r="E188">
        <v>-1.0522436947265073E-2</v>
      </c>
    </row>
    <row r="189" spans="2:5" x14ac:dyDescent="0.25">
      <c r="B189" s="258">
        <v>45707</v>
      </c>
      <c r="C189">
        <v>236.6</v>
      </c>
      <c r="D189">
        <f>(C189-C190)/C190</f>
        <v>-7.1338648762065337E-3</v>
      </c>
      <c r="E189">
        <v>-1.0751825403193367E-2</v>
      </c>
    </row>
    <row r="190" spans="2:5" x14ac:dyDescent="0.25">
      <c r="B190" s="258">
        <v>45708</v>
      </c>
      <c r="C190">
        <v>238.3</v>
      </c>
      <c r="D190">
        <f>(C190-C191)/C191</f>
        <v>-1.4882182720132262E-2</v>
      </c>
      <c r="E190">
        <v>-1.0819411296738262E-2</v>
      </c>
    </row>
    <row r="191" spans="2:5" x14ac:dyDescent="0.25">
      <c r="B191" s="258">
        <v>45709</v>
      </c>
      <c r="C191">
        <v>241.9</v>
      </c>
      <c r="D191">
        <f>(C191-C192)/C192</f>
        <v>8.3368070029178828E-3</v>
      </c>
      <c r="E191">
        <v>-1.083827265029632E-2</v>
      </c>
    </row>
    <row r="192" spans="2:5" x14ac:dyDescent="0.25">
      <c r="B192" s="258">
        <v>45712</v>
      </c>
      <c r="C192">
        <v>239.9</v>
      </c>
      <c r="D192">
        <f>(C192-C193)/C193</f>
        <v>2.3682526136121235E-2</v>
      </c>
      <c r="E192">
        <v>-1.2468300929839344E-2</v>
      </c>
    </row>
    <row r="193" spans="2:5" x14ac:dyDescent="0.25">
      <c r="B193" s="258">
        <v>45713</v>
      </c>
      <c r="C193">
        <v>234.35</v>
      </c>
      <c r="D193">
        <f>(C193-C194)/C194</f>
        <v>5.7939914163089882E-3</v>
      </c>
      <c r="E193">
        <v>-1.271710995235768E-2</v>
      </c>
    </row>
    <row r="194" spans="2:5" x14ac:dyDescent="0.25">
      <c r="B194" s="258">
        <v>45715</v>
      </c>
      <c r="C194">
        <v>233</v>
      </c>
      <c r="D194">
        <f>(C194-C195)/C195</f>
        <v>8.658008658008658E-3</v>
      </c>
      <c r="E194">
        <v>-1.2818880258075514E-2</v>
      </c>
    </row>
    <row r="195" spans="2:5" x14ac:dyDescent="0.25">
      <c r="B195" s="258">
        <v>45716</v>
      </c>
      <c r="C195">
        <v>231</v>
      </c>
      <c r="D195">
        <f>(C195-C196)/C196</f>
        <v>2.5527192008879023E-2</v>
      </c>
      <c r="E195">
        <v>-1.2989232609810327E-2</v>
      </c>
    </row>
    <row r="196" spans="2:5" x14ac:dyDescent="0.25">
      <c r="B196" s="258">
        <v>45719</v>
      </c>
      <c r="C196">
        <v>225.25</v>
      </c>
      <c r="D196">
        <f>(C196-C197)/C197</f>
        <v>5.3302536312354882E-4</v>
      </c>
      <c r="E196">
        <v>-1.335782267490399E-2</v>
      </c>
    </row>
    <row r="197" spans="2:5" x14ac:dyDescent="0.25">
      <c r="B197" s="258">
        <v>45720</v>
      </c>
      <c r="C197">
        <v>225.13</v>
      </c>
      <c r="D197">
        <f>(C197-C198)/C198</f>
        <v>-7.1882166166872263E-3</v>
      </c>
      <c r="E197">
        <v>-1.3481703402525169E-2</v>
      </c>
    </row>
    <row r="198" spans="2:5" x14ac:dyDescent="0.25">
      <c r="B198" s="258">
        <v>45721</v>
      </c>
      <c r="C198">
        <v>226.76</v>
      </c>
      <c r="D198">
        <f>(C198-C199)/C199</f>
        <v>-9.5221455403162701E-3</v>
      </c>
      <c r="E198">
        <v>-1.3630942238882263E-2</v>
      </c>
    </row>
    <row r="199" spans="2:5" x14ac:dyDescent="0.25">
      <c r="B199" s="258">
        <v>45722</v>
      </c>
      <c r="C199">
        <v>228.94</v>
      </c>
      <c r="D199">
        <f>(C199-C200)/C200</f>
        <v>-1.5735167669819417E-2</v>
      </c>
      <c r="E199">
        <v>-1.404723127035826E-2</v>
      </c>
    </row>
    <row r="200" spans="2:5" x14ac:dyDescent="0.25">
      <c r="B200" s="258">
        <v>45723</v>
      </c>
      <c r="C200">
        <v>232.6</v>
      </c>
      <c r="D200">
        <f>(C200-C201)/C201</f>
        <v>-1.2452230666838082E-3</v>
      </c>
      <c r="E200">
        <v>-1.4882182720132262E-2</v>
      </c>
    </row>
    <row r="201" spans="2:5" x14ac:dyDescent="0.25">
      <c r="B201" s="258">
        <v>45726</v>
      </c>
      <c r="C201">
        <v>232.89</v>
      </c>
      <c r="D201">
        <f>(C201-C202)/C202</f>
        <v>4.3460728527263716E-2</v>
      </c>
      <c r="E201">
        <v>-1.5569856757317833E-2</v>
      </c>
    </row>
    <row r="202" spans="2:5" x14ac:dyDescent="0.25">
      <c r="B202" s="258">
        <v>45727</v>
      </c>
      <c r="C202">
        <v>223.19</v>
      </c>
      <c r="D202">
        <f>(C202-C203)/C203</f>
        <v>-1.5569865913902615E-2</v>
      </c>
      <c r="E202">
        <v>-1.5569865913902615E-2</v>
      </c>
    </row>
    <row r="203" spans="2:5" x14ac:dyDescent="0.25">
      <c r="B203" s="258">
        <v>45728</v>
      </c>
      <c r="C203">
        <v>226.72</v>
      </c>
      <c r="D203">
        <f>(C203-C204)/C204</f>
        <v>1.0338680926916191E-2</v>
      </c>
      <c r="E203">
        <v>-1.5735167669819417E-2</v>
      </c>
    </row>
    <row r="204" spans="2:5" x14ac:dyDescent="0.25">
      <c r="B204" s="258">
        <v>45729</v>
      </c>
      <c r="C204">
        <v>224.4</v>
      </c>
      <c r="D204">
        <f>(C204-C205)/C205</f>
        <v>-4.5690458235372452E-3</v>
      </c>
      <c r="E204">
        <v>-1.6898763886715799E-2</v>
      </c>
    </row>
    <row r="205" spans="2:5" x14ac:dyDescent="0.25">
      <c r="B205" s="258">
        <v>45733</v>
      </c>
      <c r="C205">
        <v>225.43</v>
      </c>
      <c r="D205">
        <f>(C205-C206)/C206</f>
        <v>-1.8760337773134857E-2</v>
      </c>
      <c r="E205">
        <v>-1.690775878264137E-2</v>
      </c>
    </row>
    <row r="206" spans="2:5" x14ac:dyDescent="0.25">
      <c r="B206" s="258">
        <v>45734</v>
      </c>
      <c r="C206">
        <v>229.74</v>
      </c>
      <c r="D206">
        <f>(C206-C207)/C207</f>
        <v>-1.0253317249698413E-2</v>
      </c>
      <c r="E206">
        <v>-1.6999701759618218E-2</v>
      </c>
    </row>
    <row r="207" spans="2:5" x14ac:dyDescent="0.25">
      <c r="B207" s="258">
        <v>45735</v>
      </c>
      <c r="C207">
        <v>232.12</v>
      </c>
      <c r="D207">
        <f>(C207-C208)/C208</f>
        <v>-1.9349013200326295E-3</v>
      </c>
      <c r="E207">
        <v>-1.7039106145251323E-2</v>
      </c>
    </row>
    <row r="208" spans="2:5" x14ac:dyDescent="0.25">
      <c r="B208" s="258">
        <v>45736</v>
      </c>
      <c r="C208">
        <v>232.57</v>
      </c>
      <c r="D208">
        <f>(C208-C209)/C209</f>
        <v>-1.2818880258075514E-2</v>
      </c>
      <c r="E208">
        <v>-1.7087425927429206E-2</v>
      </c>
    </row>
    <row r="209" spans="2:5" x14ac:dyDescent="0.25">
      <c r="B209" s="258">
        <v>45737</v>
      </c>
      <c r="C209">
        <v>235.59</v>
      </c>
      <c r="D209">
        <f>(C209-C210)/C210</f>
        <v>-2.8174243049253297E-2</v>
      </c>
      <c r="E209">
        <v>-1.7408890827616236E-2</v>
      </c>
    </row>
    <row r="210" spans="2:5" x14ac:dyDescent="0.25">
      <c r="B210" s="258">
        <v>45740</v>
      </c>
      <c r="C210">
        <v>242.42</v>
      </c>
      <c r="D210">
        <f>(C210-C211)/C211</f>
        <v>-5.7827174670878273E-3</v>
      </c>
      <c r="E210">
        <v>-1.7530190884300741E-2</v>
      </c>
    </row>
    <row r="211" spans="2:5" x14ac:dyDescent="0.25">
      <c r="B211" s="258">
        <v>45741</v>
      </c>
      <c r="C211">
        <v>243.83</v>
      </c>
      <c r="D211">
        <f>(C211-C212)/C212</f>
        <v>6.5221878224974716E-3</v>
      </c>
      <c r="E211">
        <v>-1.7820793486192782E-2</v>
      </c>
    </row>
    <row r="212" spans="2:5" x14ac:dyDescent="0.25">
      <c r="B212" s="258">
        <v>45742</v>
      </c>
      <c r="C212">
        <v>242.25</v>
      </c>
      <c r="D212">
        <f>(C212-C213)/C213</f>
        <v>1.055397964291674E-2</v>
      </c>
      <c r="E212">
        <v>-1.8296169239565507E-2</v>
      </c>
    </row>
    <row r="213" spans="2:5" x14ac:dyDescent="0.25">
      <c r="B213" s="258">
        <v>45743</v>
      </c>
      <c r="C213">
        <v>239.72</v>
      </c>
      <c r="D213">
        <f>(C213-C214)/C214</f>
        <v>-1.0116860056984716E-2</v>
      </c>
      <c r="E213">
        <v>-1.8760337773134857E-2</v>
      </c>
    </row>
    <row r="214" spans="2:5" x14ac:dyDescent="0.25">
      <c r="B214" s="258">
        <v>45744</v>
      </c>
      <c r="C214">
        <v>242.17</v>
      </c>
      <c r="D214">
        <f>(C214-C215)/C215</f>
        <v>-1.7087425927429206E-2</v>
      </c>
      <c r="E214">
        <v>-1.8998404134052738E-2</v>
      </c>
    </row>
    <row r="215" spans="2:5" x14ac:dyDescent="0.25">
      <c r="B215" s="258">
        <v>45748</v>
      </c>
      <c r="C215">
        <v>246.38</v>
      </c>
      <c r="D215">
        <f>(C215-C216)/C216</f>
        <v>-6.8125932196557333E-3</v>
      </c>
      <c r="E215">
        <v>-1.9024970273483991E-2</v>
      </c>
    </row>
    <row r="216" spans="2:5" x14ac:dyDescent="0.25">
      <c r="B216" s="258">
        <v>45749</v>
      </c>
      <c r="C216">
        <v>248.07</v>
      </c>
      <c r="D216">
        <f>(C216-C217)/C217</f>
        <v>-1.0253750398978589E-2</v>
      </c>
      <c r="E216">
        <v>-1.9714645746107859E-2</v>
      </c>
    </row>
    <row r="217" spans="2:5" x14ac:dyDescent="0.25">
      <c r="B217" s="258">
        <v>45750</v>
      </c>
      <c r="C217">
        <v>250.64</v>
      </c>
      <c r="D217">
        <f>(C217-C218)/C218</f>
        <v>3.0126176482676355E-2</v>
      </c>
      <c r="E217">
        <v>-2.0070838252656414E-2</v>
      </c>
    </row>
    <row r="218" spans="2:5" x14ac:dyDescent="0.25">
      <c r="B218" s="258">
        <v>45751</v>
      </c>
      <c r="C218">
        <v>243.31</v>
      </c>
      <c r="D218">
        <f>(C218-C219)/C219</f>
        <v>7.6545285606831603E-2</v>
      </c>
      <c r="E218">
        <v>-2.0607175712971566E-2</v>
      </c>
    </row>
    <row r="219" spans="2:5" x14ac:dyDescent="0.25">
      <c r="B219" s="258">
        <v>45754</v>
      </c>
      <c r="C219">
        <v>226.01</v>
      </c>
      <c r="D219">
        <f>(C219-C220)/C220</f>
        <v>2.8065866084424979E-2</v>
      </c>
      <c r="E219">
        <v>-2.0722966656279297E-2</v>
      </c>
    </row>
    <row r="220" spans="2:5" x14ac:dyDescent="0.25">
      <c r="B220" s="258">
        <v>45755</v>
      </c>
      <c r="C220">
        <v>219.84</v>
      </c>
      <c r="D220">
        <f>(C220-C221)/C221</f>
        <v>-3.0089120268243154E-2</v>
      </c>
      <c r="E220">
        <v>-2.1657095980311805E-2</v>
      </c>
    </row>
    <row r="221" spans="2:5" x14ac:dyDescent="0.25">
      <c r="B221" s="258">
        <v>45756</v>
      </c>
      <c r="C221">
        <v>226.66</v>
      </c>
      <c r="D221">
        <f>(C221-C222)/C222</f>
        <v>2.1267009101558976E-2</v>
      </c>
      <c r="E221">
        <v>-2.2092172640819346E-2</v>
      </c>
    </row>
    <row r="222" spans="2:5" x14ac:dyDescent="0.25">
      <c r="B222" s="258">
        <v>45758</v>
      </c>
      <c r="C222">
        <v>221.94</v>
      </c>
      <c r="D222">
        <f>(C222-C223)/C223</f>
        <v>-3.6593306420106816E-2</v>
      </c>
      <c r="E222">
        <v>-2.2428696546209156E-2</v>
      </c>
    </row>
    <row r="223" spans="2:5" x14ac:dyDescent="0.25">
      <c r="B223" s="258">
        <v>45762</v>
      </c>
      <c r="C223">
        <v>230.37</v>
      </c>
      <c r="D223">
        <f>(C223-C224)/C224</f>
        <v>-9.9703468133567983E-3</v>
      </c>
      <c r="E223">
        <v>-2.4434719183078005E-2</v>
      </c>
    </row>
    <row r="224" spans="2:5" x14ac:dyDescent="0.25">
      <c r="B224" s="258">
        <v>45763</v>
      </c>
      <c r="C224">
        <v>232.69</v>
      </c>
      <c r="D224">
        <f>(C224-C225)/C225</f>
        <v>-3.5361910289362412E-2</v>
      </c>
      <c r="E224">
        <v>-2.5182160301064904E-2</v>
      </c>
    </row>
    <row r="225" spans="2:5" x14ac:dyDescent="0.25">
      <c r="B225" s="258">
        <v>45764</v>
      </c>
      <c r="C225">
        <v>241.22</v>
      </c>
      <c r="D225">
        <f>(C225-C226)/C226</f>
        <v>-9.3227647952688411E-3</v>
      </c>
      <c r="E225">
        <v>-2.5637269264576618E-2</v>
      </c>
    </row>
    <row r="226" spans="2:5" x14ac:dyDescent="0.25">
      <c r="B226" s="258">
        <v>45768</v>
      </c>
      <c r="C226">
        <v>243.49</v>
      </c>
      <c r="D226">
        <f>(C226-C227)/C227</f>
        <v>-2.5182160301064904E-2</v>
      </c>
      <c r="E226">
        <v>-2.728369008139889E-2</v>
      </c>
    </row>
    <row r="227" spans="2:5" x14ac:dyDescent="0.25">
      <c r="B227" s="258">
        <v>45769</v>
      </c>
      <c r="C227">
        <v>249.78</v>
      </c>
      <c r="D227">
        <f>(C227-C228)/C228</f>
        <v>8.0716764872063931E-3</v>
      </c>
      <c r="E227">
        <v>-2.7299069696507687E-2</v>
      </c>
    </row>
    <row r="228" spans="2:5" x14ac:dyDescent="0.25">
      <c r="B228" s="258">
        <v>45770</v>
      </c>
      <c r="C228">
        <v>247.78</v>
      </c>
      <c r="D228">
        <f>(C228-C229)/C229</f>
        <v>-1.7408890827616236E-2</v>
      </c>
      <c r="E228">
        <v>-2.7586206896551699E-2</v>
      </c>
    </row>
    <row r="229" spans="2:5" x14ac:dyDescent="0.25">
      <c r="B229" s="258">
        <v>45771</v>
      </c>
      <c r="C229">
        <v>252.17</v>
      </c>
      <c r="D229">
        <f>(C229-C230)/C230</f>
        <v>1.1228295304166431E-2</v>
      </c>
      <c r="E229">
        <v>-2.8174243049253297E-2</v>
      </c>
    </row>
    <row r="230" spans="2:5" x14ac:dyDescent="0.25">
      <c r="B230" s="258">
        <v>45772</v>
      </c>
      <c r="C230">
        <v>249.37</v>
      </c>
      <c r="D230">
        <f>(C230-C231)/C231</f>
        <v>1.2341168351398497E-2</v>
      </c>
      <c r="E230">
        <v>-2.8855341104528889E-2</v>
      </c>
    </row>
    <row r="231" spans="2:5" x14ac:dyDescent="0.25">
      <c r="B231" s="258">
        <v>45775</v>
      </c>
      <c r="C231">
        <v>246.33</v>
      </c>
      <c r="D231">
        <f>(C231-C232)/C232</f>
        <v>-1.7039106145251323E-2</v>
      </c>
      <c r="E231">
        <v>-2.8894703866140771E-2</v>
      </c>
    </row>
    <row r="232" spans="2:5" x14ac:dyDescent="0.25">
      <c r="B232" s="258">
        <v>45776</v>
      </c>
      <c r="C232">
        <v>250.6</v>
      </c>
      <c r="D232">
        <f>(C232-C233)/C233</f>
        <v>2.0026050146532023E-2</v>
      </c>
      <c r="E232">
        <v>-2.9619606074274614E-2</v>
      </c>
    </row>
    <row r="233" spans="2:5" x14ac:dyDescent="0.25">
      <c r="B233" s="258">
        <v>45777</v>
      </c>
      <c r="C233">
        <v>245.68</v>
      </c>
      <c r="D233">
        <f>(C233-C234)/C234</f>
        <v>5.031703824913145E-3</v>
      </c>
      <c r="E233">
        <v>-2.9756844074137052E-2</v>
      </c>
    </row>
    <row r="234" spans="2:5" x14ac:dyDescent="0.25">
      <c r="B234" s="258">
        <v>45779</v>
      </c>
      <c r="C234">
        <v>244.45</v>
      </c>
      <c r="D234">
        <f>(C234-C235)/C235</f>
        <v>4.2313696491660556E-3</v>
      </c>
      <c r="E234">
        <v>-3.0089120268243154E-2</v>
      </c>
    </row>
    <row r="235" spans="2:5" x14ac:dyDescent="0.25">
      <c r="B235" s="258">
        <v>45782</v>
      </c>
      <c r="C235">
        <v>243.42</v>
      </c>
      <c r="D235">
        <f>(C235-C236)/C236</f>
        <v>1.7642140468227419E-2</v>
      </c>
      <c r="E235">
        <v>-3.1105990783410011E-2</v>
      </c>
    </row>
    <row r="236" spans="2:5" x14ac:dyDescent="0.25">
      <c r="B236" s="258">
        <v>45783</v>
      </c>
      <c r="C236">
        <v>239.2</v>
      </c>
      <c r="D236">
        <f>(C236-C237)/C237</f>
        <v>9.2827004219408794E-3</v>
      </c>
      <c r="E236">
        <v>-3.1138940599086104E-2</v>
      </c>
    </row>
    <row r="237" spans="2:5" x14ac:dyDescent="0.25">
      <c r="B237" s="258">
        <v>45784</v>
      </c>
      <c r="C237">
        <v>237</v>
      </c>
      <c r="D237">
        <f>(C237-C238)/C238</f>
        <v>-6.9971089789248233E-3</v>
      </c>
      <c r="E237">
        <v>-3.4650271357546759E-2</v>
      </c>
    </row>
    <row r="238" spans="2:5" x14ac:dyDescent="0.25">
      <c r="B238" s="258">
        <v>45785</v>
      </c>
      <c r="C238">
        <v>238.67</v>
      </c>
      <c r="D238">
        <f>(C238-C239)/C239</f>
        <v>2.336849326815877E-2</v>
      </c>
      <c r="E238">
        <v>-3.5361910289362412E-2</v>
      </c>
    </row>
    <row r="239" spans="2:5" x14ac:dyDescent="0.25">
      <c r="B239" s="258">
        <v>45786</v>
      </c>
      <c r="C239">
        <v>233.22</v>
      </c>
      <c r="D239">
        <f>(C239-C240)/C240</f>
        <v>-7.4055158324821627E-3</v>
      </c>
      <c r="E239">
        <v>-3.6593306420106816E-2</v>
      </c>
    </row>
    <row r="240" spans="2:5" x14ac:dyDescent="0.25">
      <c r="B240" s="258">
        <v>45789</v>
      </c>
      <c r="C240">
        <v>234.96</v>
      </c>
      <c r="D240">
        <f>(C240-C241)/C241</f>
        <v>-3.7128104253749704E-2</v>
      </c>
      <c r="E240">
        <v>-3.6603710513120474E-2</v>
      </c>
    </row>
    <row r="241" spans="2:5" x14ac:dyDescent="0.25">
      <c r="B241" s="258">
        <v>45790</v>
      </c>
      <c r="C241">
        <v>244.02</v>
      </c>
      <c r="D241">
        <f>(C241-C242)/C242</f>
        <v>1.1859346491955605E-2</v>
      </c>
      <c r="E241">
        <v>-3.7062624456455501E-2</v>
      </c>
    </row>
    <row r="242" spans="2:5" x14ac:dyDescent="0.25">
      <c r="B242" s="258">
        <v>45791</v>
      </c>
      <c r="C242">
        <v>241.16</v>
      </c>
      <c r="D242">
        <f>(C242-C243)/C243</f>
        <v>-1.9714645746107859E-2</v>
      </c>
      <c r="E242">
        <v>-3.7128104253749704E-2</v>
      </c>
    </row>
    <row r="243" spans="2:5" x14ac:dyDescent="0.25">
      <c r="B243" s="258">
        <v>45792</v>
      </c>
      <c r="C243">
        <v>246.01</v>
      </c>
      <c r="D243">
        <f>(C243-C244)/C244</f>
        <v>-6.4617745648399604E-3</v>
      </c>
      <c r="E243">
        <v>-3.8688410825815325E-2</v>
      </c>
    </row>
    <row r="244" spans="2:5" x14ac:dyDescent="0.25">
      <c r="B244" s="258">
        <v>45793</v>
      </c>
      <c r="C244">
        <v>247.61</v>
      </c>
      <c r="D244">
        <f>(C244-C245)/C245</f>
        <v>1.375015165608458E-3</v>
      </c>
      <c r="E244">
        <v>-4.5252525252525204E-2</v>
      </c>
    </row>
    <row r="245" spans="2:5" x14ac:dyDescent="0.25">
      <c r="B245" s="258">
        <v>45796</v>
      </c>
      <c r="C245">
        <v>247.27</v>
      </c>
      <c r="D245">
        <f>(C245-C246)/C246</f>
        <v>2.7982804769243154E-3</v>
      </c>
      <c r="E245">
        <v>-4.7692904226444295E-2</v>
      </c>
    </row>
    <row r="246" spans="2:5" x14ac:dyDescent="0.25">
      <c r="B246" s="258">
        <v>45797</v>
      </c>
      <c r="C246">
        <v>246.58</v>
      </c>
      <c r="D246">
        <f>(C246-C247)/C247</f>
        <v>-1.0751825403193367E-2</v>
      </c>
      <c r="E246">
        <v>-4.7751937984496055E-2</v>
      </c>
    </row>
    <row r="247" spans="2:5" x14ac:dyDescent="0.25">
      <c r="B247" s="258">
        <v>45798</v>
      </c>
      <c r="C247">
        <v>249.26</v>
      </c>
      <c r="D247">
        <f>(C247-C248)/C248</f>
        <v>2.3323146211998718E-3</v>
      </c>
      <c r="E247">
        <v>-4.8391899940440734E-2</v>
      </c>
    </row>
    <row r="248" spans="2:5" x14ac:dyDescent="0.25">
      <c r="B248" s="258">
        <v>45799</v>
      </c>
      <c r="C248">
        <v>248.68</v>
      </c>
      <c r="D248">
        <f>(C248-C249)/C249</f>
        <v>2.9006496462117844E-2</v>
      </c>
      <c r="E248">
        <v>-4.9519100776391496E-2</v>
      </c>
    </row>
    <row r="249" spans="2:5" x14ac:dyDescent="0.25">
      <c r="B249" s="258">
        <v>45800</v>
      </c>
      <c r="C249">
        <v>241.67</v>
      </c>
      <c r="D249">
        <f>(C249-C250)/C250</f>
        <v>-1.0522436947265073E-2</v>
      </c>
      <c r="E249">
        <v>-5.2641199049534029E-2</v>
      </c>
    </row>
    <row r="250" spans="2:5" x14ac:dyDescent="0.25">
      <c r="B250" s="258">
        <v>45803</v>
      </c>
      <c r="C250">
        <v>244.24</v>
      </c>
      <c r="D250">
        <f>(C250-C251)/C251</f>
        <v>-6.912255021549925E-3</v>
      </c>
      <c r="E250">
        <v>-6.9517775431186202E-2</v>
      </c>
    </row>
    <row r="251" spans="2:5" x14ac:dyDescent="0.25">
      <c r="B251" s="258">
        <v>45804</v>
      </c>
      <c r="C251">
        <v>245.94</v>
      </c>
      <c r="D251" t="e">
        <f>(C251-C252)/C252</f>
        <v>#DIV/0!</v>
      </c>
      <c r="E251">
        <v>-6.9887572166514728E-2</v>
      </c>
    </row>
  </sheetData>
  <sortState ref="E4:E252">
    <sortCondition descending="1" ref="E4"/>
  </sortState>
  <mergeCells count="1">
    <mergeCell ref="G3:K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3:M10003"/>
  <sheetViews>
    <sheetView showGridLines="0" tabSelected="1" topLeftCell="A4" zoomScale="130" zoomScaleNormal="130" workbookViewId="0">
      <selection activeCell="C24" sqref="C24"/>
    </sheetView>
  </sheetViews>
  <sheetFormatPr defaultRowHeight="15" x14ac:dyDescent="0.25"/>
  <cols>
    <col min="1" max="1" width="1.85546875" customWidth="1"/>
    <col min="2" max="2" width="15.42578125" customWidth="1"/>
    <col min="3" max="3" width="15.85546875" customWidth="1"/>
    <col min="4" max="4" width="12.85546875" customWidth="1"/>
    <col min="5" max="5" width="14.85546875" customWidth="1"/>
    <col min="6" max="6" width="10.85546875" customWidth="1"/>
    <col min="7" max="7" width="17.140625" customWidth="1"/>
    <col min="8" max="8" width="1.7109375" customWidth="1"/>
    <col min="10" max="10" width="10.42578125" customWidth="1"/>
    <col min="11" max="11" width="10.5703125" customWidth="1"/>
    <col min="13" max="13" width="10.42578125" customWidth="1"/>
    <col min="14" max="14" width="11.85546875" customWidth="1"/>
  </cols>
  <sheetData>
    <row r="3" spans="2:13" x14ac:dyDescent="0.25">
      <c r="B3" s="133" t="s">
        <v>258</v>
      </c>
      <c r="C3" s="129" t="s">
        <v>428</v>
      </c>
      <c r="D3" s="129" t="s">
        <v>263</v>
      </c>
      <c r="E3" s="129" t="s">
        <v>429</v>
      </c>
      <c r="F3" s="129" t="s">
        <v>440</v>
      </c>
      <c r="G3" s="133" t="s">
        <v>441</v>
      </c>
      <c r="H3" s="133"/>
      <c r="I3" s="252" t="s">
        <v>430</v>
      </c>
      <c r="J3" s="252"/>
      <c r="K3" s="252"/>
      <c r="L3" s="252"/>
      <c r="M3" s="252"/>
    </row>
    <row r="4" spans="2:13" x14ac:dyDescent="0.25">
      <c r="B4" s="258">
        <v>45440</v>
      </c>
      <c r="C4">
        <v>277.64999999999998</v>
      </c>
      <c r="D4">
        <f>(C4-C5)/C5</f>
        <v>1.2212905577834363E-2</v>
      </c>
      <c r="E4">
        <v>0.20228523063901824</v>
      </c>
      <c r="F4">
        <v>1</v>
      </c>
      <c r="G4">
        <f ca="1">_xlfn.NORM.INV(RAND(),$M$7,$M$8)</f>
        <v>-2.9919121748114813E-2</v>
      </c>
    </row>
    <row r="5" spans="2:13" x14ac:dyDescent="0.25">
      <c r="B5" s="258">
        <v>45441</v>
      </c>
      <c r="C5">
        <v>274.3</v>
      </c>
      <c r="D5">
        <f>(C5-C6)/C6</f>
        <v>9.012322972227288E-3</v>
      </c>
      <c r="E5">
        <v>7.6545285606831603E-2</v>
      </c>
      <c r="F5">
        <v>2</v>
      </c>
      <c r="G5">
        <f ca="1">_xlfn.NORM.INV(RAND(),$M$7,$M$8)</f>
        <v>-1.8944560430559063E-2</v>
      </c>
    </row>
    <row r="6" spans="2:13" x14ac:dyDescent="0.25">
      <c r="B6" s="258">
        <v>45442</v>
      </c>
      <c r="C6">
        <v>271.85000000000002</v>
      </c>
      <c r="D6">
        <f>(C6-C7)/C7</f>
        <v>1.9310086239220228E-2</v>
      </c>
      <c r="E6">
        <v>6.3980660757453733E-2</v>
      </c>
      <c r="F6">
        <v>3</v>
      </c>
      <c r="G6">
        <f ca="1">_xlfn.NORM.INV(RAND(),$M$7,$M$8)</f>
        <v>-3.2091247560447037E-3</v>
      </c>
      <c r="I6" s="116" t="s">
        <v>442</v>
      </c>
      <c r="J6" s="59"/>
      <c r="K6" s="59"/>
      <c r="L6" s="59"/>
      <c r="M6" s="59"/>
    </row>
    <row r="7" spans="2:13" x14ac:dyDescent="0.25">
      <c r="B7" s="258">
        <v>45443</v>
      </c>
      <c r="C7">
        <v>266.7</v>
      </c>
      <c r="D7">
        <f>(C7-C8)/C8</f>
        <v>8.8897295252504845E-3</v>
      </c>
      <c r="E7">
        <v>4.3460728527263716E-2</v>
      </c>
      <c r="F7">
        <v>4</v>
      </c>
      <c r="G7">
        <f ca="1">_xlfn.NORM.INV(RAND(),$M$7,$M$8)</f>
        <v>-1.728131858493118E-2</v>
      </c>
      <c r="I7" t="s">
        <v>185</v>
      </c>
      <c r="M7" s="259">
        <f>AVERAGE(E4:E251)</f>
        <v>8.4875814056589336E-4</v>
      </c>
    </row>
    <row r="8" spans="2:13" x14ac:dyDescent="0.25">
      <c r="B8" s="258">
        <v>45446</v>
      </c>
      <c r="C8">
        <v>264.35000000000002</v>
      </c>
      <c r="D8">
        <f>(C8-C9)/C9</f>
        <v>-6.9517775431186202E-2</v>
      </c>
      <c r="E8">
        <v>3.7697481620522486E-2</v>
      </c>
      <c r="F8">
        <v>5</v>
      </c>
      <c r="G8">
        <f ca="1">_xlfn.NORM.INV(RAND(),$M$7,$M$8)</f>
        <v>-1.520402877440517E-2</v>
      </c>
      <c r="I8" t="s">
        <v>431</v>
      </c>
      <c r="M8" s="259">
        <f>_xlfn.STDEV.S(E4:E251)</f>
        <v>2.4028043282764814E-2</v>
      </c>
    </row>
    <row r="9" spans="2:13" x14ac:dyDescent="0.25">
      <c r="B9" s="258">
        <v>45447</v>
      </c>
      <c r="C9">
        <v>284.10000000000002</v>
      </c>
      <c r="D9">
        <f>(C9-C10)/C10</f>
        <v>0.20228523063901824</v>
      </c>
      <c r="E9">
        <v>3.6102348405187563E-2</v>
      </c>
      <c r="F9">
        <v>6</v>
      </c>
      <c r="G9">
        <f ca="1">_xlfn.NORM.INV(RAND(),$M$7,$M$8)</f>
        <v>-4.3901926054267799E-2</v>
      </c>
      <c r="I9" t="s">
        <v>432</v>
      </c>
      <c r="M9" s="259">
        <f>MIN(E4:E251)</f>
        <v>-6.9887572166514728E-2</v>
      </c>
    </row>
    <row r="10" spans="2:13" x14ac:dyDescent="0.25">
      <c r="B10" s="258">
        <v>45448</v>
      </c>
      <c r="C10">
        <v>236.3</v>
      </c>
      <c r="D10">
        <f>(C10-C11)/C11</f>
        <v>-4.5252525252525204E-2</v>
      </c>
      <c r="E10">
        <v>3.529233565586179E-2</v>
      </c>
      <c r="F10">
        <v>7</v>
      </c>
      <c r="G10">
        <f ca="1">_xlfn.NORM.INV(RAND(),$M$7,$M$8)</f>
        <v>1.2577015712066011E-2</v>
      </c>
      <c r="I10" t="s">
        <v>433</v>
      </c>
      <c r="M10" s="259">
        <f>MAX(E4:E251)</f>
        <v>0.20228523063901824</v>
      </c>
    </row>
    <row r="11" spans="2:13" x14ac:dyDescent="0.25">
      <c r="B11" s="258">
        <v>45449</v>
      </c>
      <c r="C11">
        <v>247.5</v>
      </c>
      <c r="D11">
        <f>(C11-C12)/C12</f>
        <v>-1.9024970273483991E-2</v>
      </c>
      <c r="E11">
        <v>3.4337349397590408E-2</v>
      </c>
      <c r="F11">
        <v>8</v>
      </c>
      <c r="G11">
        <f ca="1">_xlfn.NORM.INV(RAND(),$M$7,$M$8)</f>
        <v>8.2705310632238613E-3</v>
      </c>
      <c r="I11" t="s">
        <v>436</v>
      </c>
      <c r="M11">
        <v>243</v>
      </c>
    </row>
    <row r="12" spans="2:13" x14ac:dyDescent="0.25">
      <c r="B12" s="258">
        <v>45450</v>
      </c>
      <c r="C12">
        <v>252.3</v>
      </c>
      <c r="D12">
        <f>(C12-C13)/C13</f>
        <v>-3.1105990783410011E-2</v>
      </c>
      <c r="E12">
        <v>3.3121445299431368E-2</v>
      </c>
      <c r="F12">
        <v>9</v>
      </c>
      <c r="G12">
        <f ca="1">_xlfn.NORM.INV(RAND(),$M$7,$M$8)</f>
        <v>3.2275652051122847E-3</v>
      </c>
    </row>
    <row r="13" spans="2:13" x14ac:dyDescent="0.25">
      <c r="B13" s="258">
        <v>45453</v>
      </c>
      <c r="C13">
        <v>260.39999999999998</v>
      </c>
      <c r="D13">
        <f>(C13-C14)/C14</f>
        <v>4.8234613158402474E-3</v>
      </c>
      <c r="E13">
        <v>3.0967398738505878E-2</v>
      </c>
      <c r="F13">
        <v>10</v>
      </c>
      <c r="G13">
        <f ca="1">_xlfn.NORM.INV(RAND(),$M$7,$M$8)</f>
        <v>3.1488929829929235E-2</v>
      </c>
      <c r="I13" s="116" t="s">
        <v>443</v>
      </c>
      <c r="J13" s="59"/>
      <c r="K13" s="59"/>
      <c r="L13" s="59"/>
      <c r="M13" s="59"/>
    </row>
    <row r="14" spans="2:13" x14ac:dyDescent="0.25">
      <c r="B14" s="258">
        <v>45454</v>
      </c>
      <c r="C14">
        <v>259.14999999999998</v>
      </c>
      <c r="D14">
        <f>(C14-C15)/C15</f>
        <v>-5.2641199049534029E-2</v>
      </c>
      <c r="E14">
        <v>3.0126176482676355E-2</v>
      </c>
      <c r="F14">
        <v>11</v>
      </c>
      <c r="G14">
        <f ca="1">_xlfn.NORM.INV(RAND(),$M$7,$M$8)</f>
        <v>1.5533546243712937E-2</v>
      </c>
      <c r="I14" t="s">
        <v>185</v>
      </c>
      <c r="M14" s="259">
        <f ca="1">G4:G10003</f>
        <v>1.5533546243712937E-2</v>
      </c>
    </row>
    <row r="15" spans="2:13" x14ac:dyDescent="0.25">
      <c r="B15" s="258">
        <v>45455</v>
      </c>
      <c r="C15">
        <v>273.55</v>
      </c>
      <c r="D15">
        <f>(C15-C16)/C16</f>
        <v>-7.0780399274046777E-3</v>
      </c>
      <c r="E15">
        <v>2.9128163921253402E-2</v>
      </c>
      <c r="F15">
        <v>12</v>
      </c>
      <c r="G15">
        <f ca="1">_xlfn.NORM.INV(RAND(),$M$7,$M$8)</f>
        <v>5.8673772273393029E-2</v>
      </c>
      <c r="I15" t="s">
        <v>431</v>
      </c>
      <c r="M15" s="259">
        <f ca="1">_xlfn.STDEV.S(G4:G10003)</f>
        <v>2.3875982156743854E-2</v>
      </c>
    </row>
    <row r="16" spans="2:13" x14ac:dyDescent="0.25">
      <c r="B16" s="258">
        <v>45456</v>
      </c>
      <c r="C16">
        <v>275.5</v>
      </c>
      <c r="D16">
        <f>(C16-C17)/C17</f>
        <v>-3.7967817754475186E-3</v>
      </c>
      <c r="E16">
        <v>2.9006496462117844E-2</v>
      </c>
      <c r="F16">
        <v>13</v>
      </c>
      <c r="G16">
        <f ca="1">_xlfn.NORM.INV(RAND(),$M$7,$M$8)</f>
        <v>-1.7362650457169657E-2</v>
      </c>
      <c r="I16" t="s">
        <v>432</v>
      </c>
      <c r="M16" s="259">
        <f ca="1">MIN(G4:G10003)</f>
        <v>-8.4481689179595851E-2</v>
      </c>
    </row>
    <row r="17" spans="2:13" x14ac:dyDescent="0.25">
      <c r="B17" s="258">
        <v>45457</v>
      </c>
      <c r="C17">
        <v>276.55</v>
      </c>
      <c r="D17">
        <f>(C17-C18)/C18</f>
        <v>4.1757443718229278E-3</v>
      </c>
      <c r="E17">
        <v>2.850662808430764E-2</v>
      </c>
      <c r="F17">
        <v>14</v>
      </c>
      <c r="G17">
        <f ca="1">_xlfn.NORM.INV(RAND(),$M$7,$M$8)</f>
        <v>-1.3515716964164233E-2</v>
      </c>
      <c r="I17" t="s">
        <v>433</v>
      </c>
      <c r="M17" s="259">
        <f ca="1">MAX(G4:G10003)</f>
        <v>9.4639143027451425E-2</v>
      </c>
    </row>
    <row r="18" spans="2:13" x14ac:dyDescent="0.25">
      <c r="B18" s="258">
        <v>45461</v>
      </c>
      <c r="C18">
        <v>275.39999999999998</v>
      </c>
      <c r="D18">
        <f>(C18-C19)/C19</f>
        <v>-1.4503263234228938E-3</v>
      </c>
      <c r="E18">
        <v>2.8065866084424979E-2</v>
      </c>
      <c r="F18">
        <v>15</v>
      </c>
      <c r="G18">
        <f ca="1">_xlfn.NORM.INV(RAND(),$M$7,$M$8)</f>
        <v>-2.0985872009435733E-2</v>
      </c>
      <c r="I18" t="s">
        <v>436</v>
      </c>
      <c r="M18">
        <v>243</v>
      </c>
    </row>
    <row r="19" spans="2:13" x14ac:dyDescent="0.25">
      <c r="B19" s="258">
        <v>45462</v>
      </c>
      <c r="C19">
        <v>275.8</v>
      </c>
      <c r="D19">
        <f>(C19-C20)/C20</f>
        <v>1.5650893021542992E-2</v>
      </c>
      <c r="E19">
        <v>2.6603423386265281E-2</v>
      </c>
      <c r="F19">
        <v>16</v>
      </c>
      <c r="G19">
        <f ca="1">_xlfn.NORM.INV(RAND(),$M$7,$M$8)</f>
        <v>2.8485681697704929E-3</v>
      </c>
    </row>
    <row r="20" spans="2:13" x14ac:dyDescent="0.25">
      <c r="B20" s="258">
        <v>45463</v>
      </c>
      <c r="C20">
        <v>271.55</v>
      </c>
      <c r="D20">
        <f>(C20-C21)/C21</f>
        <v>-1.1035497517013475E-3</v>
      </c>
      <c r="E20">
        <v>2.5527192008879023E-2</v>
      </c>
      <c r="F20">
        <v>17</v>
      </c>
      <c r="G20">
        <f ca="1">_xlfn.NORM.INV(RAND(),$M$7,$M$8)</f>
        <v>-1.4458782240908208E-2</v>
      </c>
      <c r="I20" s="121" t="s">
        <v>434</v>
      </c>
      <c r="J20" s="247" t="s">
        <v>439</v>
      </c>
      <c r="K20" s="247" t="s">
        <v>435</v>
      </c>
      <c r="L20" s="247" t="s">
        <v>437</v>
      </c>
      <c r="M20" s="247" t="s">
        <v>438</v>
      </c>
    </row>
    <row r="21" spans="2:13" x14ac:dyDescent="0.25">
      <c r="B21" s="258">
        <v>45464</v>
      </c>
      <c r="C21">
        <v>271.85000000000002</v>
      </c>
      <c r="D21">
        <f>(C21-C22)/C22</f>
        <v>8.1587242722048793E-3</v>
      </c>
      <c r="E21">
        <v>2.549608202409271E-2</v>
      </c>
      <c r="F21">
        <v>18</v>
      </c>
      <c r="G21">
        <f ca="1">_xlfn.NORM.INV(RAND(),$M$7,$M$8)</f>
        <v>1.9924931247365173E-2</v>
      </c>
      <c r="I21" s="260">
        <v>0.05</v>
      </c>
      <c r="J21" s="57">
        <f>100%-I21</f>
        <v>0.95</v>
      </c>
      <c r="K21" s="259">
        <f ca="1">_xlfn.PERCENTILE.INC($G$4:$G$10003,I21)</f>
        <v>-3.7661991978966032E-2</v>
      </c>
      <c r="L21">
        <f ca="1">$M$11*(1-K21)</f>
        <v>252.15186405088875</v>
      </c>
      <c r="M21">
        <f ca="1">$M$11-L21</f>
        <v>-9.1518640508887472</v>
      </c>
    </row>
    <row r="22" spans="2:13" x14ac:dyDescent="0.25">
      <c r="B22" s="258">
        <v>45467</v>
      </c>
      <c r="C22">
        <v>269.64999999999998</v>
      </c>
      <c r="D22">
        <f>(C22-C23)/C23</f>
        <v>-9.2626898851426464E-4</v>
      </c>
      <c r="E22">
        <v>2.4809160305343549E-2</v>
      </c>
      <c r="F22">
        <v>19</v>
      </c>
      <c r="G22">
        <f ca="1">_xlfn.NORM.INV(RAND(),$M$7,$M$8)</f>
        <v>-1.1650490633204492E-2</v>
      </c>
      <c r="I22" s="260">
        <v>0.01</v>
      </c>
      <c r="J22" s="57">
        <f t="shared" ref="J22:J24" si="0">100%-I22</f>
        <v>0.99</v>
      </c>
      <c r="K22" s="259">
        <f t="shared" ref="K22:K24" ca="1" si="1">_xlfn.PERCENTILE.INC($G$4:$G$10003,I22)</f>
        <v>-5.3688978459644716E-2</v>
      </c>
      <c r="L22">
        <f ca="1">$M$11*(1-K22)</f>
        <v>256.04642176569371</v>
      </c>
      <c r="M22">
        <f ca="1">$M$11-L22</f>
        <v>-13.046421765693708</v>
      </c>
    </row>
    <row r="23" spans="2:13" x14ac:dyDescent="0.25">
      <c r="B23" s="258">
        <v>45468</v>
      </c>
      <c r="C23">
        <v>269.89999999999998</v>
      </c>
      <c r="D23">
        <f>(C23-C24)/C24</f>
        <v>1.0861423220973698E-2</v>
      </c>
      <c r="E23">
        <v>2.4312099509988649E-2</v>
      </c>
      <c r="F23">
        <v>20</v>
      </c>
      <c r="G23">
        <f ca="1">_xlfn.NORM.INV(RAND(),$M$7,$M$8)</f>
        <v>-3.3158305385055438E-2</v>
      </c>
      <c r="I23" s="260">
        <v>5.0000000000000001E-3</v>
      </c>
      <c r="J23" s="57">
        <f t="shared" si="0"/>
        <v>0.995</v>
      </c>
      <c r="K23" s="259">
        <f t="shared" ca="1" si="1"/>
        <v>-5.9757910707910443E-2</v>
      </c>
      <c r="L23">
        <f ca="1">$M$11*(1-K23)</f>
        <v>257.52117230202225</v>
      </c>
      <c r="M23">
        <f ca="1">$M$11-L23</f>
        <v>-14.521172302022251</v>
      </c>
    </row>
    <row r="24" spans="2:13" x14ac:dyDescent="0.25">
      <c r="B24" s="258">
        <v>45469</v>
      </c>
      <c r="C24">
        <v>267</v>
      </c>
      <c r="D24">
        <f>(C24-C25)/C25</f>
        <v>-2.8011204481792717E-3</v>
      </c>
      <c r="E24">
        <v>2.422270426608817E-2</v>
      </c>
      <c r="F24">
        <v>21</v>
      </c>
      <c r="G24">
        <f ca="1">_xlfn.NORM.INV(RAND(),$M$7,$M$8)</f>
        <v>-1.9118864547986301E-2</v>
      </c>
      <c r="I24" s="261">
        <v>0.1</v>
      </c>
      <c r="J24" s="57">
        <f t="shared" si="0"/>
        <v>0.9</v>
      </c>
      <c r="K24" s="259">
        <f t="shared" ca="1" si="1"/>
        <v>-2.959578325593033E-2</v>
      </c>
      <c r="L24">
        <f ca="1">$M$11*(1-K24)</f>
        <v>250.19177533119108</v>
      </c>
      <c r="M24">
        <f ca="1">$M$11-L24</f>
        <v>-7.1917753311910815</v>
      </c>
    </row>
    <row r="25" spans="2:13" x14ac:dyDescent="0.25">
      <c r="B25" s="258">
        <v>45470</v>
      </c>
      <c r="C25">
        <v>267.75</v>
      </c>
      <c r="D25">
        <f>(C25-C26)/C26</f>
        <v>9.3457943925233649E-4</v>
      </c>
      <c r="E25">
        <v>2.4158579392938237E-2</v>
      </c>
      <c r="F25">
        <v>22</v>
      </c>
      <c r="G25">
        <f ca="1">_xlfn.NORM.INV(RAND(),$M$7,$M$8)</f>
        <v>5.4567866587995485E-2</v>
      </c>
    </row>
    <row r="26" spans="2:13" x14ac:dyDescent="0.25">
      <c r="B26" s="258">
        <v>45471</v>
      </c>
      <c r="C26">
        <v>267.5</v>
      </c>
      <c r="D26">
        <f>(C26-C27)/C27</f>
        <v>-2.4434719183078005E-2</v>
      </c>
      <c r="E26">
        <v>2.3682526136121235E-2</v>
      </c>
      <c r="F26">
        <v>23</v>
      </c>
      <c r="G26">
        <f ca="1">_xlfn.NORM.INV(RAND(),$M$7,$M$8)</f>
        <v>-1.7692922760767886E-3</v>
      </c>
    </row>
    <row r="27" spans="2:13" x14ac:dyDescent="0.25">
      <c r="B27" s="258">
        <v>45474</v>
      </c>
      <c r="C27">
        <v>274.2</v>
      </c>
      <c r="D27">
        <f>(C27-C28)/C28</f>
        <v>4.5795933321121085E-3</v>
      </c>
      <c r="E27">
        <v>2.3617248209660217E-2</v>
      </c>
      <c r="F27">
        <v>24</v>
      </c>
      <c r="G27">
        <f ca="1">_xlfn.NORM.INV(RAND(),$M$7,$M$8)</f>
        <v>-2.467900802589933E-2</v>
      </c>
    </row>
    <row r="28" spans="2:13" x14ac:dyDescent="0.25">
      <c r="B28" s="258">
        <v>45475</v>
      </c>
      <c r="C28">
        <v>272.95</v>
      </c>
      <c r="D28">
        <f>(C28-C29)/C29</f>
        <v>-6.9128615608514974E-3</v>
      </c>
      <c r="E28">
        <v>2.336849326815877E-2</v>
      </c>
      <c r="F28">
        <v>25</v>
      </c>
      <c r="G28">
        <f ca="1">_xlfn.NORM.INV(RAND(),$M$7,$M$8)</f>
        <v>-1.0758197038849048E-2</v>
      </c>
    </row>
    <row r="29" spans="2:13" x14ac:dyDescent="0.25">
      <c r="B29" s="258">
        <v>45476</v>
      </c>
      <c r="C29">
        <v>274.85000000000002</v>
      </c>
      <c r="D29">
        <f>(C29-C30)/C30</f>
        <v>5.4605023662189338E-4</v>
      </c>
      <c r="E29">
        <v>2.2848712018502231E-2</v>
      </c>
      <c r="F29">
        <v>26</v>
      </c>
      <c r="G29">
        <f ca="1">_xlfn.NORM.INV(RAND(),$M$7,$M$8)</f>
        <v>2.1312951484294088E-2</v>
      </c>
    </row>
    <row r="30" spans="2:13" x14ac:dyDescent="0.25">
      <c r="B30" s="258">
        <v>45477</v>
      </c>
      <c r="C30">
        <v>274.7</v>
      </c>
      <c r="D30">
        <f>(C30-C31)/C31</f>
        <v>-8.4822234253745625E-3</v>
      </c>
      <c r="E30">
        <v>2.1992993382639294E-2</v>
      </c>
      <c r="F30">
        <v>27</v>
      </c>
      <c r="G30">
        <f ca="1">_xlfn.NORM.INV(RAND(),$M$7,$M$8)</f>
        <v>-1.3730038349266142E-3</v>
      </c>
    </row>
    <row r="31" spans="2:13" x14ac:dyDescent="0.25">
      <c r="B31" s="258">
        <v>45478</v>
      </c>
      <c r="C31">
        <v>277.05</v>
      </c>
      <c r="D31">
        <f>(C31-C32)/C32</f>
        <v>-3.8688410825815325E-2</v>
      </c>
      <c r="E31">
        <v>2.1471793870778841E-2</v>
      </c>
      <c r="F31">
        <v>28</v>
      </c>
      <c r="G31">
        <f ca="1">_xlfn.NORM.INV(RAND(),$M$7,$M$8)</f>
        <v>7.5367579192300721E-3</v>
      </c>
    </row>
    <row r="32" spans="2:13" x14ac:dyDescent="0.25">
      <c r="B32" s="258">
        <v>45481</v>
      </c>
      <c r="C32">
        <v>288.2</v>
      </c>
      <c r="D32">
        <f>(C32-C33)/C33</f>
        <v>-3.6603710513120474E-2</v>
      </c>
      <c r="E32">
        <v>2.1418020679468283E-2</v>
      </c>
      <c r="F32">
        <v>29</v>
      </c>
      <c r="G32">
        <f ca="1">_xlfn.NORM.INV(RAND(),$M$7,$M$8)</f>
        <v>-3.7661931513493015E-2</v>
      </c>
    </row>
    <row r="33" spans="2:7" x14ac:dyDescent="0.25">
      <c r="B33" s="258">
        <v>45482</v>
      </c>
      <c r="C33">
        <v>299.14999999999998</v>
      </c>
      <c r="D33">
        <f>(C33-C34)/C34</f>
        <v>5.7152462598755709E-3</v>
      </c>
      <c r="E33">
        <v>2.1267009101558976E-2</v>
      </c>
      <c r="F33">
        <v>30</v>
      </c>
      <c r="G33">
        <f ca="1">_xlfn.NORM.INV(RAND(),$M$7,$M$8)</f>
        <v>1.5068510269980248E-2</v>
      </c>
    </row>
    <row r="34" spans="2:7" x14ac:dyDescent="0.25">
      <c r="B34" s="258">
        <v>45483</v>
      </c>
      <c r="C34">
        <v>297.45</v>
      </c>
      <c r="D34">
        <f>(C34-C35)/C35</f>
        <v>-2.3478115042763329E-3</v>
      </c>
      <c r="E34">
        <v>2.1168231736431752E-2</v>
      </c>
      <c r="F34">
        <v>31</v>
      </c>
      <c r="G34">
        <f ca="1">_xlfn.NORM.INV(RAND(),$M$7,$M$8)</f>
        <v>5.063066142911371E-2</v>
      </c>
    </row>
    <row r="35" spans="2:7" x14ac:dyDescent="0.25">
      <c r="B35" s="258">
        <v>45484</v>
      </c>
      <c r="C35">
        <v>298.14999999999998</v>
      </c>
      <c r="D35">
        <f>(C35-C36)/C36</f>
        <v>-2.1657095980311805E-2</v>
      </c>
      <c r="E35">
        <v>2.1116928446771419E-2</v>
      </c>
      <c r="F35">
        <v>32</v>
      </c>
      <c r="G35">
        <f ca="1">_xlfn.NORM.INV(RAND(),$M$7,$M$8)</f>
        <v>1.9199263244356404E-2</v>
      </c>
    </row>
    <row r="36" spans="2:7" x14ac:dyDescent="0.25">
      <c r="B36" s="258">
        <v>45485</v>
      </c>
      <c r="C36">
        <v>304.75</v>
      </c>
      <c r="D36">
        <f>(C36-C37)/C37</f>
        <v>-7.652230543796882E-3</v>
      </c>
      <c r="E36">
        <v>2.0169277867819281E-2</v>
      </c>
      <c r="F36">
        <v>33</v>
      </c>
      <c r="G36">
        <f ca="1">_xlfn.NORM.INV(RAND(),$M$7,$M$8)</f>
        <v>1.678106001288893E-2</v>
      </c>
    </row>
    <row r="37" spans="2:7" x14ac:dyDescent="0.25">
      <c r="B37" s="258">
        <v>45488</v>
      </c>
      <c r="C37">
        <v>307.10000000000002</v>
      </c>
      <c r="D37">
        <f>(C37-C38)/C38</f>
        <v>-4.7751937984496055E-2</v>
      </c>
      <c r="E37">
        <v>2.0038003109345351E-2</v>
      </c>
      <c r="F37">
        <v>34</v>
      </c>
      <c r="G37">
        <f ca="1">_xlfn.NORM.INV(RAND(),$M$7,$M$8)</f>
        <v>-1.8607215265777789E-2</v>
      </c>
    </row>
    <row r="38" spans="2:7" x14ac:dyDescent="0.25">
      <c r="B38" s="258">
        <v>45489</v>
      </c>
      <c r="C38">
        <v>322.5</v>
      </c>
      <c r="D38">
        <f>(C38-C39)/C39</f>
        <v>-4.6490004648993421E-4</v>
      </c>
      <c r="E38">
        <v>2.0033741037536905E-2</v>
      </c>
      <c r="F38">
        <v>35</v>
      </c>
      <c r="G38">
        <f ca="1">_xlfn.NORM.INV(RAND(),$M$7,$M$8)</f>
        <v>-1.5667262941138998E-2</v>
      </c>
    </row>
    <row r="39" spans="2:7" x14ac:dyDescent="0.25">
      <c r="B39" s="258">
        <v>45491</v>
      </c>
      <c r="C39">
        <v>322.64999999999998</v>
      </c>
      <c r="D39">
        <f>(C39-C40)/C40</f>
        <v>-2.728369008139889E-2</v>
      </c>
      <c r="E39">
        <v>2.0026050146532023E-2</v>
      </c>
      <c r="F39">
        <v>36</v>
      </c>
      <c r="G39">
        <f ca="1">_xlfn.NORM.INV(RAND(),$M$7,$M$8)</f>
        <v>1.6224576780363563E-3</v>
      </c>
    </row>
    <row r="40" spans="2:7" x14ac:dyDescent="0.25">
      <c r="B40" s="258">
        <v>45492</v>
      </c>
      <c r="C40">
        <v>331.7</v>
      </c>
      <c r="D40">
        <f>(C40-C41)/C41</f>
        <v>3.7697481620522486E-2</v>
      </c>
      <c r="E40">
        <v>1.9832661915091521E-2</v>
      </c>
      <c r="F40">
        <v>37</v>
      </c>
      <c r="G40">
        <f ca="1">_xlfn.NORM.INV(RAND(),$M$7,$M$8)</f>
        <v>1.1854499771065159E-2</v>
      </c>
    </row>
    <row r="41" spans="2:7" x14ac:dyDescent="0.25">
      <c r="B41" s="258">
        <v>45495</v>
      </c>
      <c r="C41">
        <v>319.64999999999998</v>
      </c>
      <c r="D41">
        <f>(C41-C42)/C42</f>
        <v>-3.5847880299252934E-3</v>
      </c>
      <c r="E41">
        <v>1.9646670549407889E-2</v>
      </c>
      <c r="F41">
        <v>38</v>
      </c>
      <c r="G41">
        <f ca="1">_xlfn.NORM.INV(RAND(),$M$7,$M$8)</f>
        <v>-4.1432653791606154E-4</v>
      </c>
    </row>
    <row r="42" spans="2:7" x14ac:dyDescent="0.25">
      <c r="B42" s="258">
        <v>45496</v>
      </c>
      <c r="C42">
        <v>320.8</v>
      </c>
      <c r="D42">
        <f>(C42-C43)/C43</f>
        <v>2.1168231736431752E-2</v>
      </c>
      <c r="E42">
        <v>1.9352628874807449E-2</v>
      </c>
      <c r="F42">
        <v>39</v>
      </c>
      <c r="G42">
        <f ca="1">_xlfn.NORM.INV(RAND(),$M$7,$M$8)</f>
        <v>3.6353939736353966E-2</v>
      </c>
    </row>
    <row r="43" spans="2:7" x14ac:dyDescent="0.25">
      <c r="B43" s="258">
        <v>45497</v>
      </c>
      <c r="C43">
        <v>314.14999999999998</v>
      </c>
      <c r="D43">
        <f>(C43-C44)/C44</f>
        <v>-1.6898763886715799E-2</v>
      </c>
      <c r="E43">
        <v>1.9310086239220228E-2</v>
      </c>
      <c r="F43">
        <v>40</v>
      </c>
      <c r="G43">
        <f ca="1">_xlfn.NORM.INV(RAND(),$M$7,$M$8)</f>
        <v>-3.704241312153006E-2</v>
      </c>
    </row>
    <row r="44" spans="2:7" x14ac:dyDescent="0.25">
      <c r="B44" s="258">
        <v>45498</v>
      </c>
      <c r="C44">
        <v>319.55</v>
      </c>
      <c r="D44">
        <f>(C44-C45)/C45</f>
        <v>-4.8391899940440734E-2</v>
      </c>
      <c r="E44">
        <v>1.930585683297175E-2</v>
      </c>
      <c r="F44">
        <v>41</v>
      </c>
      <c r="G44">
        <f ca="1">_xlfn.NORM.INV(RAND(),$M$7,$M$8)</f>
        <v>6.2927944529276886E-4</v>
      </c>
    </row>
    <row r="45" spans="2:7" x14ac:dyDescent="0.25">
      <c r="B45" s="258">
        <v>45499</v>
      </c>
      <c r="C45">
        <v>335.8</v>
      </c>
      <c r="D45">
        <f>(C45-C46)/C46</f>
        <v>1.2665862484921558E-2</v>
      </c>
      <c r="E45">
        <v>1.912516568831665E-2</v>
      </c>
      <c r="F45">
        <v>42</v>
      </c>
      <c r="G45">
        <f ca="1">_xlfn.NORM.INV(RAND(),$M$7,$M$8)</f>
        <v>-2.3490147651774981E-3</v>
      </c>
    </row>
    <row r="46" spans="2:7" x14ac:dyDescent="0.25">
      <c r="B46" s="258">
        <v>45502</v>
      </c>
      <c r="C46">
        <v>331.6</v>
      </c>
      <c r="D46">
        <f>(C46-C47)/C47</f>
        <v>-3.9050765995793171E-3</v>
      </c>
      <c r="E46">
        <v>1.8267784225231034E-2</v>
      </c>
      <c r="F46">
        <v>43</v>
      </c>
      <c r="G46">
        <f ca="1">_xlfn.NORM.INV(RAND(),$M$7,$M$8)</f>
        <v>-9.585133032543481E-3</v>
      </c>
    </row>
    <row r="47" spans="2:7" x14ac:dyDescent="0.25">
      <c r="B47" s="258">
        <v>45503</v>
      </c>
      <c r="C47">
        <v>332.9</v>
      </c>
      <c r="D47">
        <f>(C47-C48)/C48</f>
        <v>3.0129557095510697E-3</v>
      </c>
      <c r="E47">
        <v>1.8054338299736992E-2</v>
      </c>
      <c r="F47">
        <v>44</v>
      </c>
      <c r="G47">
        <f ca="1">_xlfn.NORM.INV(RAND(),$M$7,$M$8)</f>
        <v>6.8720449176690093E-3</v>
      </c>
    </row>
    <row r="48" spans="2:7" x14ac:dyDescent="0.25">
      <c r="B48" s="258">
        <v>45504</v>
      </c>
      <c r="C48">
        <v>331.9</v>
      </c>
      <c r="D48">
        <f>(C48-C49)/C49</f>
        <v>-6.8821065230401301E-3</v>
      </c>
      <c r="E48">
        <v>1.7809403994338623E-2</v>
      </c>
      <c r="F48">
        <v>45</v>
      </c>
      <c r="G48">
        <f ca="1">_xlfn.NORM.INV(RAND(),$M$7,$M$8)</f>
        <v>-1.9631770047867425E-2</v>
      </c>
    </row>
    <row r="49" spans="2:7" x14ac:dyDescent="0.25">
      <c r="B49" s="258">
        <v>45505</v>
      </c>
      <c r="C49">
        <v>334.2</v>
      </c>
      <c r="D49">
        <f>(C49-C50)/C50</f>
        <v>-2.2092172640819346E-2</v>
      </c>
      <c r="E49">
        <v>1.7784963621665342E-2</v>
      </c>
      <c r="F49">
        <v>46</v>
      </c>
      <c r="G49">
        <f ca="1">_xlfn.NORM.INV(RAND(),$M$7,$M$8)</f>
        <v>-1.6813226950272042E-2</v>
      </c>
    </row>
    <row r="50" spans="2:7" x14ac:dyDescent="0.25">
      <c r="B50" s="258">
        <v>45506</v>
      </c>
      <c r="C50">
        <v>341.75</v>
      </c>
      <c r="D50">
        <f>(C50-C51)/C51</f>
        <v>3.529233565586179E-2</v>
      </c>
      <c r="E50">
        <v>1.7642140468227419E-2</v>
      </c>
      <c r="F50">
        <v>47</v>
      </c>
      <c r="G50">
        <f ca="1">_xlfn.NORM.INV(RAND(),$M$7,$M$8)</f>
        <v>-8.5827030089184464E-3</v>
      </c>
    </row>
    <row r="51" spans="2:7" x14ac:dyDescent="0.25">
      <c r="B51" s="258">
        <v>45509</v>
      </c>
      <c r="C51">
        <v>330.1</v>
      </c>
      <c r="D51">
        <f>(C51-C52)/C52</f>
        <v>6.3980660757453733E-2</v>
      </c>
      <c r="E51">
        <v>1.7157712305025958E-2</v>
      </c>
      <c r="F51">
        <v>48</v>
      </c>
      <c r="G51">
        <f ca="1">_xlfn.NORM.INV(RAND(),$M$7,$M$8)</f>
        <v>-1.882743151777513E-2</v>
      </c>
    </row>
    <row r="52" spans="2:7" x14ac:dyDescent="0.25">
      <c r="B52" s="258">
        <v>45510</v>
      </c>
      <c r="C52">
        <v>310.25</v>
      </c>
      <c r="D52">
        <f>(C52-C53)/C53</f>
        <v>1.3557660895132235E-2</v>
      </c>
      <c r="E52">
        <v>1.7089996864220903E-2</v>
      </c>
      <c r="F52">
        <v>49</v>
      </c>
      <c r="G52">
        <f ca="1">_xlfn.NORM.INV(RAND(),$M$7,$M$8)</f>
        <v>4.107614254777959E-3</v>
      </c>
    </row>
    <row r="53" spans="2:7" x14ac:dyDescent="0.25">
      <c r="B53" s="258">
        <v>45511</v>
      </c>
      <c r="C53">
        <v>306.10000000000002</v>
      </c>
      <c r="D53">
        <f>(C53-C54)/C54</f>
        <v>-6.9887572166514728E-2</v>
      </c>
      <c r="E53">
        <v>1.6076213158678281E-2</v>
      </c>
      <c r="F53">
        <v>50</v>
      </c>
      <c r="G53">
        <f ca="1">_xlfn.NORM.INV(RAND(),$M$7,$M$8)</f>
        <v>-2.6249136257543743E-2</v>
      </c>
    </row>
    <row r="54" spans="2:7" x14ac:dyDescent="0.25">
      <c r="B54" s="258">
        <v>45512</v>
      </c>
      <c r="C54">
        <v>329.1</v>
      </c>
      <c r="D54">
        <f>(C54-C55)/C55</f>
        <v>1.9832661915091521E-2</v>
      </c>
      <c r="E54">
        <v>1.575280218115719E-2</v>
      </c>
      <c r="F54">
        <v>51</v>
      </c>
      <c r="G54">
        <f ca="1">_xlfn.NORM.INV(RAND(),$M$7,$M$8)</f>
        <v>1.4995797069558496E-2</v>
      </c>
    </row>
    <row r="55" spans="2:7" x14ac:dyDescent="0.25">
      <c r="B55" s="258">
        <v>45513</v>
      </c>
      <c r="C55">
        <v>322.7</v>
      </c>
      <c r="D55">
        <f>(C55-C56)/C56</f>
        <v>-2.9619606074274614E-2</v>
      </c>
      <c r="E55">
        <v>1.5650893021542992E-2</v>
      </c>
      <c r="F55">
        <v>52</v>
      </c>
      <c r="G55">
        <f ca="1">_xlfn.NORM.INV(RAND(),$M$7,$M$8)</f>
        <v>-7.9663694953583438E-3</v>
      </c>
    </row>
    <row r="56" spans="2:7" x14ac:dyDescent="0.25">
      <c r="B56" s="258">
        <v>45516</v>
      </c>
      <c r="C56">
        <v>332.55</v>
      </c>
      <c r="D56">
        <f>(C56-C57)/C57</f>
        <v>-2.5637269264576618E-2</v>
      </c>
      <c r="E56">
        <v>1.4647415777359282E-2</v>
      </c>
      <c r="F56">
        <v>53</v>
      </c>
      <c r="G56">
        <f ca="1">_xlfn.NORM.INV(RAND(),$M$7,$M$8)</f>
        <v>-2.3328266432309151E-2</v>
      </c>
    </row>
    <row r="57" spans="2:7" x14ac:dyDescent="0.25">
      <c r="B57" s="258">
        <v>45517</v>
      </c>
      <c r="C57">
        <v>341.3</v>
      </c>
      <c r="D57">
        <f>(C57-C58)/C58</f>
        <v>1.6076213158678281E-2</v>
      </c>
      <c r="E57">
        <v>1.4634986225895317E-2</v>
      </c>
      <c r="F57">
        <v>54</v>
      </c>
      <c r="G57">
        <f ca="1">_xlfn.NORM.INV(RAND(),$M$7,$M$8)</f>
        <v>3.8513288125588817E-2</v>
      </c>
    </row>
    <row r="58" spans="2:7" x14ac:dyDescent="0.25">
      <c r="B58" s="258">
        <v>45518</v>
      </c>
      <c r="C58">
        <v>335.9</v>
      </c>
      <c r="D58">
        <f>(C58-C59)/C59</f>
        <v>2.3617248209660217E-2</v>
      </c>
      <c r="E58">
        <v>1.4517345399698428E-2</v>
      </c>
      <c r="F58">
        <v>55</v>
      </c>
      <c r="G58">
        <f ca="1">_xlfn.NORM.INV(RAND(),$M$7,$M$8)</f>
        <v>3.0628273608827025E-2</v>
      </c>
    </row>
    <row r="59" spans="2:7" x14ac:dyDescent="0.25">
      <c r="B59" s="258">
        <v>45520</v>
      </c>
      <c r="C59">
        <v>328.15</v>
      </c>
      <c r="D59">
        <f>(C59-C60)/C60</f>
        <v>-4.3992718446603319E-3</v>
      </c>
      <c r="E59">
        <v>1.4355948869223116E-2</v>
      </c>
      <c r="F59">
        <v>56</v>
      </c>
      <c r="G59">
        <f ca="1">_xlfn.NORM.INV(RAND(),$M$7,$M$8)</f>
        <v>1.428371492388625E-2</v>
      </c>
    </row>
    <row r="60" spans="2:7" x14ac:dyDescent="0.25">
      <c r="B60" s="258">
        <v>45523</v>
      </c>
      <c r="C60">
        <v>329.6</v>
      </c>
      <c r="D60">
        <f>(C60-C61)/C61</f>
        <v>-1.6999701759618218E-2</v>
      </c>
      <c r="E60">
        <v>1.4254603048901072E-2</v>
      </c>
      <c r="F60">
        <v>57</v>
      </c>
      <c r="G60">
        <f ca="1">_xlfn.NORM.INV(RAND(),$M$7,$M$8)</f>
        <v>1.9201811296542255E-2</v>
      </c>
    </row>
    <row r="61" spans="2:7" x14ac:dyDescent="0.25">
      <c r="B61" s="258">
        <v>45524</v>
      </c>
      <c r="C61">
        <v>335.3</v>
      </c>
      <c r="D61">
        <f>(C61-C62)/C62</f>
        <v>1.575280218115719E-2</v>
      </c>
      <c r="E61">
        <v>1.4140987758547887E-2</v>
      </c>
      <c r="F61">
        <v>58</v>
      </c>
      <c r="G61">
        <f ca="1">_xlfn.NORM.INV(RAND(),$M$7,$M$8)</f>
        <v>2.2898952512944524E-2</v>
      </c>
    </row>
    <row r="62" spans="2:7" x14ac:dyDescent="0.25">
      <c r="B62" s="258">
        <v>45525</v>
      </c>
      <c r="C62">
        <v>330.1</v>
      </c>
      <c r="D62">
        <f>(C62-C63)/C63</f>
        <v>7.3237717424474644E-3</v>
      </c>
      <c r="E62">
        <v>1.3948497854077289E-2</v>
      </c>
      <c r="F62">
        <v>59</v>
      </c>
      <c r="G62">
        <f ca="1">_xlfn.NORM.INV(RAND(),$M$7,$M$8)</f>
        <v>-8.8867491720197259E-3</v>
      </c>
    </row>
    <row r="63" spans="2:7" x14ac:dyDescent="0.25">
      <c r="B63" s="258">
        <v>45526</v>
      </c>
      <c r="C63">
        <v>327.7</v>
      </c>
      <c r="D63">
        <f>(C63-C64)/C64</f>
        <v>1.032834900570361E-2</v>
      </c>
      <c r="E63">
        <v>1.3557660895132235E-2</v>
      </c>
      <c r="F63">
        <v>60</v>
      </c>
      <c r="G63">
        <f ca="1">_xlfn.NORM.INV(RAND(),$M$7,$M$8)</f>
        <v>-3.2743084639937414E-2</v>
      </c>
    </row>
    <row r="64" spans="2:7" x14ac:dyDescent="0.25">
      <c r="B64" s="258">
        <v>45527</v>
      </c>
      <c r="C64">
        <v>324.35000000000002</v>
      </c>
      <c r="D64">
        <f>(C64-C65)/C65</f>
        <v>1.7089996864220903E-2</v>
      </c>
      <c r="E64">
        <v>1.3494318181818019E-2</v>
      </c>
      <c r="F64">
        <v>61</v>
      </c>
      <c r="G64">
        <f ca="1">_xlfn.NORM.INV(RAND(),$M$7,$M$8)</f>
        <v>7.2055799988337971E-3</v>
      </c>
    </row>
    <row r="65" spans="2:7" x14ac:dyDescent="0.25">
      <c r="B65" s="258">
        <v>45530</v>
      </c>
      <c r="C65">
        <v>318.89999999999998</v>
      </c>
      <c r="D65">
        <f>(C65-C66)/C66</f>
        <v>-2.7299069696507687E-2</v>
      </c>
      <c r="E65">
        <v>1.3393528969149745E-2</v>
      </c>
      <c r="F65">
        <v>62</v>
      </c>
      <c r="G65">
        <f ca="1">_xlfn.NORM.INV(RAND(),$M$7,$M$8)</f>
        <v>-2.9079811564667452E-2</v>
      </c>
    </row>
    <row r="66" spans="2:7" x14ac:dyDescent="0.25">
      <c r="B66" s="258">
        <v>45531</v>
      </c>
      <c r="C66">
        <v>327.85</v>
      </c>
      <c r="D66">
        <f>(C66-C67)/C67</f>
        <v>-3.0409001064315034E-3</v>
      </c>
      <c r="E66">
        <v>1.3311488838828588E-2</v>
      </c>
      <c r="F66">
        <v>63</v>
      </c>
      <c r="G66">
        <f ca="1">_xlfn.NORM.INV(RAND(),$M$7,$M$8)</f>
        <v>-3.9054952743868463E-3</v>
      </c>
    </row>
    <row r="67" spans="2:7" x14ac:dyDescent="0.25">
      <c r="B67" s="258">
        <v>45532</v>
      </c>
      <c r="C67">
        <v>328.85</v>
      </c>
      <c r="D67">
        <f>(C67-C68)/C68</f>
        <v>3.2031726662599493E-3</v>
      </c>
      <c r="E67">
        <v>1.2803363271546046E-2</v>
      </c>
      <c r="F67">
        <v>64</v>
      </c>
      <c r="G67">
        <f ca="1">_xlfn.NORM.INV(RAND(),$M$7,$M$8)</f>
        <v>-8.2794678233868747E-3</v>
      </c>
    </row>
    <row r="68" spans="2:7" x14ac:dyDescent="0.25">
      <c r="B68" s="258">
        <v>45533</v>
      </c>
      <c r="C68">
        <v>327.8</v>
      </c>
      <c r="D68">
        <f>(C68-C69)/C69</f>
        <v>-5.4611650485437233E-3</v>
      </c>
      <c r="E68">
        <v>1.2665862484921558E-2</v>
      </c>
      <c r="F68">
        <v>65</v>
      </c>
      <c r="G68">
        <f ca="1">_xlfn.NORM.INV(RAND(),$M$7,$M$8)</f>
        <v>-2.9893009090885617E-2</v>
      </c>
    </row>
    <row r="69" spans="2:7" x14ac:dyDescent="0.25">
      <c r="B69" s="258">
        <v>45534</v>
      </c>
      <c r="C69">
        <v>329.6</v>
      </c>
      <c r="D69">
        <f>(C69-C70)/C70</f>
        <v>-3.4769463340891225E-3</v>
      </c>
      <c r="E69">
        <v>1.2414649286157667E-2</v>
      </c>
      <c r="F69">
        <v>66</v>
      </c>
      <c r="G69">
        <f ca="1">_xlfn.NORM.INV(RAND(),$M$7,$M$8)</f>
        <v>4.091271801832707E-2</v>
      </c>
    </row>
    <row r="70" spans="2:7" x14ac:dyDescent="0.25">
      <c r="B70" s="258">
        <v>45537</v>
      </c>
      <c r="C70">
        <v>330.75</v>
      </c>
      <c r="D70">
        <f>(C70-C71)/C71</f>
        <v>1.3948497854077289E-2</v>
      </c>
      <c r="E70">
        <v>1.2341168351398497E-2</v>
      </c>
      <c r="F70">
        <v>67</v>
      </c>
      <c r="G70">
        <f ca="1">_xlfn.NORM.INV(RAND(),$M$7,$M$8)</f>
        <v>-8.0060762252995212E-3</v>
      </c>
    </row>
    <row r="71" spans="2:7" x14ac:dyDescent="0.25">
      <c r="B71" s="258">
        <v>45538</v>
      </c>
      <c r="C71">
        <v>326.2</v>
      </c>
      <c r="D71">
        <f>(C71-C72)/C72</f>
        <v>1.2414649286157667E-2</v>
      </c>
      <c r="E71">
        <v>1.2212905577834363E-2</v>
      </c>
      <c r="F71">
        <v>68</v>
      </c>
      <c r="G71">
        <f ca="1">_xlfn.NORM.INV(RAND(),$M$7,$M$8)</f>
        <v>-4.5384326086944829E-2</v>
      </c>
    </row>
    <row r="72" spans="2:7" x14ac:dyDescent="0.25">
      <c r="B72" s="258">
        <v>45539</v>
      </c>
      <c r="C72">
        <v>322.2</v>
      </c>
      <c r="D72">
        <f>(C72-C73)/C73</f>
        <v>2.4809160305343549E-2</v>
      </c>
      <c r="E72">
        <v>1.1859346491955605E-2</v>
      </c>
      <c r="F72">
        <v>69</v>
      </c>
      <c r="G72">
        <f ca="1">_xlfn.NORM.INV(RAND(),$M$7,$M$8)</f>
        <v>2.6202222645465817E-2</v>
      </c>
    </row>
    <row r="73" spans="2:7" x14ac:dyDescent="0.25">
      <c r="B73" s="258">
        <v>45540</v>
      </c>
      <c r="C73">
        <v>314.39999999999998</v>
      </c>
      <c r="D73">
        <f>(C73-C74)/C74</f>
        <v>9.6339113680154152E-3</v>
      </c>
      <c r="E73">
        <v>1.1856368563685637E-2</v>
      </c>
      <c r="F73">
        <v>70</v>
      </c>
      <c r="G73">
        <f ca="1">_xlfn.NORM.INV(RAND(),$M$7,$M$8)</f>
        <v>-5.0420141765158827E-3</v>
      </c>
    </row>
    <row r="74" spans="2:7" x14ac:dyDescent="0.25">
      <c r="B74" s="258">
        <v>45541</v>
      </c>
      <c r="C74">
        <v>311.39999999999998</v>
      </c>
      <c r="D74">
        <f>(C74-C75)/C75</f>
        <v>8.4196891191708739E-3</v>
      </c>
      <c r="E74">
        <v>1.1228295304166431E-2</v>
      </c>
      <c r="F74">
        <v>71</v>
      </c>
      <c r="G74">
        <f ca="1">_xlfn.NORM.INV(RAND(),$M$7,$M$8)</f>
        <v>-7.5898774655347358E-3</v>
      </c>
    </row>
    <row r="75" spans="2:7" x14ac:dyDescent="0.25">
      <c r="B75" s="258">
        <v>45544</v>
      </c>
      <c r="C75">
        <v>308.8</v>
      </c>
      <c r="D75">
        <f>(C75-C76)/C76</f>
        <v>3.3121445299431368E-2</v>
      </c>
      <c r="E75">
        <v>1.1163734776725149E-2</v>
      </c>
      <c r="F75">
        <v>72</v>
      </c>
      <c r="G75">
        <f ca="1">_xlfn.NORM.INV(RAND(),$M$7,$M$8)</f>
        <v>1.1480235739925507E-3</v>
      </c>
    </row>
    <row r="76" spans="2:7" x14ac:dyDescent="0.25">
      <c r="B76" s="258">
        <v>45545</v>
      </c>
      <c r="C76">
        <v>298.89999999999998</v>
      </c>
      <c r="D76">
        <f>(C76-C77)/C77</f>
        <v>1.1163734776725149E-2</v>
      </c>
      <c r="E76">
        <v>1.0861423220973698E-2</v>
      </c>
      <c r="F76">
        <v>73</v>
      </c>
      <c r="G76">
        <f ca="1">_xlfn.NORM.INV(RAND(),$M$7,$M$8)</f>
        <v>-2.0627319294193335E-3</v>
      </c>
    </row>
    <row r="77" spans="2:7" x14ac:dyDescent="0.25">
      <c r="B77" s="258">
        <v>45546</v>
      </c>
      <c r="C77">
        <v>295.60000000000002</v>
      </c>
      <c r="D77">
        <f>(C77-C78)/C78</f>
        <v>3.6102348405187563E-2</v>
      </c>
      <c r="E77">
        <v>1.0685483870967764E-2</v>
      </c>
      <c r="F77">
        <v>74</v>
      </c>
      <c r="G77">
        <f ca="1">_xlfn.NORM.INV(RAND(),$M$7,$M$8)</f>
        <v>-2.7309889649662802E-3</v>
      </c>
    </row>
    <row r="78" spans="2:7" x14ac:dyDescent="0.25">
      <c r="B78" s="258">
        <v>45547</v>
      </c>
      <c r="C78">
        <v>285.3</v>
      </c>
      <c r="D78">
        <f>(C78-C79)/C79</f>
        <v>-2.9756844074137052E-2</v>
      </c>
      <c r="E78">
        <v>1.055397964291674E-2</v>
      </c>
      <c r="F78">
        <v>75</v>
      </c>
      <c r="G78">
        <f ca="1">_xlfn.NORM.INV(RAND(),$M$7,$M$8)</f>
        <v>-2.4562554068121356E-2</v>
      </c>
    </row>
    <row r="79" spans="2:7" x14ac:dyDescent="0.25">
      <c r="B79" s="258">
        <v>45548</v>
      </c>
      <c r="C79">
        <v>294.05</v>
      </c>
      <c r="D79">
        <f>(C79-C80)/C80</f>
        <v>8.920912677989442E-3</v>
      </c>
      <c r="E79">
        <v>1.0427750585230973E-2</v>
      </c>
      <c r="F79">
        <v>76</v>
      </c>
      <c r="G79">
        <f ca="1">_xlfn.NORM.INV(RAND(),$M$7,$M$8)</f>
        <v>5.7601688310180404E-3</v>
      </c>
    </row>
    <row r="80" spans="2:7" x14ac:dyDescent="0.25">
      <c r="B80" s="258">
        <v>45551</v>
      </c>
      <c r="C80">
        <v>291.45</v>
      </c>
      <c r="D80">
        <f>(C80-C81)/C81</f>
        <v>-3.5897435897436288E-3</v>
      </c>
      <c r="E80">
        <v>1.0338680926916191E-2</v>
      </c>
      <c r="F80">
        <v>77</v>
      </c>
      <c r="G80">
        <f ca="1">_xlfn.NORM.INV(RAND(),$M$7,$M$8)</f>
        <v>-2.6452908098783749E-2</v>
      </c>
    </row>
    <row r="81" spans="2:7" x14ac:dyDescent="0.25">
      <c r="B81" s="258">
        <v>45552</v>
      </c>
      <c r="C81">
        <v>292.5</v>
      </c>
      <c r="D81">
        <f>(C81-C82)/C82</f>
        <v>-7.2967928050228321E-3</v>
      </c>
      <c r="E81">
        <v>1.032834900570361E-2</v>
      </c>
      <c r="F81">
        <v>78</v>
      </c>
      <c r="G81">
        <f ca="1">_xlfn.NORM.INV(RAND(),$M$7,$M$8)</f>
        <v>-6.201802254089386E-3</v>
      </c>
    </row>
    <row r="82" spans="2:7" x14ac:dyDescent="0.25">
      <c r="B82" s="258">
        <v>45553</v>
      </c>
      <c r="C82">
        <v>294.64999999999998</v>
      </c>
      <c r="D82">
        <f>(C82-C83)/C83</f>
        <v>1.4634986225895317E-2</v>
      </c>
      <c r="E82">
        <v>1.0093315558941067E-2</v>
      </c>
      <c r="F82">
        <v>79</v>
      </c>
      <c r="G82">
        <f ca="1">_xlfn.NORM.INV(RAND(),$M$7,$M$8)</f>
        <v>-2.0782447436771444E-2</v>
      </c>
    </row>
    <row r="83" spans="2:7" x14ac:dyDescent="0.25">
      <c r="B83" s="258">
        <v>45554</v>
      </c>
      <c r="C83">
        <v>290.39999999999998</v>
      </c>
      <c r="D83">
        <f>(C83-C84)/C84</f>
        <v>1.8054338299736992E-2</v>
      </c>
      <c r="E83">
        <v>1.0037394213737498E-2</v>
      </c>
      <c r="F83">
        <v>80</v>
      </c>
      <c r="G83">
        <f ca="1">_xlfn.NORM.INV(RAND(),$M$7,$M$8)</f>
        <v>-1.1907468990015813E-2</v>
      </c>
    </row>
    <row r="84" spans="2:7" x14ac:dyDescent="0.25">
      <c r="B84" s="258">
        <v>45555</v>
      </c>
      <c r="C84">
        <v>285.25</v>
      </c>
      <c r="D84">
        <f>(C84-C85)/C85</f>
        <v>-3.4934497816593887E-3</v>
      </c>
      <c r="E84">
        <v>9.8695805428269702E-3</v>
      </c>
      <c r="F84">
        <v>81</v>
      </c>
      <c r="G84">
        <f ca="1">_xlfn.NORM.INV(RAND(),$M$7,$M$8)</f>
        <v>1.9863533546390279E-2</v>
      </c>
    </row>
    <row r="85" spans="2:7" x14ac:dyDescent="0.25">
      <c r="B85" s="258">
        <v>45558</v>
      </c>
      <c r="C85">
        <v>286.25</v>
      </c>
      <c r="D85">
        <f>(C85-C86)/C86</f>
        <v>-3.1138940599086104E-2</v>
      </c>
      <c r="E85">
        <v>9.729944400317667E-3</v>
      </c>
      <c r="F85">
        <v>82</v>
      </c>
      <c r="G85">
        <f ca="1">_xlfn.NORM.INV(RAND(),$M$7,$M$8)</f>
        <v>3.2692213800871155E-3</v>
      </c>
    </row>
    <row r="86" spans="2:7" x14ac:dyDescent="0.25">
      <c r="B86" s="258">
        <v>45559</v>
      </c>
      <c r="C86">
        <v>295.45</v>
      </c>
      <c r="D86">
        <f>(C86-C87)/C87</f>
        <v>-1.335782267490399E-2</v>
      </c>
      <c r="E86">
        <v>9.7066891749314679E-3</v>
      </c>
      <c r="F86">
        <v>83</v>
      </c>
      <c r="G86">
        <f ca="1">_xlfn.NORM.INV(RAND(),$M$7,$M$8)</f>
        <v>8.1922673214080855E-3</v>
      </c>
    </row>
    <row r="87" spans="2:7" x14ac:dyDescent="0.25">
      <c r="B87" s="258">
        <v>45560</v>
      </c>
      <c r="C87">
        <v>299.45</v>
      </c>
      <c r="D87">
        <f>(C87-C88)/C88</f>
        <v>2.5108804820890528E-3</v>
      </c>
      <c r="E87">
        <v>9.6339113680154152E-3</v>
      </c>
      <c r="F87">
        <v>84</v>
      </c>
      <c r="G87">
        <f ca="1">_xlfn.NORM.INV(RAND(),$M$7,$M$8)</f>
        <v>-6.4001553983487114E-2</v>
      </c>
    </row>
    <row r="88" spans="2:7" x14ac:dyDescent="0.25">
      <c r="B88" s="258">
        <v>45561</v>
      </c>
      <c r="C88">
        <v>298.7</v>
      </c>
      <c r="D88">
        <f>(C88-C89)/C89</f>
        <v>1.1856368563685637E-2</v>
      </c>
      <c r="E88">
        <v>9.5100268761629577E-3</v>
      </c>
      <c r="F88">
        <v>85</v>
      </c>
      <c r="G88">
        <f ca="1">_xlfn.NORM.INV(RAND(),$M$7,$M$8)</f>
        <v>-7.1285024081852461E-3</v>
      </c>
    </row>
    <row r="89" spans="2:7" x14ac:dyDescent="0.25">
      <c r="B89" s="258">
        <v>45562</v>
      </c>
      <c r="C89">
        <v>295.2</v>
      </c>
      <c r="D89">
        <f>(C89-C90)/C90</f>
        <v>-6.7294751009421266E-3</v>
      </c>
      <c r="E89">
        <v>9.2827004219408794E-3</v>
      </c>
      <c r="F89">
        <v>86</v>
      </c>
      <c r="G89">
        <f ca="1">_xlfn.NORM.INV(RAND(),$M$7,$M$8)</f>
        <v>-2.487024852943464E-2</v>
      </c>
    </row>
    <row r="90" spans="2:7" x14ac:dyDescent="0.25">
      <c r="B90" s="258">
        <v>45565</v>
      </c>
      <c r="C90">
        <v>297.2</v>
      </c>
      <c r="D90">
        <f>(C90-C91)/C91</f>
        <v>-1.3440860215054909E-3</v>
      </c>
      <c r="E90">
        <v>9.012322972227288E-3</v>
      </c>
      <c r="F90">
        <v>87</v>
      </c>
      <c r="G90">
        <f ca="1">_xlfn.NORM.INV(RAND(),$M$7,$M$8)</f>
        <v>9.8843476963105074E-3</v>
      </c>
    </row>
    <row r="91" spans="2:7" x14ac:dyDescent="0.25">
      <c r="B91" s="258">
        <v>45566</v>
      </c>
      <c r="C91">
        <v>297.60000000000002</v>
      </c>
      <c r="D91">
        <f>(C91-C92)/C92</f>
        <v>1.9352628874807449E-2</v>
      </c>
      <c r="E91">
        <v>8.920912677989442E-3</v>
      </c>
      <c r="F91">
        <v>88</v>
      </c>
      <c r="G91">
        <f ca="1">_xlfn.NORM.INV(RAND(),$M$7,$M$8)</f>
        <v>-4.6737999293203457E-3</v>
      </c>
    </row>
    <row r="92" spans="2:7" x14ac:dyDescent="0.25">
      <c r="B92" s="258">
        <v>45568</v>
      </c>
      <c r="C92">
        <v>291.95</v>
      </c>
      <c r="D92">
        <f>(C92-C93)/C93</f>
        <v>-3.4240712206821684E-4</v>
      </c>
      <c r="E92">
        <v>8.8897295252504845E-3</v>
      </c>
      <c r="F92">
        <v>89</v>
      </c>
      <c r="G92">
        <f ca="1">_xlfn.NORM.INV(RAND(),$M$7,$M$8)</f>
        <v>1.368699418947235E-2</v>
      </c>
    </row>
    <row r="93" spans="2:7" x14ac:dyDescent="0.25">
      <c r="B93" s="258">
        <v>45569</v>
      </c>
      <c r="C93">
        <v>292.05</v>
      </c>
      <c r="D93">
        <f>(C93-C94)/C94</f>
        <v>-1.083827265029632E-2</v>
      </c>
      <c r="E93">
        <v>8.658008658008658E-3</v>
      </c>
      <c r="F93">
        <v>90</v>
      </c>
      <c r="G93">
        <f ca="1">_xlfn.NORM.INV(RAND(),$M$7,$M$8)</f>
        <v>-3.1157434398002903E-2</v>
      </c>
    </row>
    <row r="94" spans="2:7" x14ac:dyDescent="0.25">
      <c r="B94" s="258">
        <v>45572</v>
      </c>
      <c r="C94">
        <v>295.25</v>
      </c>
      <c r="D94">
        <f>(C94-C95)/C95</f>
        <v>2.0038003109345351E-2</v>
      </c>
      <c r="E94">
        <v>8.4824541017894401E-3</v>
      </c>
      <c r="F94">
        <v>91</v>
      </c>
      <c r="G94">
        <f ca="1">_xlfn.NORM.INV(RAND(),$M$7,$M$8)</f>
        <v>-3.6371865515482167E-2</v>
      </c>
    </row>
    <row r="95" spans="2:7" x14ac:dyDescent="0.25">
      <c r="B95" s="258">
        <v>45573</v>
      </c>
      <c r="C95">
        <v>289.45</v>
      </c>
      <c r="D95">
        <f>(C95-C96)/C96</f>
        <v>-1.3630942238882263E-2</v>
      </c>
      <c r="E95">
        <v>8.4445874215859501E-3</v>
      </c>
      <c r="F95">
        <v>92</v>
      </c>
      <c r="G95">
        <f ca="1">_xlfn.NORM.INV(RAND(),$M$7,$M$8)</f>
        <v>2.5300106430623023E-3</v>
      </c>
    </row>
    <row r="96" spans="2:7" x14ac:dyDescent="0.25">
      <c r="B96" s="258">
        <v>45574</v>
      </c>
      <c r="C96">
        <v>293.45</v>
      </c>
      <c r="D96">
        <f>(C96-C97)/C97</f>
        <v>1.7157712305025958E-2</v>
      </c>
      <c r="E96">
        <v>8.4196891191708739E-3</v>
      </c>
      <c r="F96">
        <v>93</v>
      </c>
      <c r="G96">
        <f ca="1">_xlfn.NORM.INV(RAND(),$M$7,$M$8)</f>
        <v>4.9557404749862935E-3</v>
      </c>
    </row>
    <row r="97" spans="2:7" x14ac:dyDescent="0.25">
      <c r="B97" s="258">
        <v>45575</v>
      </c>
      <c r="C97">
        <v>288.5</v>
      </c>
      <c r="D97">
        <f>(C97-C98)/C98</f>
        <v>-8.658008658008658E-4</v>
      </c>
      <c r="E97">
        <v>8.3368070029178828E-3</v>
      </c>
      <c r="F97">
        <v>94</v>
      </c>
      <c r="G97">
        <f ca="1">_xlfn.NORM.INV(RAND(),$M$7,$M$8)</f>
        <v>-5.5154719515529589E-3</v>
      </c>
    </row>
    <row r="98" spans="2:7" x14ac:dyDescent="0.25">
      <c r="B98" s="258">
        <v>45576</v>
      </c>
      <c r="C98">
        <v>288.75</v>
      </c>
      <c r="D98">
        <f>(C98-C99)/C99</f>
        <v>-1.2989232609810327E-2</v>
      </c>
      <c r="E98">
        <v>8.3267248215702725E-3</v>
      </c>
      <c r="F98">
        <v>95</v>
      </c>
      <c r="G98">
        <f ca="1">_xlfn.NORM.INV(RAND(),$M$7,$M$8)</f>
        <v>8.3070793847613983E-3</v>
      </c>
    </row>
    <row r="99" spans="2:7" x14ac:dyDescent="0.25">
      <c r="B99" s="258">
        <v>45579</v>
      </c>
      <c r="C99">
        <v>292.55</v>
      </c>
      <c r="D99">
        <f>(C99-C100)/C100</f>
        <v>2.1116928446771419E-2</v>
      </c>
      <c r="E99">
        <v>8.1587242722048793E-3</v>
      </c>
      <c r="F99">
        <v>96</v>
      </c>
      <c r="G99">
        <f ca="1">_xlfn.NORM.INV(RAND(),$M$7,$M$8)</f>
        <v>2.0769460219706784E-2</v>
      </c>
    </row>
    <row r="100" spans="2:7" x14ac:dyDescent="0.25">
      <c r="B100" s="258">
        <v>45580</v>
      </c>
      <c r="C100">
        <v>286.5</v>
      </c>
      <c r="D100">
        <f>(C100-C101)/C101</f>
        <v>9.8695805428269702E-3</v>
      </c>
      <c r="E100">
        <v>8.0716764872063931E-3</v>
      </c>
      <c r="F100">
        <v>97</v>
      </c>
      <c r="G100">
        <f ca="1">_xlfn.NORM.INV(RAND(),$M$7,$M$8)</f>
        <v>-3.7393682875221184E-3</v>
      </c>
    </row>
    <row r="101" spans="2:7" x14ac:dyDescent="0.25">
      <c r="B101" s="258">
        <v>45581</v>
      </c>
      <c r="C101">
        <v>283.7</v>
      </c>
      <c r="D101">
        <f>(C101-C102)/C102</f>
        <v>-5.9565522074281315E-3</v>
      </c>
      <c r="E101">
        <v>7.9514542791379195E-3</v>
      </c>
      <c r="F101">
        <v>98</v>
      </c>
      <c r="G101">
        <f ca="1">_xlfn.NORM.INV(RAND(),$M$7,$M$8)</f>
        <v>2.9694498894752328E-2</v>
      </c>
    </row>
    <row r="102" spans="2:7" x14ac:dyDescent="0.25">
      <c r="B102" s="258">
        <v>45582</v>
      </c>
      <c r="C102">
        <v>285.39999999999998</v>
      </c>
      <c r="D102">
        <f>(C102-C103)/C103</f>
        <v>1.3494318181818019E-2</v>
      </c>
      <c r="E102">
        <v>7.7851304009342167E-3</v>
      </c>
      <c r="F102">
        <v>99</v>
      </c>
      <c r="G102">
        <f ca="1">_xlfn.NORM.INV(RAND(),$M$7,$M$8)</f>
        <v>-5.9820699095691002E-3</v>
      </c>
    </row>
    <row r="103" spans="2:7" x14ac:dyDescent="0.25">
      <c r="B103" s="258">
        <v>45583</v>
      </c>
      <c r="C103">
        <v>281.60000000000002</v>
      </c>
      <c r="D103">
        <f>(C103-C104)/C104</f>
        <v>-6.0007059654076543E-3</v>
      </c>
      <c r="E103">
        <v>7.3237717424474644E-3</v>
      </c>
      <c r="F103">
        <v>100</v>
      </c>
      <c r="G103">
        <f ca="1">_xlfn.NORM.INV(RAND(),$M$7,$M$8)</f>
        <v>2.2327821048291598E-2</v>
      </c>
    </row>
    <row r="104" spans="2:7" x14ac:dyDescent="0.25">
      <c r="B104" s="258">
        <v>45586</v>
      </c>
      <c r="C104">
        <v>283.3</v>
      </c>
      <c r="D104">
        <f>(C104-C105)/C105</f>
        <v>2.422270426608817E-2</v>
      </c>
      <c r="E104">
        <v>6.9776714513556616E-3</v>
      </c>
      <c r="F104">
        <v>101</v>
      </c>
      <c r="G104">
        <f ca="1">_xlfn.NORM.INV(RAND(),$M$7,$M$8)</f>
        <v>2.7960560642873184E-3</v>
      </c>
    </row>
    <row r="105" spans="2:7" x14ac:dyDescent="0.25">
      <c r="B105" s="258">
        <v>45587</v>
      </c>
      <c r="C105">
        <v>276.60000000000002</v>
      </c>
      <c r="D105">
        <f>(C105-C106)/C106</f>
        <v>2.1418020679468283E-2</v>
      </c>
      <c r="E105">
        <v>6.6275326642681312E-3</v>
      </c>
      <c r="F105">
        <v>102</v>
      </c>
      <c r="G105">
        <f ca="1">_xlfn.NORM.INV(RAND(),$M$7,$M$8)</f>
        <v>-2.7013296353912135E-2</v>
      </c>
    </row>
    <row r="106" spans="2:7" x14ac:dyDescent="0.25">
      <c r="B106" s="258">
        <v>45588</v>
      </c>
      <c r="C106">
        <v>270.8</v>
      </c>
      <c r="D106">
        <f>(C106-C107)/C107</f>
        <v>-1.8460402436777318E-4</v>
      </c>
      <c r="E106">
        <v>6.5290648694186302E-3</v>
      </c>
      <c r="F106">
        <v>103</v>
      </c>
      <c r="G106">
        <f ca="1">_xlfn.NORM.INV(RAND(),$M$7,$M$8)</f>
        <v>4.3669365365170548E-2</v>
      </c>
    </row>
    <row r="107" spans="2:7" x14ac:dyDescent="0.25">
      <c r="B107" s="258">
        <v>45589</v>
      </c>
      <c r="C107">
        <v>270.85000000000002</v>
      </c>
      <c r="D107">
        <f>(C107-C108)/C108</f>
        <v>6.5031586770717201E-3</v>
      </c>
      <c r="E107">
        <v>6.5221878224974716E-3</v>
      </c>
      <c r="F107">
        <v>104</v>
      </c>
      <c r="G107">
        <f ca="1">_xlfn.NORM.INV(RAND(),$M$7,$M$8)</f>
        <v>-2.67272308063639E-2</v>
      </c>
    </row>
    <row r="108" spans="2:7" x14ac:dyDescent="0.25">
      <c r="B108" s="258">
        <v>45590</v>
      </c>
      <c r="C108">
        <v>269.10000000000002</v>
      </c>
      <c r="D108">
        <f>(C108-C109)/C109</f>
        <v>1.912516568831665E-2</v>
      </c>
      <c r="E108">
        <v>6.5031586770717201E-3</v>
      </c>
      <c r="F108">
        <v>105</v>
      </c>
      <c r="G108">
        <f ca="1">_xlfn.NORM.INV(RAND(),$M$7,$M$8)</f>
        <v>-3.4500860095152755E-2</v>
      </c>
    </row>
    <row r="109" spans="2:7" x14ac:dyDescent="0.25">
      <c r="B109" s="258">
        <v>45593</v>
      </c>
      <c r="C109">
        <v>264.05</v>
      </c>
      <c r="D109">
        <f>(C109-C110)/C110</f>
        <v>2.6580596164799261E-3</v>
      </c>
      <c r="E109">
        <v>6.3291139240507638E-3</v>
      </c>
      <c r="F109">
        <v>106</v>
      </c>
      <c r="G109">
        <f ca="1">_xlfn.NORM.INV(RAND(),$M$7,$M$8)</f>
        <v>-1.5143386907958412E-2</v>
      </c>
    </row>
    <row r="110" spans="2:7" x14ac:dyDescent="0.25">
      <c r="B110" s="258">
        <v>45594</v>
      </c>
      <c r="C110">
        <v>263.35000000000002</v>
      </c>
      <c r="D110">
        <f>(C110-C111)/C111</f>
        <v>-6.226415094339537E-3</v>
      </c>
      <c r="E110">
        <v>5.7939914163089882E-3</v>
      </c>
      <c r="F110">
        <v>107</v>
      </c>
      <c r="G110">
        <f ca="1">_xlfn.NORM.INV(RAND(),$M$7,$M$8)</f>
        <v>-4.8099972840182567E-2</v>
      </c>
    </row>
    <row r="111" spans="2:7" x14ac:dyDescent="0.25">
      <c r="B111" s="258">
        <v>45595</v>
      </c>
      <c r="C111">
        <v>265</v>
      </c>
      <c r="D111">
        <f>(C111-C112)/C112</f>
        <v>1.2803363271546046E-2</v>
      </c>
      <c r="E111">
        <v>5.7152462598755709E-3</v>
      </c>
      <c r="F111">
        <v>108</v>
      </c>
      <c r="G111">
        <f ca="1">_xlfn.NORM.INV(RAND(),$M$7,$M$8)</f>
        <v>1.0829424745575371E-2</v>
      </c>
    </row>
    <row r="112" spans="2:7" x14ac:dyDescent="0.25">
      <c r="B112" s="258">
        <v>45596</v>
      </c>
      <c r="C112">
        <v>261.64999999999998</v>
      </c>
      <c r="D112">
        <f>(C112-C113)/C113</f>
        <v>-1.690775878264137E-2</v>
      </c>
      <c r="E112">
        <v>5.031703824913145E-3</v>
      </c>
      <c r="F112">
        <v>109</v>
      </c>
      <c r="G112">
        <f ca="1">_xlfn.NORM.INV(RAND(),$M$7,$M$8)</f>
        <v>2.6739439088233848E-2</v>
      </c>
    </row>
    <row r="113" spans="2:7" x14ac:dyDescent="0.25">
      <c r="B113" s="258">
        <v>45597</v>
      </c>
      <c r="C113">
        <v>266.14999999999998</v>
      </c>
      <c r="D113">
        <f>(C113-C114)/C114</f>
        <v>-2.0607175712971566E-2</v>
      </c>
      <c r="E113">
        <v>4.8234613158402474E-3</v>
      </c>
      <c r="F113">
        <v>110</v>
      </c>
      <c r="G113">
        <f ca="1">_xlfn.NORM.INV(RAND(),$M$7,$M$8)</f>
        <v>-1.0162129258609589E-2</v>
      </c>
    </row>
    <row r="114" spans="2:7" x14ac:dyDescent="0.25">
      <c r="B114" s="258">
        <v>45600</v>
      </c>
      <c r="C114">
        <v>271.75</v>
      </c>
      <c r="D114">
        <f>(C114-C115)/C115</f>
        <v>2.4312099509988649E-2</v>
      </c>
      <c r="E114">
        <v>4.8067679292443759E-3</v>
      </c>
      <c r="F114">
        <v>111</v>
      </c>
      <c r="G114">
        <f ca="1">_xlfn.NORM.INV(RAND(),$M$7,$M$8)</f>
        <v>-8.851770052272008E-3</v>
      </c>
    </row>
    <row r="115" spans="2:7" x14ac:dyDescent="0.25">
      <c r="B115" s="258">
        <v>45601</v>
      </c>
      <c r="C115">
        <v>265.3</v>
      </c>
      <c r="D115">
        <f>(C115-C116)/C116</f>
        <v>-7.8534031413611295E-3</v>
      </c>
      <c r="E115">
        <v>4.5795933321121085E-3</v>
      </c>
      <c r="F115">
        <v>112</v>
      </c>
      <c r="G115">
        <f ca="1">_xlfn.NORM.INV(RAND(),$M$7,$M$8)</f>
        <v>-1.9722381021635444E-2</v>
      </c>
    </row>
    <row r="116" spans="2:7" x14ac:dyDescent="0.25">
      <c r="B116" s="258">
        <v>45602</v>
      </c>
      <c r="C116">
        <v>267.39999999999998</v>
      </c>
      <c r="D116">
        <f>(C116-C117)/C117</f>
        <v>-6.1326890912471064E-3</v>
      </c>
      <c r="E116">
        <v>4.4418694476633224E-3</v>
      </c>
      <c r="F116">
        <v>113</v>
      </c>
      <c r="G116">
        <f ca="1">_xlfn.NORM.INV(RAND(),$M$7,$M$8)</f>
        <v>4.6710105651271419E-3</v>
      </c>
    </row>
    <row r="117" spans="2:7" x14ac:dyDescent="0.25">
      <c r="B117" s="258">
        <v>45603</v>
      </c>
      <c r="C117">
        <v>269.05</v>
      </c>
      <c r="D117">
        <f>(C117-C118)/C118</f>
        <v>1.4517345399698428E-2</v>
      </c>
      <c r="E117">
        <v>4.2313696491660556E-3</v>
      </c>
      <c r="F117">
        <v>114</v>
      </c>
      <c r="G117">
        <f ca="1">_xlfn.NORM.INV(RAND(),$M$7,$M$8)</f>
        <v>4.5113920613584518E-2</v>
      </c>
    </row>
    <row r="118" spans="2:7" x14ac:dyDescent="0.25">
      <c r="B118" s="258">
        <v>45604</v>
      </c>
      <c r="C118">
        <v>265.2</v>
      </c>
      <c r="D118">
        <f>(C118-C119)/C119</f>
        <v>1.0093315558941067E-2</v>
      </c>
      <c r="E118">
        <v>4.1757443718229278E-3</v>
      </c>
      <c r="F118">
        <v>115</v>
      </c>
      <c r="G118">
        <f ca="1">_xlfn.NORM.INV(RAND(),$M$7,$M$8)</f>
        <v>-3.0485188327538732E-2</v>
      </c>
    </row>
    <row r="119" spans="2:7" x14ac:dyDescent="0.25">
      <c r="B119" s="258">
        <v>45607</v>
      </c>
      <c r="C119">
        <v>262.55</v>
      </c>
      <c r="D119">
        <f>(C119-C120)/C120</f>
        <v>2.1992993382639294E-2</v>
      </c>
      <c r="E119">
        <v>3.8015586390420073E-3</v>
      </c>
      <c r="F119">
        <v>116</v>
      </c>
      <c r="G119">
        <f ca="1">_xlfn.NORM.INV(RAND(),$M$7,$M$8)</f>
        <v>-4.8306138713994657E-3</v>
      </c>
    </row>
    <row r="120" spans="2:7" x14ac:dyDescent="0.25">
      <c r="B120" s="258">
        <v>45608</v>
      </c>
      <c r="C120">
        <v>256.89999999999998</v>
      </c>
      <c r="D120">
        <f>(C120-C121)/C121</f>
        <v>2.9279718914698421E-3</v>
      </c>
      <c r="E120">
        <v>3.2031726662599493E-3</v>
      </c>
      <c r="F120">
        <v>117</v>
      </c>
      <c r="G120">
        <f ca="1">_xlfn.NORM.INV(RAND(),$M$7,$M$8)</f>
        <v>9.1785375706669161E-5</v>
      </c>
    </row>
    <row r="121" spans="2:7" x14ac:dyDescent="0.25">
      <c r="B121" s="258">
        <v>45609</v>
      </c>
      <c r="C121">
        <v>256.14999999999998</v>
      </c>
      <c r="D121">
        <f>(C121-C122)/C122</f>
        <v>1.4254603048901072E-2</v>
      </c>
      <c r="E121">
        <v>3.0129557095510697E-3</v>
      </c>
      <c r="F121">
        <v>118</v>
      </c>
      <c r="G121">
        <f ca="1">_xlfn.NORM.INV(RAND(),$M$7,$M$8)</f>
        <v>2.2191716547767991E-2</v>
      </c>
    </row>
    <row r="122" spans="2:7" x14ac:dyDescent="0.25">
      <c r="B122" s="258">
        <v>45610</v>
      </c>
      <c r="C122">
        <v>252.55</v>
      </c>
      <c r="D122">
        <f>(C122-C123)/C123</f>
        <v>6.9776714513556616E-3</v>
      </c>
      <c r="E122">
        <v>2.9279718914698421E-3</v>
      </c>
      <c r="F122">
        <v>119</v>
      </c>
      <c r="G122">
        <f ca="1">_xlfn.NORM.INV(RAND(),$M$7,$M$8)</f>
        <v>2.1000603815543611E-2</v>
      </c>
    </row>
    <row r="123" spans="2:7" x14ac:dyDescent="0.25">
      <c r="B123" s="258">
        <v>45614</v>
      </c>
      <c r="C123">
        <v>250.8</v>
      </c>
      <c r="D123">
        <f>(C123-C124)/C124</f>
        <v>5.984440454817701E-4</v>
      </c>
      <c r="E123">
        <v>2.7982804769243154E-3</v>
      </c>
      <c r="F123">
        <v>120</v>
      </c>
      <c r="G123">
        <f ca="1">_xlfn.NORM.INV(RAND(),$M$7,$M$8)</f>
        <v>-2.3149343077592269E-2</v>
      </c>
    </row>
    <row r="124" spans="2:7" x14ac:dyDescent="0.25">
      <c r="B124" s="258">
        <v>45615</v>
      </c>
      <c r="C124">
        <v>250.65</v>
      </c>
      <c r="D124">
        <f>(C124-C125)/C125</f>
        <v>1.0685483870967764E-2</v>
      </c>
      <c r="E124">
        <v>2.6580596164799261E-3</v>
      </c>
      <c r="F124">
        <v>121</v>
      </c>
      <c r="G124">
        <f ca="1">_xlfn.NORM.INV(RAND(),$M$7,$M$8)</f>
        <v>1.5119964753642766E-2</v>
      </c>
    </row>
    <row r="125" spans="2:7" x14ac:dyDescent="0.25">
      <c r="B125" s="258">
        <v>45617</v>
      </c>
      <c r="C125">
        <v>248</v>
      </c>
      <c r="D125">
        <f>(C125-C126)/C126</f>
        <v>2.4158579392938237E-2</v>
      </c>
      <c r="E125">
        <v>2.5108804820890528E-3</v>
      </c>
      <c r="F125">
        <v>122</v>
      </c>
      <c r="G125">
        <f ca="1">_xlfn.NORM.INV(RAND(),$M$7,$M$8)</f>
        <v>3.7504455554297468E-2</v>
      </c>
    </row>
    <row r="126" spans="2:7" x14ac:dyDescent="0.25">
      <c r="B126" s="258">
        <v>45618</v>
      </c>
      <c r="C126">
        <v>242.15</v>
      </c>
      <c r="D126">
        <f>(C126-C127)/C127</f>
        <v>-1.404723127035826E-2</v>
      </c>
      <c r="E126">
        <v>2.3323146211998718E-3</v>
      </c>
      <c r="F126">
        <v>123</v>
      </c>
      <c r="G126">
        <f ca="1">_xlfn.NORM.INV(RAND(),$M$7,$M$8)</f>
        <v>-6.8253320416674611E-3</v>
      </c>
    </row>
    <row r="127" spans="2:7" x14ac:dyDescent="0.25">
      <c r="B127" s="258">
        <v>45621</v>
      </c>
      <c r="C127">
        <v>245.6</v>
      </c>
      <c r="D127">
        <f>(C127-C128)/C128</f>
        <v>-4.7692904226444295E-2</v>
      </c>
      <c r="E127">
        <v>1.375015165608458E-3</v>
      </c>
      <c r="F127">
        <v>124</v>
      </c>
      <c r="G127">
        <f ca="1">_xlfn.NORM.INV(RAND(),$M$7,$M$8)</f>
        <v>-6.3360479527796148E-3</v>
      </c>
    </row>
    <row r="128" spans="2:7" x14ac:dyDescent="0.25">
      <c r="B128" s="258">
        <v>45622</v>
      </c>
      <c r="C128">
        <v>257.89999999999998</v>
      </c>
      <c r="D128">
        <f>(C128-C129)/C129</f>
        <v>1.4355948869223116E-2</v>
      </c>
      <c r="E128">
        <v>1.1691348402180612E-3</v>
      </c>
      <c r="F128">
        <v>125</v>
      </c>
      <c r="G128">
        <f ca="1">_xlfn.NORM.INV(RAND(),$M$7,$M$8)</f>
        <v>1.0129467672464129E-2</v>
      </c>
    </row>
    <row r="129" spans="2:7" x14ac:dyDescent="0.25">
      <c r="B129" s="258">
        <v>45623</v>
      </c>
      <c r="C129">
        <v>254.25</v>
      </c>
      <c r="D129">
        <f>(C129-C130)/C130</f>
        <v>-1.9661816751872341E-4</v>
      </c>
      <c r="E129">
        <v>9.3457943925233649E-4</v>
      </c>
      <c r="F129">
        <v>126</v>
      </c>
      <c r="G129">
        <f ca="1">_xlfn.NORM.INV(RAND(),$M$7,$M$8)</f>
        <v>-1.3304151599336853E-2</v>
      </c>
    </row>
    <row r="130" spans="2:7" x14ac:dyDescent="0.25">
      <c r="B130" s="258">
        <v>45624</v>
      </c>
      <c r="C130">
        <v>254.3</v>
      </c>
      <c r="D130">
        <f>(C130-C131)/C131</f>
        <v>8.3267248215702725E-3</v>
      </c>
      <c r="E130">
        <v>6.0831875902982667E-4</v>
      </c>
      <c r="F130">
        <v>127</v>
      </c>
      <c r="G130">
        <f ca="1">_xlfn.NORM.INV(RAND(),$M$7,$M$8)</f>
        <v>-2.0118034192084033E-2</v>
      </c>
    </row>
    <row r="131" spans="2:7" x14ac:dyDescent="0.25">
      <c r="B131" s="258">
        <v>45625</v>
      </c>
      <c r="C131">
        <v>252.2</v>
      </c>
      <c r="D131">
        <f>(C131-C132)/C132</f>
        <v>-1.7530190884300741E-2</v>
      </c>
      <c r="E131">
        <v>5.984440454817701E-4</v>
      </c>
      <c r="F131">
        <v>128</v>
      </c>
      <c r="G131">
        <f ca="1">_xlfn.NORM.INV(RAND(),$M$7,$M$8)</f>
        <v>2.7987200946186282E-2</v>
      </c>
    </row>
    <row r="132" spans="2:7" x14ac:dyDescent="0.25">
      <c r="B132" s="258">
        <v>45628</v>
      </c>
      <c r="C132">
        <v>256.7</v>
      </c>
      <c r="D132">
        <f>(C132-C133)/C133</f>
        <v>-3.3003300330033884E-3</v>
      </c>
      <c r="E132">
        <v>5.4605023662189338E-4</v>
      </c>
      <c r="F132">
        <v>129</v>
      </c>
      <c r="G132">
        <f ca="1">_xlfn.NORM.INV(RAND(),$M$7,$M$8)</f>
        <v>-6.3864402729281854E-3</v>
      </c>
    </row>
    <row r="133" spans="2:7" x14ac:dyDescent="0.25">
      <c r="B133" s="258">
        <v>45629</v>
      </c>
      <c r="C133">
        <v>257.55</v>
      </c>
      <c r="D133">
        <f>(C133-C134)/C134</f>
        <v>-1.8296169239565507E-2</v>
      </c>
      <c r="E133">
        <v>5.3302536312354882E-4</v>
      </c>
      <c r="F133">
        <v>130</v>
      </c>
      <c r="G133">
        <f ca="1">_xlfn.NORM.INV(RAND(),$M$7,$M$8)</f>
        <v>2.1126243411125817E-2</v>
      </c>
    </row>
    <row r="134" spans="2:7" x14ac:dyDescent="0.25">
      <c r="B134" s="258">
        <v>45630</v>
      </c>
      <c r="C134">
        <v>262.35000000000002</v>
      </c>
      <c r="D134">
        <f>(C134-C135)/C135</f>
        <v>6.3291139240507638E-3</v>
      </c>
      <c r="E134">
        <v>-1.8460402436777318E-4</v>
      </c>
      <c r="F134">
        <v>131</v>
      </c>
      <c r="G134">
        <f ca="1">_xlfn.NORM.INV(RAND(),$M$7,$M$8)</f>
        <v>-2.7431188043245548E-2</v>
      </c>
    </row>
    <row r="135" spans="2:7" x14ac:dyDescent="0.25">
      <c r="B135" s="258">
        <v>45631</v>
      </c>
      <c r="C135">
        <v>260.7</v>
      </c>
      <c r="D135">
        <f>(C135-C136)/C136</f>
        <v>-2.2962112514352188E-3</v>
      </c>
      <c r="E135">
        <v>-1.9661816751872341E-4</v>
      </c>
      <c r="F135">
        <v>132</v>
      </c>
      <c r="G135">
        <f ca="1">_xlfn.NORM.INV(RAND(),$M$7,$M$8)</f>
        <v>-1.1701152683631975E-2</v>
      </c>
    </row>
    <row r="136" spans="2:7" x14ac:dyDescent="0.25">
      <c r="B136" s="258">
        <v>45632</v>
      </c>
      <c r="C136">
        <v>261.3</v>
      </c>
      <c r="D136">
        <f>(C136-C137)/C137</f>
        <v>4.8067679292443759E-3</v>
      </c>
      <c r="E136">
        <v>-3.4240712206821684E-4</v>
      </c>
      <c r="F136">
        <v>133</v>
      </c>
      <c r="G136">
        <f ca="1">_xlfn.NORM.INV(RAND(),$M$7,$M$8)</f>
        <v>1.0377520114750682E-2</v>
      </c>
    </row>
    <row r="137" spans="2:7" x14ac:dyDescent="0.25">
      <c r="B137" s="258">
        <v>45635</v>
      </c>
      <c r="C137">
        <v>260.05</v>
      </c>
      <c r="D137">
        <f>(C137-C138)/C138</f>
        <v>4.4418694476633224E-3</v>
      </c>
      <c r="E137">
        <v>-4.6490004648993421E-4</v>
      </c>
      <c r="F137">
        <v>134</v>
      </c>
      <c r="G137">
        <f ca="1">_xlfn.NORM.INV(RAND(),$M$7,$M$8)</f>
        <v>-3.037976242368233E-2</v>
      </c>
    </row>
    <row r="138" spans="2:7" x14ac:dyDescent="0.25">
      <c r="B138" s="258">
        <v>45636</v>
      </c>
      <c r="C138">
        <v>258.89999999999998</v>
      </c>
      <c r="D138">
        <f>(C138-C139)/C139</f>
        <v>7.7851304009342167E-3</v>
      </c>
      <c r="E138">
        <v>-7.8662733529985692E-4</v>
      </c>
      <c r="F138">
        <v>135</v>
      </c>
      <c r="G138">
        <f ca="1">_xlfn.NORM.INV(RAND(),$M$7,$M$8)</f>
        <v>-3.896726963360015E-2</v>
      </c>
    </row>
    <row r="139" spans="2:7" x14ac:dyDescent="0.25">
      <c r="B139" s="258">
        <v>45637</v>
      </c>
      <c r="C139">
        <v>256.89999999999998</v>
      </c>
      <c r="D139">
        <f>(C139-C140)/C140</f>
        <v>1.1691348402180612E-3</v>
      </c>
      <c r="E139">
        <v>-8.658008658008658E-4</v>
      </c>
      <c r="F139">
        <v>136</v>
      </c>
      <c r="G139">
        <f ca="1">_xlfn.NORM.INV(RAND(),$M$7,$M$8)</f>
        <v>-6.7275485087908513E-3</v>
      </c>
    </row>
    <row r="140" spans="2:7" x14ac:dyDescent="0.25">
      <c r="B140" s="258">
        <v>45638</v>
      </c>
      <c r="C140">
        <v>256.60000000000002</v>
      </c>
      <c r="D140">
        <f>(C140-C141)/C141</f>
        <v>1.0037394213737498E-2</v>
      </c>
      <c r="E140">
        <v>-9.2626898851426464E-4</v>
      </c>
      <c r="F140">
        <v>137</v>
      </c>
      <c r="G140">
        <f ca="1">_xlfn.NORM.INV(RAND(),$M$7,$M$8)</f>
        <v>1.7753474899682979E-2</v>
      </c>
    </row>
    <row r="141" spans="2:7" x14ac:dyDescent="0.25">
      <c r="B141" s="258">
        <v>45639</v>
      </c>
      <c r="C141">
        <v>254.05</v>
      </c>
      <c r="D141">
        <f>(C141-C142)/C142</f>
        <v>-7.8662733529985692E-4</v>
      </c>
      <c r="E141">
        <v>-1.1035497517013475E-3</v>
      </c>
      <c r="F141">
        <v>138</v>
      </c>
      <c r="G141">
        <f ca="1">_xlfn.NORM.INV(RAND(),$M$7,$M$8)</f>
        <v>6.6259936645136613E-3</v>
      </c>
    </row>
    <row r="142" spans="2:7" x14ac:dyDescent="0.25">
      <c r="B142" s="258">
        <v>45642</v>
      </c>
      <c r="C142">
        <v>254.25</v>
      </c>
      <c r="D142">
        <f>(C142-C143)/C143</f>
        <v>9.729944400317667E-3</v>
      </c>
      <c r="E142">
        <v>-1.2452230666838082E-3</v>
      </c>
      <c r="F142">
        <v>139</v>
      </c>
      <c r="G142">
        <f ca="1">_xlfn.NORM.INV(RAND(),$M$7,$M$8)</f>
        <v>-3.1613484956464252E-2</v>
      </c>
    </row>
    <row r="143" spans="2:7" x14ac:dyDescent="0.25">
      <c r="B143" s="258">
        <v>45643</v>
      </c>
      <c r="C143">
        <v>251.8</v>
      </c>
      <c r="D143">
        <f>(C143-C144)/C144</f>
        <v>1.7784963621665342E-2</v>
      </c>
      <c r="E143">
        <v>-1.3440860215054909E-3</v>
      </c>
      <c r="F143">
        <v>140</v>
      </c>
      <c r="G143">
        <f ca="1">_xlfn.NORM.INV(RAND(),$M$7,$M$8)</f>
        <v>-5.0798518842141246E-2</v>
      </c>
    </row>
    <row r="144" spans="2:7" x14ac:dyDescent="0.25">
      <c r="B144" s="258">
        <v>45644</v>
      </c>
      <c r="C144">
        <v>247.4</v>
      </c>
      <c r="D144">
        <f>(C144-C145)/C145</f>
        <v>1.3311488838828588E-2</v>
      </c>
      <c r="E144">
        <v>-1.4503263234228938E-3</v>
      </c>
      <c r="F144">
        <v>141</v>
      </c>
      <c r="G144">
        <f ca="1">_xlfn.NORM.INV(RAND(),$M$7,$M$8)</f>
        <v>-5.0545741092164285E-3</v>
      </c>
    </row>
    <row r="145" spans="2:7" x14ac:dyDescent="0.25">
      <c r="B145" s="258">
        <v>45645</v>
      </c>
      <c r="C145">
        <v>244.15</v>
      </c>
      <c r="D145">
        <f>(C145-C146)/C146</f>
        <v>9.5100268761629577E-3</v>
      </c>
      <c r="E145">
        <v>-1.9349013200326295E-3</v>
      </c>
      <c r="F145">
        <v>142</v>
      </c>
      <c r="G145">
        <f ca="1">_xlfn.NORM.INV(RAND(),$M$7,$M$8)</f>
        <v>-9.305007048348371E-3</v>
      </c>
    </row>
    <row r="146" spans="2:7" x14ac:dyDescent="0.25">
      <c r="B146" s="258">
        <v>45646</v>
      </c>
      <c r="C146">
        <v>241.85</v>
      </c>
      <c r="D146">
        <f>(C146-C147)/C147</f>
        <v>2.0033741037536905E-2</v>
      </c>
      <c r="E146">
        <v>-2.2962112514352188E-3</v>
      </c>
      <c r="F146">
        <v>143</v>
      </c>
      <c r="G146">
        <f ca="1">_xlfn.NORM.INV(RAND(),$M$7,$M$8)</f>
        <v>-1.9713512994325551E-2</v>
      </c>
    </row>
    <row r="147" spans="2:7" x14ac:dyDescent="0.25">
      <c r="B147" s="258">
        <v>45649</v>
      </c>
      <c r="C147">
        <v>237.1</v>
      </c>
      <c r="D147">
        <f>(C147-C148)/C148</f>
        <v>-1.5569856757317833E-2</v>
      </c>
      <c r="E147">
        <v>-2.3478115042763329E-3</v>
      </c>
      <c r="F147">
        <v>144</v>
      </c>
      <c r="G147">
        <f ca="1">_xlfn.NORM.INV(RAND(),$M$7,$M$8)</f>
        <v>1.7223765396066761E-2</v>
      </c>
    </row>
    <row r="148" spans="2:7" x14ac:dyDescent="0.25">
      <c r="B148" s="258">
        <v>45650</v>
      </c>
      <c r="C148">
        <v>240.85</v>
      </c>
      <c r="D148">
        <f>(C148-C149)/C149</f>
        <v>7.9514542791379195E-3</v>
      </c>
      <c r="E148">
        <v>-2.8011204481792717E-3</v>
      </c>
      <c r="F148">
        <v>145</v>
      </c>
      <c r="G148">
        <f ca="1">_xlfn.NORM.INV(RAND(),$M$7,$M$8)</f>
        <v>-2.3734105273137084E-2</v>
      </c>
    </row>
    <row r="149" spans="2:7" x14ac:dyDescent="0.25">
      <c r="B149" s="258">
        <v>45652</v>
      </c>
      <c r="C149">
        <v>238.95</v>
      </c>
      <c r="D149">
        <f>(C149-C150)/C150</f>
        <v>-5.4110301768991106E-3</v>
      </c>
      <c r="E149">
        <v>-3.0409001064315034E-3</v>
      </c>
      <c r="F149">
        <v>146</v>
      </c>
      <c r="G149">
        <f ca="1">_xlfn.NORM.INV(RAND(),$M$7,$M$8)</f>
        <v>-6.9647468452061091E-3</v>
      </c>
    </row>
    <row r="150" spans="2:7" x14ac:dyDescent="0.25">
      <c r="B150" s="258">
        <v>45653</v>
      </c>
      <c r="C150">
        <v>240.25</v>
      </c>
      <c r="D150">
        <f>(C150-C151)/C151</f>
        <v>1.4140987758547887E-2</v>
      </c>
      <c r="E150">
        <v>-3.3003300330033884E-3</v>
      </c>
      <c r="F150">
        <v>147</v>
      </c>
      <c r="G150">
        <f ca="1">_xlfn.NORM.INV(RAND(),$M$7,$M$8)</f>
        <v>3.9701889813396639E-2</v>
      </c>
    </row>
    <row r="151" spans="2:7" x14ac:dyDescent="0.25">
      <c r="B151" s="258">
        <v>45656</v>
      </c>
      <c r="C151">
        <v>236.9</v>
      </c>
      <c r="D151">
        <f>(C151-C152)/C152</f>
        <v>1.8267784225231034E-2</v>
      </c>
      <c r="E151">
        <v>-3.4769463340891225E-3</v>
      </c>
      <c r="F151">
        <v>148</v>
      </c>
      <c r="G151">
        <f ca="1">_xlfn.NORM.INV(RAND(),$M$7,$M$8)</f>
        <v>3.1247047697143652E-2</v>
      </c>
    </row>
    <row r="152" spans="2:7" x14ac:dyDescent="0.25">
      <c r="B152" s="258">
        <v>45657</v>
      </c>
      <c r="C152">
        <v>232.65</v>
      </c>
      <c r="D152">
        <f>(C152-C153)/C153</f>
        <v>-2.7586206896551699E-2</v>
      </c>
      <c r="E152">
        <v>-3.4934497816593887E-3</v>
      </c>
      <c r="F152">
        <v>149</v>
      </c>
      <c r="G152">
        <f ca="1">_xlfn.NORM.INV(RAND(),$M$7,$M$8)</f>
        <v>-4.404708937055743E-2</v>
      </c>
    </row>
    <row r="153" spans="2:7" x14ac:dyDescent="0.25">
      <c r="B153" s="258">
        <v>45658</v>
      </c>
      <c r="C153">
        <v>239.25</v>
      </c>
      <c r="D153">
        <f>(C153-C154)/C154</f>
        <v>9.7066891749314679E-3</v>
      </c>
      <c r="E153">
        <v>-3.5847880299252934E-3</v>
      </c>
      <c r="F153">
        <v>150</v>
      </c>
      <c r="G153">
        <f ca="1">_xlfn.NORM.INV(RAND(),$M$7,$M$8)</f>
        <v>5.4502571708660394E-2</v>
      </c>
    </row>
    <row r="154" spans="2:7" x14ac:dyDescent="0.25">
      <c r="B154" s="258">
        <v>45659</v>
      </c>
      <c r="C154">
        <v>236.95</v>
      </c>
      <c r="D154">
        <f>(C154-C155)/C155</f>
        <v>-3.7062624456455501E-2</v>
      </c>
      <c r="E154">
        <v>-3.5897435897436288E-3</v>
      </c>
      <c r="F154">
        <v>151</v>
      </c>
      <c r="G154">
        <f ca="1">_xlfn.NORM.INV(RAND(),$M$7,$M$8)</f>
        <v>-2.5798168764451804E-2</v>
      </c>
    </row>
    <row r="155" spans="2:7" x14ac:dyDescent="0.25">
      <c r="B155" s="258">
        <v>45660</v>
      </c>
      <c r="C155">
        <v>246.07</v>
      </c>
      <c r="D155">
        <f>(C155-C156)/C156</f>
        <v>-4.9519100776391496E-2</v>
      </c>
      <c r="E155">
        <v>-3.7967817754475186E-3</v>
      </c>
      <c r="F155">
        <v>152</v>
      </c>
      <c r="G155">
        <f ca="1">_xlfn.NORM.INV(RAND(),$M$7,$M$8)</f>
        <v>-1.0167234740465828E-2</v>
      </c>
    </row>
    <row r="156" spans="2:7" x14ac:dyDescent="0.25">
      <c r="B156" s="258">
        <v>45663</v>
      </c>
      <c r="C156">
        <v>258.89</v>
      </c>
      <c r="D156">
        <f>(C156-C157)/C157</f>
        <v>1.7809403994338623E-2</v>
      </c>
      <c r="E156">
        <v>-3.9050765995793171E-3</v>
      </c>
      <c r="F156">
        <v>153</v>
      </c>
      <c r="G156">
        <f ca="1">_xlfn.NORM.INV(RAND(),$M$7,$M$8)</f>
        <v>-4.6818311090137135E-2</v>
      </c>
    </row>
    <row r="157" spans="2:7" x14ac:dyDescent="0.25">
      <c r="B157" s="258">
        <v>45664</v>
      </c>
      <c r="C157">
        <v>254.36</v>
      </c>
      <c r="D157">
        <f>(C157-C158)/C158</f>
        <v>-3.4650271357546759E-2</v>
      </c>
      <c r="E157">
        <v>-4.3992718446603319E-3</v>
      </c>
      <c r="F157">
        <v>154</v>
      </c>
      <c r="G157">
        <f ca="1">_xlfn.NORM.INV(RAND(),$M$7,$M$8)</f>
        <v>-2.9190716016371524E-2</v>
      </c>
    </row>
    <row r="158" spans="2:7" x14ac:dyDescent="0.25">
      <c r="B158" s="258">
        <v>45665</v>
      </c>
      <c r="C158">
        <v>263.49</v>
      </c>
      <c r="D158">
        <f>(C158-C159)/C159</f>
        <v>-2.8894703866140771E-2</v>
      </c>
      <c r="E158">
        <v>-4.5690458235372452E-3</v>
      </c>
      <c r="F158">
        <v>155</v>
      </c>
      <c r="G158">
        <f ca="1">_xlfn.NORM.INV(RAND(),$M$7,$M$8)</f>
        <v>1.0886991850081972E-2</v>
      </c>
    </row>
    <row r="159" spans="2:7" x14ac:dyDescent="0.25">
      <c r="B159" s="258">
        <v>45666</v>
      </c>
      <c r="C159">
        <v>271.33</v>
      </c>
      <c r="D159">
        <f>(C159-C160)/C160</f>
        <v>3.0967398738505878E-2</v>
      </c>
      <c r="E159">
        <v>-5.4110301768991106E-3</v>
      </c>
      <c r="F159">
        <v>156</v>
      </c>
      <c r="G159">
        <f ca="1">_xlfn.NORM.INV(RAND(),$M$7,$M$8)</f>
        <v>5.7224221882129056E-2</v>
      </c>
    </row>
    <row r="160" spans="2:7" x14ac:dyDescent="0.25">
      <c r="B160" s="258">
        <v>45667</v>
      </c>
      <c r="C160">
        <v>263.18</v>
      </c>
      <c r="D160">
        <f>(C160-C161)/C161</f>
        <v>6.0831875902982667E-4</v>
      </c>
      <c r="E160">
        <v>-5.4611650485437233E-3</v>
      </c>
      <c r="F160">
        <v>157</v>
      </c>
      <c r="G160">
        <f ca="1">_xlfn.NORM.INV(RAND(),$M$7,$M$8)</f>
        <v>-2.3567063823529393E-2</v>
      </c>
    </row>
    <row r="161" spans="2:7" x14ac:dyDescent="0.25">
      <c r="B161" s="258">
        <v>45670</v>
      </c>
      <c r="C161">
        <v>263.02</v>
      </c>
      <c r="D161">
        <f>(C161-C162)/C162</f>
        <v>2.850662808430764E-2</v>
      </c>
      <c r="E161">
        <v>-5.7827174670878273E-3</v>
      </c>
      <c r="F161">
        <v>158</v>
      </c>
      <c r="G161">
        <f ca="1">_xlfn.NORM.INV(RAND(),$M$7,$M$8)</f>
        <v>-4.6089940677279832E-2</v>
      </c>
    </row>
    <row r="162" spans="2:7" x14ac:dyDescent="0.25">
      <c r="B162" s="258">
        <v>45671</v>
      </c>
      <c r="C162">
        <v>255.73</v>
      </c>
      <c r="D162">
        <f>(C162-C163)/C163</f>
        <v>-1.7820793486192782E-2</v>
      </c>
      <c r="E162">
        <v>-5.9565522074281315E-3</v>
      </c>
      <c r="F162">
        <v>159</v>
      </c>
      <c r="G162">
        <f ca="1">_xlfn.NORM.INV(RAND(),$M$7,$M$8)</f>
        <v>3.6072042357166469E-2</v>
      </c>
    </row>
    <row r="163" spans="2:7" x14ac:dyDescent="0.25">
      <c r="B163" s="258">
        <v>45672</v>
      </c>
      <c r="C163">
        <v>260.37</v>
      </c>
      <c r="D163">
        <f>(C163-C164)/C164</f>
        <v>8.4824541017894401E-3</v>
      </c>
      <c r="E163">
        <v>-6.0007059654076543E-3</v>
      </c>
      <c r="F163">
        <v>160</v>
      </c>
      <c r="G163">
        <f ca="1">_xlfn.NORM.INV(RAND(),$M$7,$M$8)</f>
        <v>1.0462822686975355E-3</v>
      </c>
    </row>
    <row r="164" spans="2:7" x14ac:dyDescent="0.25">
      <c r="B164" s="258">
        <v>45673</v>
      </c>
      <c r="C164">
        <v>258.18</v>
      </c>
      <c r="D164">
        <f>(C164-C165)/C165</f>
        <v>-1.8998404134052738E-2</v>
      </c>
      <c r="E164">
        <v>-6.1326890912471064E-3</v>
      </c>
      <c r="F164">
        <v>161</v>
      </c>
      <c r="G164">
        <f ca="1">_xlfn.NORM.INV(RAND(),$M$7,$M$8)</f>
        <v>1.4846443059818097E-2</v>
      </c>
    </row>
    <row r="165" spans="2:7" x14ac:dyDescent="0.25">
      <c r="B165" s="258">
        <v>45674</v>
      </c>
      <c r="C165">
        <v>263.18</v>
      </c>
      <c r="D165">
        <f>(C165-C166)/C166</f>
        <v>-1.271710995235768E-2</v>
      </c>
      <c r="E165">
        <v>-6.226415094339537E-3</v>
      </c>
      <c r="F165">
        <v>162</v>
      </c>
      <c r="G165">
        <f ca="1">_xlfn.NORM.INV(RAND(),$M$7,$M$8)</f>
        <v>-6.7938729939462303E-3</v>
      </c>
    </row>
    <row r="166" spans="2:7" x14ac:dyDescent="0.25">
      <c r="B166" s="258">
        <v>45677</v>
      </c>
      <c r="C166">
        <v>266.57</v>
      </c>
      <c r="D166">
        <f>(C166-C167)/C167</f>
        <v>-1.0357885357885434E-2</v>
      </c>
      <c r="E166">
        <v>-6.4617745648399604E-3</v>
      </c>
      <c r="F166">
        <v>163</v>
      </c>
      <c r="G166">
        <f ca="1">_xlfn.NORM.INV(RAND(),$M$7,$M$8)</f>
        <v>-4.6290476604928493E-2</v>
      </c>
    </row>
    <row r="167" spans="2:7" x14ac:dyDescent="0.25">
      <c r="B167" s="258">
        <v>45678</v>
      </c>
      <c r="C167">
        <v>269.36</v>
      </c>
      <c r="D167">
        <f>(C167-C168)/C168</f>
        <v>1.3393528969149745E-2</v>
      </c>
      <c r="E167">
        <v>-6.7294751009421266E-3</v>
      </c>
      <c r="F167">
        <v>164</v>
      </c>
      <c r="G167">
        <f ca="1">_xlfn.NORM.INV(RAND(),$M$7,$M$8)</f>
        <v>-1.5130063239300485E-2</v>
      </c>
    </row>
    <row r="168" spans="2:7" x14ac:dyDescent="0.25">
      <c r="B168" s="258">
        <v>45679</v>
      </c>
      <c r="C168">
        <v>265.8</v>
      </c>
      <c r="D168">
        <f>(C168-C169)/C169</f>
        <v>6.6275326642681312E-3</v>
      </c>
      <c r="E168">
        <v>-6.8125932196557333E-3</v>
      </c>
      <c r="F168">
        <v>165</v>
      </c>
      <c r="G168">
        <f ca="1">_xlfn.NORM.INV(RAND(),$M$7,$M$8)</f>
        <v>-5.1827826701327982E-2</v>
      </c>
    </row>
    <row r="169" spans="2:7" x14ac:dyDescent="0.25">
      <c r="B169" s="258">
        <v>45680</v>
      </c>
      <c r="C169">
        <v>264.05</v>
      </c>
      <c r="D169">
        <f>(C169-C170)/C170</f>
        <v>3.8015586390420073E-3</v>
      </c>
      <c r="E169">
        <v>-6.8821065230401301E-3</v>
      </c>
      <c r="F169">
        <v>166</v>
      </c>
      <c r="G169">
        <f ca="1">_xlfn.NORM.INV(RAND(),$M$7,$M$8)</f>
        <v>-8.5038556759507982E-3</v>
      </c>
    </row>
    <row r="170" spans="2:7" x14ac:dyDescent="0.25">
      <c r="B170" s="258">
        <v>45681</v>
      </c>
      <c r="C170">
        <v>263.05</v>
      </c>
      <c r="D170">
        <f>(C170-C171)/C171</f>
        <v>2.549608202409271E-2</v>
      </c>
      <c r="E170">
        <v>-6.912255021549925E-3</v>
      </c>
      <c r="F170">
        <v>167</v>
      </c>
      <c r="G170">
        <f ca="1">_xlfn.NORM.INV(RAND(),$M$7,$M$8)</f>
        <v>-1.5179755572970847E-2</v>
      </c>
    </row>
    <row r="171" spans="2:7" x14ac:dyDescent="0.25">
      <c r="B171" s="258">
        <v>45684</v>
      </c>
      <c r="C171">
        <v>256.51</v>
      </c>
      <c r="D171">
        <f>(C171-C172)/C172</f>
        <v>2.2848712018502231E-2</v>
      </c>
      <c r="E171">
        <v>-6.9128615608514974E-3</v>
      </c>
      <c r="F171">
        <v>168</v>
      </c>
      <c r="G171">
        <f ca="1">_xlfn.NORM.INV(RAND(),$M$7,$M$8)</f>
        <v>1.4460825706432883E-2</v>
      </c>
    </row>
    <row r="172" spans="2:7" x14ac:dyDescent="0.25">
      <c r="B172" s="258">
        <v>45685</v>
      </c>
      <c r="C172">
        <v>250.78</v>
      </c>
      <c r="D172">
        <f>(C172-C173)/C173</f>
        <v>8.4445874215859501E-3</v>
      </c>
      <c r="E172">
        <v>-6.9971089789248233E-3</v>
      </c>
      <c r="F172">
        <v>169</v>
      </c>
      <c r="G172">
        <f ca="1">_xlfn.NORM.INV(RAND(),$M$7,$M$8)</f>
        <v>4.5754162334596168E-3</v>
      </c>
    </row>
    <row r="173" spans="2:7" x14ac:dyDescent="0.25">
      <c r="B173" s="258">
        <v>45686</v>
      </c>
      <c r="C173">
        <v>248.68</v>
      </c>
      <c r="D173">
        <f>(C173-C174)/C174</f>
        <v>-1.0819411296738262E-2</v>
      </c>
      <c r="E173">
        <v>-7.0780399274046777E-3</v>
      </c>
      <c r="F173">
        <v>170</v>
      </c>
      <c r="G173">
        <f ca="1">_xlfn.NORM.INV(RAND(),$M$7,$M$8)</f>
        <v>-4.6512213333737257E-2</v>
      </c>
    </row>
    <row r="174" spans="2:7" x14ac:dyDescent="0.25">
      <c r="B174" s="258">
        <v>45687</v>
      </c>
      <c r="C174">
        <v>251.4</v>
      </c>
      <c r="D174">
        <f>(C174-C175)/C175</f>
        <v>-2.0722966656279297E-2</v>
      </c>
      <c r="E174">
        <v>-7.1338648762065337E-3</v>
      </c>
      <c r="F174">
        <v>171</v>
      </c>
      <c r="G174">
        <f ca="1">_xlfn.NORM.INV(RAND(),$M$7,$M$8)</f>
        <v>-3.8329667080268887E-2</v>
      </c>
    </row>
    <row r="175" spans="2:7" x14ac:dyDescent="0.25">
      <c r="B175" s="258">
        <v>45688</v>
      </c>
      <c r="C175">
        <v>256.72000000000003</v>
      </c>
      <c r="D175">
        <f>(C175-C176)/C176</f>
        <v>-2.2428696546209156E-2</v>
      </c>
      <c r="E175">
        <v>-7.1882166166872263E-3</v>
      </c>
      <c r="F175">
        <v>172</v>
      </c>
      <c r="G175">
        <f ca="1">_xlfn.NORM.INV(RAND(),$M$7,$M$8)</f>
        <v>1.5162509448879745E-2</v>
      </c>
    </row>
    <row r="176" spans="2:7" x14ac:dyDescent="0.25">
      <c r="B176" s="258">
        <v>45689</v>
      </c>
      <c r="C176">
        <v>262.61</v>
      </c>
      <c r="D176">
        <f>(C176-C177)/C177</f>
        <v>1.9646670549407889E-2</v>
      </c>
      <c r="E176">
        <v>-7.2967928050228321E-3</v>
      </c>
      <c r="F176">
        <v>173</v>
      </c>
      <c r="G176">
        <f ca="1">_xlfn.NORM.INV(RAND(),$M$7,$M$8)</f>
        <v>-1.1094729007636388E-3</v>
      </c>
    </row>
    <row r="177" spans="2:7" x14ac:dyDescent="0.25">
      <c r="B177" s="258">
        <v>45691</v>
      </c>
      <c r="C177">
        <v>257.55</v>
      </c>
      <c r="D177">
        <f>(C177-C178)/C178</f>
        <v>3.4337349397590408E-2</v>
      </c>
      <c r="E177">
        <v>-7.4055158324821627E-3</v>
      </c>
      <c r="F177">
        <v>174</v>
      </c>
      <c r="G177">
        <f ca="1">_xlfn.NORM.INV(RAND(),$M$7,$M$8)</f>
        <v>4.8883762154133252E-2</v>
      </c>
    </row>
    <row r="178" spans="2:7" x14ac:dyDescent="0.25">
      <c r="B178" s="258">
        <v>45692</v>
      </c>
      <c r="C178">
        <v>249</v>
      </c>
      <c r="D178">
        <f>(C178-C179)/C179</f>
        <v>-2.0070838252656414E-2</v>
      </c>
      <c r="E178">
        <v>-7.652230543796882E-3</v>
      </c>
      <c r="F178">
        <v>175</v>
      </c>
      <c r="G178">
        <f ca="1">_xlfn.NORM.INV(RAND(),$M$7,$M$8)</f>
        <v>-2.3549941245069254E-2</v>
      </c>
    </row>
    <row r="179" spans="2:7" x14ac:dyDescent="0.25">
      <c r="B179" s="258">
        <v>45693</v>
      </c>
      <c r="C179">
        <v>254.1</v>
      </c>
      <c r="D179">
        <f>(C179-C180)/C180</f>
        <v>-2.8855341104528889E-2</v>
      </c>
      <c r="E179">
        <v>-7.8534031413611295E-3</v>
      </c>
      <c r="F179">
        <v>176</v>
      </c>
      <c r="G179">
        <f ca="1">_xlfn.NORM.INV(RAND(),$M$7,$M$8)</f>
        <v>-1.5795253624857189E-2</v>
      </c>
    </row>
    <row r="180" spans="2:7" x14ac:dyDescent="0.25">
      <c r="B180" s="258">
        <v>45694</v>
      </c>
      <c r="C180">
        <v>261.64999999999998</v>
      </c>
      <c r="D180">
        <f>(C180-C181)/C181</f>
        <v>2.1471793870778841E-2</v>
      </c>
      <c r="E180">
        <v>-8.4822234253745625E-3</v>
      </c>
      <c r="F180">
        <v>177</v>
      </c>
      <c r="G180">
        <f ca="1">_xlfn.NORM.INV(RAND(),$M$7,$M$8)</f>
        <v>-3.2143166289164628E-3</v>
      </c>
    </row>
    <row r="181" spans="2:7" x14ac:dyDescent="0.25">
      <c r="B181" s="258">
        <v>45695</v>
      </c>
      <c r="C181">
        <v>256.14999999999998</v>
      </c>
      <c r="D181">
        <f>(C181-C182)/C182</f>
        <v>2.9128163921253402E-2</v>
      </c>
      <c r="E181">
        <v>-9.3227647952688411E-3</v>
      </c>
      <c r="F181">
        <v>178</v>
      </c>
      <c r="G181">
        <f ca="1">_xlfn.NORM.INV(RAND(),$M$7,$M$8)</f>
        <v>1.1289574709692149E-3</v>
      </c>
    </row>
    <row r="182" spans="2:7" x14ac:dyDescent="0.25">
      <c r="B182" s="258">
        <v>45698</v>
      </c>
      <c r="C182">
        <v>248.9</v>
      </c>
      <c r="D182">
        <f>(C182-C183)/C183</f>
        <v>2.6603423386265281E-2</v>
      </c>
      <c r="E182">
        <v>-9.5221455403162701E-3</v>
      </c>
      <c r="F182">
        <v>179</v>
      </c>
      <c r="G182">
        <f ca="1">_xlfn.NORM.INV(RAND(),$M$7,$M$8)</f>
        <v>8.6515720146054017E-3</v>
      </c>
    </row>
    <row r="183" spans="2:7" x14ac:dyDescent="0.25">
      <c r="B183" s="258">
        <v>45699</v>
      </c>
      <c r="C183">
        <v>242.45</v>
      </c>
      <c r="D183">
        <f>(C183-C184)/C184</f>
        <v>1.4647415777359282E-2</v>
      </c>
      <c r="E183">
        <v>-9.9703468133567983E-3</v>
      </c>
      <c r="F183">
        <v>180</v>
      </c>
      <c r="G183">
        <f ca="1">_xlfn.NORM.INV(RAND(),$M$7,$M$8)</f>
        <v>1.1981477193531286E-2</v>
      </c>
    </row>
    <row r="184" spans="2:7" x14ac:dyDescent="0.25">
      <c r="B184" s="258">
        <v>45700</v>
      </c>
      <c r="C184">
        <v>238.95</v>
      </c>
      <c r="D184">
        <f>(C184-C185)/C185</f>
        <v>6.5290648694186302E-3</v>
      </c>
      <c r="E184">
        <v>-1.0116860056984716E-2</v>
      </c>
      <c r="F184">
        <v>181</v>
      </c>
      <c r="G184">
        <f ca="1">_xlfn.NORM.INV(RAND(),$M$7,$M$8)</f>
        <v>-6.4657304354928946E-2</v>
      </c>
    </row>
    <row r="185" spans="2:7" x14ac:dyDescent="0.25">
      <c r="B185" s="258">
        <v>45701</v>
      </c>
      <c r="C185">
        <v>237.4</v>
      </c>
      <c r="D185">
        <f>(C185-C186)/C186</f>
        <v>1.0427750585230973E-2</v>
      </c>
      <c r="E185">
        <v>-1.0253317249698413E-2</v>
      </c>
      <c r="F185">
        <v>182</v>
      </c>
      <c r="G185">
        <f ca="1">_xlfn.NORM.INV(RAND(),$M$7,$M$8)</f>
        <v>-2.2496043120411431E-2</v>
      </c>
    </row>
    <row r="186" spans="2:7" x14ac:dyDescent="0.25">
      <c r="B186" s="258">
        <v>45702</v>
      </c>
      <c r="C186">
        <v>234.95</v>
      </c>
      <c r="D186">
        <f>(C186-C187)/C187</f>
        <v>1.930585683297175E-2</v>
      </c>
      <c r="E186">
        <v>-1.0253750398978589E-2</v>
      </c>
      <c r="F186">
        <v>183</v>
      </c>
      <c r="G186">
        <f ca="1">_xlfn.NORM.INV(RAND(),$M$7,$M$8)</f>
        <v>-1.4951729892384229E-2</v>
      </c>
    </row>
    <row r="187" spans="2:7" x14ac:dyDescent="0.25">
      <c r="B187" s="258">
        <v>45705</v>
      </c>
      <c r="C187">
        <v>230.5</v>
      </c>
      <c r="D187">
        <f>(C187-C188)/C188</f>
        <v>-1.3481703402525169E-2</v>
      </c>
      <c r="E187">
        <v>-1.0357885357885434E-2</v>
      </c>
      <c r="F187">
        <v>184</v>
      </c>
      <c r="G187">
        <f ca="1">_xlfn.NORM.INV(RAND(),$M$7,$M$8)</f>
        <v>1.5583056499284249E-2</v>
      </c>
    </row>
    <row r="188" spans="2:7" x14ac:dyDescent="0.25">
      <c r="B188" s="258">
        <v>45706</v>
      </c>
      <c r="C188">
        <v>233.65</v>
      </c>
      <c r="D188">
        <f>(C188-C189)/C189</f>
        <v>-1.2468300929839344E-2</v>
      </c>
      <c r="E188">
        <v>-1.0522436947265073E-2</v>
      </c>
      <c r="F188">
        <v>185</v>
      </c>
      <c r="G188">
        <f ca="1">_xlfn.NORM.INV(RAND(),$M$7,$M$8)</f>
        <v>8.9360744943608947E-3</v>
      </c>
    </row>
    <row r="189" spans="2:7" x14ac:dyDescent="0.25">
      <c r="B189" s="258">
        <v>45707</v>
      </c>
      <c r="C189">
        <v>236.6</v>
      </c>
      <c r="D189">
        <f>(C189-C190)/C190</f>
        <v>-7.1338648762065337E-3</v>
      </c>
      <c r="E189">
        <v>-1.0751825403193367E-2</v>
      </c>
      <c r="F189">
        <v>186</v>
      </c>
      <c r="G189">
        <f ca="1">_xlfn.NORM.INV(RAND(),$M$7,$M$8)</f>
        <v>-7.3166423524196663E-3</v>
      </c>
    </row>
    <row r="190" spans="2:7" x14ac:dyDescent="0.25">
      <c r="B190" s="258">
        <v>45708</v>
      </c>
      <c r="C190">
        <v>238.3</v>
      </c>
      <c r="D190">
        <f>(C190-C191)/C191</f>
        <v>-1.4882182720132262E-2</v>
      </c>
      <c r="E190">
        <v>-1.0819411296738262E-2</v>
      </c>
      <c r="F190">
        <v>187</v>
      </c>
      <c r="G190">
        <f ca="1">_xlfn.NORM.INV(RAND(),$M$7,$M$8)</f>
        <v>-1.0671571578440632E-2</v>
      </c>
    </row>
    <row r="191" spans="2:7" x14ac:dyDescent="0.25">
      <c r="B191" s="258">
        <v>45709</v>
      </c>
      <c r="C191">
        <v>241.9</v>
      </c>
      <c r="D191">
        <f>(C191-C192)/C192</f>
        <v>8.3368070029178828E-3</v>
      </c>
      <c r="E191">
        <v>-1.083827265029632E-2</v>
      </c>
      <c r="F191">
        <v>188</v>
      </c>
      <c r="G191">
        <f ca="1">_xlfn.NORM.INV(RAND(),$M$7,$M$8)</f>
        <v>-2.5349269793669169E-2</v>
      </c>
    </row>
    <row r="192" spans="2:7" x14ac:dyDescent="0.25">
      <c r="B192" s="258">
        <v>45712</v>
      </c>
      <c r="C192">
        <v>239.9</v>
      </c>
      <c r="D192">
        <f>(C192-C193)/C193</f>
        <v>2.3682526136121235E-2</v>
      </c>
      <c r="E192">
        <v>-1.2468300929839344E-2</v>
      </c>
      <c r="F192">
        <v>189</v>
      </c>
      <c r="G192">
        <f ca="1">_xlfn.NORM.INV(RAND(),$M$7,$M$8)</f>
        <v>1.9000003188441434E-2</v>
      </c>
    </row>
    <row r="193" spans="2:7" x14ac:dyDescent="0.25">
      <c r="B193" s="258">
        <v>45713</v>
      </c>
      <c r="C193">
        <v>234.35</v>
      </c>
      <c r="D193">
        <f>(C193-C194)/C194</f>
        <v>5.7939914163089882E-3</v>
      </c>
      <c r="E193">
        <v>-1.271710995235768E-2</v>
      </c>
      <c r="F193">
        <v>190</v>
      </c>
      <c r="G193">
        <f ca="1">_xlfn.NORM.INV(RAND(),$M$7,$M$8)</f>
        <v>5.5734117324250619E-3</v>
      </c>
    </row>
    <row r="194" spans="2:7" x14ac:dyDescent="0.25">
      <c r="B194" s="258">
        <v>45715</v>
      </c>
      <c r="C194">
        <v>233</v>
      </c>
      <c r="D194">
        <f>(C194-C195)/C195</f>
        <v>8.658008658008658E-3</v>
      </c>
      <c r="E194">
        <v>-1.2818880258075514E-2</v>
      </c>
      <c r="F194">
        <v>191</v>
      </c>
      <c r="G194">
        <f ca="1">_xlfn.NORM.INV(RAND(),$M$7,$M$8)</f>
        <v>2.6102469015455761E-2</v>
      </c>
    </row>
    <row r="195" spans="2:7" x14ac:dyDescent="0.25">
      <c r="B195" s="258">
        <v>45716</v>
      </c>
      <c r="C195">
        <v>231</v>
      </c>
      <c r="D195">
        <f>(C195-C196)/C196</f>
        <v>2.5527192008879023E-2</v>
      </c>
      <c r="E195">
        <v>-1.2989232609810327E-2</v>
      </c>
      <c r="F195">
        <v>192</v>
      </c>
      <c r="G195">
        <f ca="1">_xlfn.NORM.INV(RAND(),$M$7,$M$8)</f>
        <v>5.0961818060764108E-2</v>
      </c>
    </row>
    <row r="196" spans="2:7" x14ac:dyDescent="0.25">
      <c r="B196" s="258">
        <v>45719</v>
      </c>
      <c r="C196">
        <v>225.25</v>
      </c>
      <c r="D196">
        <f>(C196-C197)/C197</f>
        <v>5.3302536312354882E-4</v>
      </c>
      <c r="E196">
        <v>-1.335782267490399E-2</v>
      </c>
      <c r="F196">
        <v>193</v>
      </c>
      <c r="G196">
        <f ca="1">_xlfn.NORM.INV(RAND(),$M$7,$M$8)</f>
        <v>-3.3553508508942828E-2</v>
      </c>
    </row>
    <row r="197" spans="2:7" x14ac:dyDescent="0.25">
      <c r="B197" s="258">
        <v>45720</v>
      </c>
      <c r="C197">
        <v>225.13</v>
      </c>
      <c r="D197">
        <f>(C197-C198)/C198</f>
        <v>-7.1882166166872263E-3</v>
      </c>
      <c r="E197">
        <v>-1.3481703402525169E-2</v>
      </c>
      <c r="F197">
        <v>194</v>
      </c>
      <c r="G197">
        <f ca="1">_xlfn.NORM.INV(RAND(),$M$7,$M$8)</f>
        <v>1.5549132485695248E-2</v>
      </c>
    </row>
    <row r="198" spans="2:7" x14ac:dyDescent="0.25">
      <c r="B198" s="258">
        <v>45721</v>
      </c>
      <c r="C198">
        <v>226.76</v>
      </c>
      <c r="D198">
        <f>(C198-C199)/C199</f>
        <v>-9.5221455403162701E-3</v>
      </c>
      <c r="E198">
        <v>-1.3630942238882263E-2</v>
      </c>
      <c r="F198">
        <v>195</v>
      </c>
      <c r="G198">
        <f ca="1">_xlfn.NORM.INV(RAND(),$M$7,$M$8)</f>
        <v>-9.5723473139635428E-3</v>
      </c>
    </row>
    <row r="199" spans="2:7" x14ac:dyDescent="0.25">
      <c r="B199" s="258">
        <v>45722</v>
      </c>
      <c r="C199">
        <v>228.94</v>
      </c>
      <c r="D199">
        <f>(C199-C200)/C200</f>
        <v>-1.5735167669819417E-2</v>
      </c>
      <c r="E199">
        <v>-1.404723127035826E-2</v>
      </c>
      <c r="F199">
        <v>196</v>
      </c>
      <c r="G199">
        <f ca="1">_xlfn.NORM.INV(RAND(),$M$7,$M$8)</f>
        <v>-4.3864928122776571E-3</v>
      </c>
    </row>
    <row r="200" spans="2:7" x14ac:dyDescent="0.25">
      <c r="B200" s="258">
        <v>45723</v>
      </c>
      <c r="C200">
        <v>232.6</v>
      </c>
      <c r="D200">
        <f>(C200-C201)/C201</f>
        <v>-1.2452230666838082E-3</v>
      </c>
      <c r="E200">
        <v>-1.4882182720132262E-2</v>
      </c>
      <c r="F200">
        <v>197</v>
      </c>
      <c r="G200">
        <f ca="1">_xlfn.NORM.INV(RAND(),$M$7,$M$8)</f>
        <v>-1.5699163388050334E-2</v>
      </c>
    </row>
    <row r="201" spans="2:7" x14ac:dyDescent="0.25">
      <c r="B201" s="258">
        <v>45726</v>
      </c>
      <c r="C201">
        <v>232.89</v>
      </c>
      <c r="D201">
        <f>(C201-C202)/C202</f>
        <v>4.3460728527263716E-2</v>
      </c>
      <c r="E201">
        <v>-1.5569856757317833E-2</v>
      </c>
      <c r="F201">
        <v>198</v>
      </c>
      <c r="G201">
        <f ca="1">_xlfn.NORM.INV(RAND(),$M$7,$M$8)</f>
        <v>-6.0223675743185674E-3</v>
      </c>
    </row>
    <row r="202" spans="2:7" x14ac:dyDescent="0.25">
      <c r="B202" s="258">
        <v>45727</v>
      </c>
      <c r="C202">
        <v>223.19</v>
      </c>
      <c r="D202">
        <f>(C202-C203)/C203</f>
        <v>-1.5569865913902615E-2</v>
      </c>
      <c r="E202">
        <v>-1.5569865913902615E-2</v>
      </c>
      <c r="F202">
        <v>199</v>
      </c>
      <c r="G202">
        <f ca="1">_xlfn.NORM.INV(RAND(),$M$7,$M$8)</f>
        <v>-1.241366457557971E-2</v>
      </c>
    </row>
    <row r="203" spans="2:7" x14ac:dyDescent="0.25">
      <c r="B203" s="258">
        <v>45728</v>
      </c>
      <c r="C203">
        <v>226.72</v>
      </c>
      <c r="D203">
        <f>(C203-C204)/C204</f>
        <v>1.0338680926916191E-2</v>
      </c>
      <c r="E203">
        <v>-1.5735167669819417E-2</v>
      </c>
      <c r="F203">
        <v>200</v>
      </c>
      <c r="G203">
        <f ca="1">_xlfn.NORM.INV(RAND(),$M$7,$M$8)</f>
        <v>1.9552877398912431E-2</v>
      </c>
    </row>
    <row r="204" spans="2:7" x14ac:dyDescent="0.25">
      <c r="B204" s="258">
        <v>45729</v>
      </c>
      <c r="C204">
        <v>224.4</v>
      </c>
      <c r="D204">
        <f>(C204-C205)/C205</f>
        <v>-4.5690458235372452E-3</v>
      </c>
      <c r="E204">
        <v>-1.6898763886715799E-2</v>
      </c>
      <c r="F204">
        <v>201</v>
      </c>
      <c r="G204">
        <f ca="1">_xlfn.NORM.INV(RAND(),$M$7,$M$8)</f>
        <v>6.5369317102479993E-2</v>
      </c>
    </row>
    <row r="205" spans="2:7" x14ac:dyDescent="0.25">
      <c r="B205" s="258">
        <v>45733</v>
      </c>
      <c r="C205">
        <v>225.43</v>
      </c>
      <c r="D205">
        <f>(C205-C206)/C206</f>
        <v>-1.8760337773134857E-2</v>
      </c>
      <c r="E205">
        <v>-1.690775878264137E-2</v>
      </c>
      <c r="F205">
        <v>202</v>
      </c>
      <c r="G205">
        <f ca="1">_xlfn.NORM.INV(RAND(),$M$7,$M$8)</f>
        <v>-3.4958875873230794E-2</v>
      </c>
    </row>
    <row r="206" spans="2:7" x14ac:dyDescent="0.25">
      <c r="B206" s="258">
        <v>45734</v>
      </c>
      <c r="C206">
        <v>229.74</v>
      </c>
      <c r="D206">
        <f>(C206-C207)/C207</f>
        <v>-1.0253317249698413E-2</v>
      </c>
      <c r="E206">
        <v>-1.6999701759618218E-2</v>
      </c>
      <c r="F206">
        <v>203</v>
      </c>
      <c r="G206">
        <f ca="1">_xlfn.NORM.INV(RAND(),$M$7,$M$8)</f>
        <v>-3.1391309214274847E-2</v>
      </c>
    </row>
    <row r="207" spans="2:7" x14ac:dyDescent="0.25">
      <c r="B207" s="258">
        <v>45735</v>
      </c>
      <c r="C207">
        <v>232.12</v>
      </c>
      <c r="D207">
        <f>(C207-C208)/C208</f>
        <v>-1.9349013200326295E-3</v>
      </c>
      <c r="E207">
        <v>-1.7039106145251323E-2</v>
      </c>
      <c r="F207">
        <v>204</v>
      </c>
      <c r="G207">
        <f ca="1">_xlfn.NORM.INV(RAND(),$M$7,$M$8)</f>
        <v>-1.5232074823464378E-2</v>
      </c>
    </row>
    <row r="208" spans="2:7" x14ac:dyDescent="0.25">
      <c r="B208" s="258">
        <v>45736</v>
      </c>
      <c r="C208">
        <v>232.57</v>
      </c>
      <c r="D208">
        <f>(C208-C209)/C209</f>
        <v>-1.2818880258075514E-2</v>
      </c>
      <c r="E208">
        <v>-1.7087425927429206E-2</v>
      </c>
      <c r="F208">
        <v>205</v>
      </c>
      <c r="G208">
        <f ca="1">_xlfn.NORM.INV(RAND(),$M$7,$M$8)</f>
        <v>3.0022636515751541E-2</v>
      </c>
    </row>
    <row r="209" spans="2:7" x14ac:dyDescent="0.25">
      <c r="B209" s="258">
        <v>45737</v>
      </c>
      <c r="C209">
        <v>235.59</v>
      </c>
      <c r="D209">
        <f>(C209-C210)/C210</f>
        <v>-2.8174243049253297E-2</v>
      </c>
      <c r="E209">
        <v>-1.7408890827616236E-2</v>
      </c>
      <c r="F209">
        <v>206</v>
      </c>
      <c r="G209">
        <f ca="1">_xlfn.NORM.INV(RAND(),$M$7,$M$8)</f>
        <v>2.7303789452936742E-2</v>
      </c>
    </row>
    <row r="210" spans="2:7" x14ac:dyDescent="0.25">
      <c r="B210" s="258">
        <v>45740</v>
      </c>
      <c r="C210">
        <v>242.42</v>
      </c>
      <c r="D210">
        <f>(C210-C211)/C211</f>
        <v>-5.7827174670878273E-3</v>
      </c>
      <c r="E210">
        <v>-1.7530190884300741E-2</v>
      </c>
      <c r="F210">
        <v>207</v>
      </c>
      <c r="G210">
        <f ca="1">_xlfn.NORM.INV(RAND(),$M$7,$M$8)</f>
        <v>-2.1507386523149232E-2</v>
      </c>
    </row>
    <row r="211" spans="2:7" x14ac:dyDescent="0.25">
      <c r="B211" s="258">
        <v>45741</v>
      </c>
      <c r="C211">
        <v>243.83</v>
      </c>
      <c r="D211">
        <f>(C211-C212)/C212</f>
        <v>6.5221878224974716E-3</v>
      </c>
      <c r="E211">
        <v>-1.7820793486192782E-2</v>
      </c>
      <c r="F211">
        <v>208</v>
      </c>
      <c r="G211">
        <f ca="1">_xlfn.NORM.INV(RAND(),$M$7,$M$8)</f>
        <v>1.281965041537347E-2</v>
      </c>
    </row>
    <row r="212" spans="2:7" x14ac:dyDescent="0.25">
      <c r="B212" s="258">
        <v>45742</v>
      </c>
      <c r="C212">
        <v>242.25</v>
      </c>
      <c r="D212">
        <f>(C212-C213)/C213</f>
        <v>1.055397964291674E-2</v>
      </c>
      <c r="E212">
        <v>-1.8296169239565507E-2</v>
      </c>
      <c r="F212">
        <v>209</v>
      </c>
      <c r="G212">
        <f ca="1">_xlfn.NORM.INV(RAND(),$M$7,$M$8)</f>
        <v>2.0389961907794685E-2</v>
      </c>
    </row>
    <row r="213" spans="2:7" x14ac:dyDescent="0.25">
      <c r="B213" s="258">
        <v>45743</v>
      </c>
      <c r="C213">
        <v>239.72</v>
      </c>
      <c r="D213">
        <f>(C213-C214)/C214</f>
        <v>-1.0116860056984716E-2</v>
      </c>
      <c r="E213">
        <v>-1.8760337773134857E-2</v>
      </c>
      <c r="F213">
        <v>210</v>
      </c>
      <c r="G213">
        <f ca="1">_xlfn.NORM.INV(RAND(),$M$7,$M$8)</f>
        <v>-3.6830359924489027E-2</v>
      </c>
    </row>
    <row r="214" spans="2:7" x14ac:dyDescent="0.25">
      <c r="B214" s="258">
        <v>45744</v>
      </c>
      <c r="C214">
        <v>242.17</v>
      </c>
      <c r="D214">
        <f>(C214-C215)/C215</f>
        <v>-1.7087425927429206E-2</v>
      </c>
      <c r="E214">
        <v>-1.8998404134052738E-2</v>
      </c>
      <c r="F214">
        <v>211</v>
      </c>
      <c r="G214">
        <f ca="1">_xlfn.NORM.INV(RAND(),$M$7,$M$8)</f>
        <v>3.008333737417725E-2</v>
      </c>
    </row>
    <row r="215" spans="2:7" x14ac:dyDescent="0.25">
      <c r="B215" s="258">
        <v>45748</v>
      </c>
      <c r="C215">
        <v>246.38</v>
      </c>
      <c r="D215">
        <f>(C215-C216)/C216</f>
        <v>-6.8125932196557333E-3</v>
      </c>
      <c r="E215">
        <v>-1.9024970273483991E-2</v>
      </c>
      <c r="F215">
        <v>212</v>
      </c>
      <c r="G215">
        <f ca="1">_xlfn.NORM.INV(RAND(),$M$7,$M$8)</f>
        <v>2.481045043588018E-3</v>
      </c>
    </row>
    <row r="216" spans="2:7" x14ac:dyDescent="0.25">
      <c r="B216" s="258">
        <v>45749</v>
      </c>
      <c r="C216">
        <v>248.07</v>
      </c>
      <c r="D216">
        <f>(C216-C217)/C217</f>
        <v>-1.0253750398978589E-2</v>
      </c>
      <c r="E216">
        <v>-1.9714645746107859E-2</v>
      </c>
      <c r="F216">
        <v>213</v>
      </c>
      <c r="G216">
        <f ca="1">_xlfn.NORM.INV(RAND(),$M$7,$M$8)</f>
        <v>4.5117336157305538E-2</v>
      </c>
    </row>
    <row r="217" spans="2:7" x14ac:dyDescent="0.25">
      <c r="B217" s="258">
        <v>45750</v>
      </c>
      <c r="C217">
        <v>250.64</v>
      </c>
      <c r="D217">
        <f>(C217-C218)/C218</f>
        <v>3.0126176482676355E-2</v>
      </c>
      <c r="E217">
        <v>-2.0070838252656414E-2</v>
      </c>
      <c r="F217">
        <v>214</v>
      </c>
      <c r="G217">
        <f ca="1">_xlfn.NORM.INV(RAND(),$M$7,$M$8)</f>
        <v>-3.4783598418044973E-2</v>
      </c>
    </row>
    <row r="218" spans="2:7" x14ac:dyDescent="0.25">
      <c r="B218" s="258">
        <v>45751</v>
      </c>
      <c r="C218">
        <v>243.31</v>
      </c>
      <c r="D218">
        <f>(C218-C219)/C219</f>
        <v>7.6545285606831603E-2</v>
      </c>
      <c r="E218">
        <v>-2.0607175712971566E-2</v>
      </c>
      <c r="F218">
        <v>215</v>
      </c>
      <c r="G218">
        <f ca="1">_xlfn.NORM.INV(RAND(),$M$7,$M$8)</f>
        <v>1.1566249623494236E-2</v>
      </c>
    </row>
    <row r="219" spans="2:7" x14ac:dyDescent="0.25">
      <c r="B219" s="258">
        <v>45754</v>
      </c>
      <c r="C219">
        <v>226.01</v>
      </c>
      <c r="D219">
        <f>(C219-C220)/C220</f>
        <v>2.8065866084424979E-2</v>
      </c>
      <c r="E219">
        <v>-2.0722966656279297E-2</v>
      </c>
      <c r="F219">
        <v>216</v>
      </c>
      <c r="G219">
        <f ca="1">_xlfn.NORM.INV(RAND(),$M$7,$M$8)</f>
        <v>3.2749971300725843E-2</v>
      </c>
    </row>
    <row r="220" spans="2:7" x14ac:dyDescent="0.25">
      <c r="B220" s="258">
        <v>45755</v>
      </c>
      <c r="C220">
        <v>219.84</v>
      </c>
      <c r="D220">
        <f>(C220-C221)/C221</f>
        <v>-3.0089120268243154E-2</v>
      </c>
      <c r="E220">
        <v>-2.1657095980311805E-2</v>
      </c>
      <c r="F220">
        <v>217</v>
      </c>
      <c r="G220">
        <f ca="1">_xlfn.NORM.INV(RAND(),$M$7,$M$8)</f>
        <v>4.6319131399748135E-3</v>
      </c>
    </row>
    <row r="221" spans="2:7" x14ac:dyDescent="0.25">
      <c r="B221" s="258">
        <v>45756</v>
      </c>
      <c r="C221">
        <v>226.66</v>
      </c>
      <c r="D221">
        <f>(C221-C222)/C222</f>
        <v>2.1267009101558976E-2</v>
      </c>
      <c r="E221">
        <v>-2.2092172640819346E-2</v>
      </c>
      <c r="F221">
        <v>218</v>
      </c>
      <c r="G221">
        <f ca="1">_xlfn.NORM.INV(RAND(),$M$7,$M$8)</f>
        <v>-9.2360526195178292E-3</v>
      </c>
    </row>
    <row r="222" spans="2:7" x14ac:dyDescent="0.25">
      <c r="B222" s="258">
        <v>45758</v>
      </c>
      <c r="C222">
        <v>221.94</v>
      </c>
      <c r="D222">
        <f>(C222-C223)/C223</f>
        <v>-3.6593306420106816E-2</v>
      </c>
      <c r="E222">
        <v>-2.2428696546209156E-2</v>
      </c>
      <c r="F222">
        <v>219</v>
      </c>
      <c r="G222">
        <f ca="1">_xlfn.NORM.INV(RAND(),$M$7,$M$8)</f>
        <v>2.1225895080275998E-4</v>
      </c>
    </row>
    <row r="223" spans="2:7" x14ac:dyDescent="0.25">
      <c r="B223" s="258">
        <v>45762</v>
      </c>
      <c r="C223">
        <v>230.37</v>
      </c>
      <c r="D223">
        <f>(C223-C224)/C224</f>
        <v>-9.9703468133567983E-3</v>
      </c>
      <c r="E223">
        <v>-2.4434719183078005E-2</v>
      </c>
      <c r="F223">
        <v>220</v>
      </c>
      <c r="G223">
        <f ca="1">_xlfn.NORM.INV(RAND(),$M$7,$M$8)</f>
        <v>-1.590437503426571E-2</v>
      </c>
    </row>
    <row r="224" spans="2:7" x14ac:dyDescent="0.25">
      <c r="B224" s="258">
        <v>45763</v>
      </c>
      <c r="C224">
        <v>232.69</v>
      </c>
      <c r="D224">
        <f>(C224-C225)/C225</f>
        <v>-3.5361910289362412E-2</v>
      </c>
      <c r="E224">
        <v>-2.5182160301064904E-2</v>
      </c>
      <c r="F224">
        <v>221</v>
      </c>
      <c r="G224">
        <f ca="1">_xlfn.NORM.INV(RAND(),$M$7,$M$8)</f>
        <v>-2.3886135346476826E-2</v>
      </c>
    </row>
    <row r="225" spans="2:7" x14ac:dyDescent="0.25">
      <c r="B225" s="258">
        <v>45764</v>
      </c>
      <c r="C225">
        <v>241.22</v>
      </c>
      <c r="D225">
        <f>(C225-C226)/C226</f>
        <v>-9.3227647952688411E-3</v>
      </c>
      <c r="E225">
        <v>-2.5637269264576618E-2</v>
      </c>
      <c r="F225">
        <v>222</v>
      </c>
      <c r="G225">
        <f ca="1">_xlfn.NORM.INV(RAND(),$M$7,$M$8)</f>
        <v>1.0423130653351428E-2</v>
      </c>
    </row>
    <row r="226" spans="2:7" x14ac:dyDescent="0.25">
      <c r="B226" s="258">
        <v>45768</v>
      </c>
      <c r="C226">
        <v>243.49</v>
      </c>
      <c r="D226">
        <f>(C226-C227)/C227</f>
        <v>-2.5182160301064904E-2</v>
      </c>
      <c r="E226">
        <v>-2.728369008139889E-2</v>
      </c>
      <c r="F226">
        <v>223</v>
      </c>
      <c r="G226">
        <f ca="1">_xlfn.NORM.INV(RAND(),$M$7,$M$8)</f>
        <v>1.1511271084994569E-2</v>
      </c>
    </row>
    <row r="227" spans="2:7" x14ac:dyDescent="0.25">
      <c r="B227" s="258">
        <v>45769</v>
      </c>
      <c r="C227">
        <v>249.78</v>
      </c>
      <c r="D227">
        <f>(C227-C228)/C228</f>
        <v>8.0716764872063931E-3</v>
      </c>
      <c r="E227">
        <v>-2.7299069696507687E-2</v>
      </c>
      <c r="F227">
        <v>224</v>
      </c>
      <c r="G227">
        <f ca="1">_xlfn.NORM.INV(RAND(),$M$7,$M$8)</f>
        <v>-9.4133215868860386E-3</v>
      </c>
    </row>
    <row r="228" spans="2:7" x14ac:dyDescent="0.25">
      <c r="B228" s="258">
        <v>45770</v>
      </c>
      <c r="C228">
        <v>247.78</v>
      </c>
      <c r="D228">
        <f>(C228-C229)/C229</f>
        <v>-1.7408890827616236E-2</v>
      </c>
      <c r="E228">
        <v>-2.7586206896551699E-2</v>
      </c>
      <c r="F228">
        <v>225</v>
      </c>
      <c r="G228">
        <f ca="1">_xlfn.NORM.INV(RAND(),$M$7,$M$8)</f>
        <v>-5.2468328025454328E-3</v>
      </c>
    </row>
    <row r="229" spans="2:7" x14ac:dyDescent="0.25">
      <c r="B229" s="258">
        <v>45771</v>
      </c>
      <c r="C229">
        <v>252.17</v>
      </c>
      <c r="D229">
        <f>(C229-C230)/C230</f>
        <v>1.1228295304166431E-2</v>
      </c>
      <c r="E229">
        <v>-2.8174243049253297E-2</v>
      </c>
      <c r="F229">
        <v>226</v>
      </c>
      <c r="G229">
        <f ca="1">_xlfn.NORM.INV(RAND(),$M$7,$M$8)</f>
        <v>-2.9668090875425396E-2</v>
      </c>
    </row>
    <row r="230" spans="2:7" x14ac:dyDescent="0.25">
      <c r="B230" s="258">
        <v>45772</v>
      </c>
      <c r="C230">
        <v>249.37</v>
      </c>
      <c r="D230">
        <f>(C230-C231)/C231</f>
        <v>1.2341168351398497E-2</v>
      </c>
      <c r="E230">
        <v>-2.8855341104528889E-2</v>
      </c>
      <c r="F230">
        <v>227</v>
      </c>
      <c r="G230">
        <f ca="1">_xlfn.NORM.INV(RAND(),$M$7,$M$8)</f>
        <v>-6.4812294387815404E-3</v>
      </c>
    </row>
    <row r="231" spans="2:7" x14ac:dyDescent="0.25">
      <c r="B231" s="258">
        <v>45775</v>
      </c>
      <c r="C231">
        <v>246.33</v>
      </c>
      <c r="D231">
        <f>(C231-C232)/C232</f>
        <v>-1.7039106145251323E-2</v>
      </c>
      <c r="E231">
        <v>-2.8894703866140771E-2</v>
      </c>
      <c r="F231">
        <v>228</v>
      </c>
      <c r="G231">
        <f ca="1">_xlfn.NORM.INV(RAND(),$M$7,$M$8)</f>
        <v>-1.4598522353812636E-2</v>
      </c>
    </row>
    <row r="232" spans="2:7" x14ac:dyDescent="0.25">
      <c r="B232" s="258">
        <v>45776</v>
      </c>
      <c r="C232">
        <v>250.6</v>
      </c>
      <c r="D232">
        <f>(C232-C233)/C233</f>
        <v>2.0026050146532023E-2</v>
      </c>
      <c r="E232">
        <v>-2.9619606074274614E-2</v>
      </c>
      <c r="F232">
        <v>229</v>
      </c>
      <c r="G232">
        <f ca="1">_xlfn.NORM.INV(RAND(),$M$7,$M$8)</f>
        <v>1.5956560728551554E-2</v>
      </c>
    </row>
    <row r="233" spans="2:7" x14ac:dyDescent="0.25">
      <c r="B233" s="258">
        <v>45777</v>
      </c>
      <c r="C233">
        <v>245.68</v>
      </c>
      <c r="D233">
        <f>(C233-C234)/C234</f>
        <v>5.031703824913145E-3</v>
      </c>
      <c r="E233">
        <v>-2.9756844074137052E-2</v>
      </c>
      <c r="F233">
        <v>230</v>
      </c>
      <c r="G233">
        <f ca="1">_xlfn.NORM.INV(RAND(),$M$7,$M$8)</f>
        <v>1.2916614832728412E-2</v>
      </c>
    </row>
    <row r="234" spans="2:7" x14ac:dyDescent="0.25">
      <c r="B234" s="258">
        <v>45779</v>
      </c>
      <c r="C234">
        <v>244.45</v>
      </c>
      <c r="D234">
        <f>(C234-C235)/C235</f>
        <v>4.2313696491660556E-3</v>
      </c>
      <c r="E234">
        <v>-3.0089120268243154E-2</v>
      </c>
      <c r="F234">
        <v>231</v>
      </c>
      <c r="G234">
        <f ca="1">_xlfn.NORM.INV(RAND(),$M$7,$M$8)</f>
        <v>-6.4474594326310135E-3</v>
      </c>
    </row>
    <row r="235" spans="2:7" x14ac:dyDescent="0.25">
      <c r="B235" s="258">
        <v>45782</v>
      </c>
      <c r="C235">
        <v>243.42</v>
      </c>
      <c r="D235">
        <f>(C235-C236)/C236</f>
        <v>1.7642140468227419E-2</v>
      </c>
      <c r="E235">
        <v>-3.1105990783410011E-2</v>
      </c>
      <c r="F235">
        <v>232</v>
      </c>
      <c r="G235">
        <f ca="1">_xlfn.NORM.INV(RAND(),$M$7,$M$8)</f>
        <v>-4.9208493918106125E-2</v>
      </c>
    </row>
    <row r="236" spans="2:7" x14ac:dyDescent="0.25">
      <c r="B236" s="258">
        <v>45783</v>
      </c>
      <c r="C236">
        <v>239.2</v>
      </c>
      <c r="D236">
        <f>(C236-C237)/C237</f>
        <v>9.2827004219408794E-3</v>
      </c>
      <c r="E236">
        <v>-3.1138940599086104E-2</v>
      </c>
      <c r="F236">
        <v>233</v>
      </c>
      <c r="G236">
        <f ca="1">_xlfn.NORM.INV(RAND(),$M$7,$M$8)</f>
        <v>-2.5570703625052447E-2</v>
      </c>
    </row>
    <row r="237" spans="2:7" x14ac:dyDescent="0.25">
      <c r="B237" s="258">
        <v>45784</v>
      </c>
      <c r="C237">
        <v>237</v>
      </c>
      <c r="D237">
        <f>(C237-C238)/C238</f>
        <v>-6.9971089789248233E-3</v>
      </c>
      <c r="E237">
        <v>-3.4650271357546759E-2</v>
      </c>
      <c r="F237">
        <v>234</v>
      </c>
      <c r="G237">
        <f ca="1">_xlfn.NORM.INV(RAND(),$M$7,$M$8)</f>
        <v>-2.085239255104258E-2</v>
      </c>
    </row>
    <row r="238" spans="2:7" x14ac:dyDescent="0.25">
      <c r="B238" s="258">
        <v>45785</v>
      </c>
      <c r="C238">
        <v>238.67</v>
      </c>
      <c r="D238">
        <f>(C238-C239)/C239</f>
        <v>2.336849326815877E-2</v>
      </c>
      <c r="E238">
        <v>-3.5361910289362412E-2</v>
      </c>
      <c r="F238">
        <v>235</v>
      </c>
      <c r="G238">
        <f ca="1">_xlfn.NORM.INV(RAND(),$M$7,$M$8)</f>
        <v>-1.5013049357170783E-2</v>
      </c>
    </row>
    <row r="239" spans="2:7" x14ac:dyDescent="0.25">
      <c r="B239" s="258">
        <v>45786</v>
      </c>
      <c r="C239">
        <v>233.22</v>
      </c>
      <c r="D239">
        <f>(C239-C240)/C240</f>
        <v>-7.4055158324821627E-3</v>
      </c>
      <c r="E239">
        <v>-3.6593306420106816E-2</v>
      </c>
      <c r="F239">
        <v>236</v>
      </c>
      <c r="G239">
        <f ca="1">_xlfn.NORM.INV(RAND(),$M$7,$M$8)</f>
        <v>-4.8508112667622109E-2</v>
      </c>
    </row>
    <row r="240" spans="2:7" x14ac:dyDescent="0.25">
      <c r="B240" s="258">
        <v>45789</v>
      </c>
      <c r="C240">
        <v>234.96</v>
      </c>
      <c r="D240">
        <f>(C240-C241)/C241</f>
        <v>-3.7128104253749704E-2</v>
      </c>
      <c r="E240">
        <v>-3.6603710513120474E-2</v>
      </c>
      <c r="F240">
        <v>237</v>
      </c>
      <c r="G240">
        <f ca="1">_xlfn.NORM.INV(RAND(),$M$7,$M$8)</f>
        <v>-1.6505590444144666E-2</v>
      </c>
    </row>
    <row r="241" spans="2:7" x14ac:dyDescent="0.25">
      <c r="B241" s="258">
        <v>45790</v>
      </c>
      <c r="C241">
        <v>244.02</v>
      </c>
      <c r="D241">
        <f>(C241-C242)/C242</f>
        <v>1.1859346491955605E-2</v>
      </c>
      <c r="E241">
        <v>-3.7062624456455501E-2</v>
      </c>
      <c r="F241">
        <v>238</v>
      </c>
      <c r="G241">
        <f ca="1">_xlfn.NORM.INV(RAND(),$M$7,$M$8)</f>
        <v>7.1039050701616775E-3</v>
      </c>
    </row>
    <row r="242" spans="2:7" x14ac:dyDescent="0.25">
      <c r="B242" s="258">
        <v>45791</v>
      </c>
      <c r="C242">
        <v>241.16</v>
      </c>
      <c r="D242">
        <f>(C242-C243)/C243</f>
        <v>-1.9714645746107859E-2</v>
      </c>
      <c r="E242">
        <v>-3.7128104253749704E-2</v>
      </c>
      <c r="F242">
        <v>239</v>
      </c>
      <c r="G242">
        <f ca="1">_xlfn.NORM.INV(RAND(),$M$7,$M$8)</f>
        <v>-2.8597193373813674E-2</v>
      </c>
    </row>
    <row r="243" spans="2:7" x14ac:dyDescent="0.25">
      <c r="B243" s="258">
        <v>45792</v>
      </c>
      <c r="C243">
        <v>246.01</v>
      </c>
      <c r="D243">
        <f>(C243-C244)/C244</f>
        <v>-6.4617745648399604E-3</v>
      </c>
      <c r="E243">
        <v>-3.8688410825815325E-2</v>
      </c>
      <c r="F243">
        <v>240</v>
      </c>
      <c r="G243">
        <f ca="1">_xlfn.NORM.INV(RAND(),$M$7,$M$8)</f>
        <v>-3.1443813985369141E-2</v>
      </c>
    </row>
    <row r="244" spans="2:7" x14ac:dyDescent="0.25">
      <c r="B244" s="258">
        <v>45793</v>
      </c>
      <c r="C244">
        <v>247.61</v>
      </c>
      <c r="D244">
        <f>(C244-C245)/C245</f>
        <v>1.375015165608458E-3</v>
      </c>
      <c r="E244">
        <v>-4.5252525252525204E-2</v>
      </c>
      <c r="F244">
        <v>241</v>
      </c>
      <c r="G244">
        <f ca="1">_xlfn.NORM.INV(RAND(),$M$7,$M$8)</f>
        <v>-1.1124760280830127E-3</v>
      </c>
    </row>
    <row r="245" spans="2:7" x14ac:dyDescent="0.25">
      <c r="B245" s="258">
        <v>45796</v>
      </c>
      <c r="C245">
        <v>247.27</v>
      </c>
      <c r="D245">
        <f>(C245-C246)/C246</f>
        <v>2.7982804769243154E-3</v>
      </c>
      <c r="E245">
        <v>-4.7692904226444295E-2</v>
      </c>
      <c r="F245">
        <v>242</v>
      </c>
      <c r="G245">
        <f ca="1">_xlfn.NORM.INV(RAND(),$M$7,$M$8)</f>
        <v>-5.2302713759474571E-3</v>
      </c>
    </row>
    <row r="246" spans="2:7" x14ac:dyDescent="0.25">
      <c r="B246" s="258">
        <v>45797</v>
      </c>
      <c r="C246">
        <v>246.58</v>
      </c>
      <c r="D246">
        <f>(C246-C247)/C247</f>
        <v>-1.0751825403193367E-2</v>
      </c>
      <c r="E246">
        <v>-4.7751937984496055E-2</v>
      </c>
      <c r="F246">
        <v>243</v>
      </c>
      <c r="G246">
        <f ca="1">_xlfn.NORM.INV(RAND(),$M$7,$M$8)</f>
        <v>-1.3219314575260648E-2</v>
      </c>
    </row>
    <row r="247" spans="2:7" x14ac:dyDescent="0.25">
      <c r="B247" s="258">
        <v>45798</v>
      </c>
      <c r="C247">
        <v>249.26</v>
      </c>
      <c r="D247">
        <f>(C247-C248)/C248</f>
        <v>2.3323146211998718E-3</v>
      </c>
      <c r="E247">
        <v>-4.8391899940440734E-2</v>
      </c>
      <c r="F247">
        <v>244</v>
      </c>
      <c r="G247">
        <f ca="1">_xlfn.NORM.INV(RAND(),$M$7,$M$8)</f>
        <v>1.8558871832574286E-3</v>
      </c>
    </row>
    <row r="248" spans="2:7" x14ac:dyDescent="0.25">
      <c r="B248" s="258">
        <v>45799</v>
      </c>
      <c r="C248">
        <v>248.68</v>
      </c>
      <c r="D248">
        <f>(C248-C249)/C249</f>
        <v>2.9006496462117844E-2</v>
      </c>
      <c r="E248">
        <v>-4.9519100776391496E-2</v>
      </c>
      <c r="F248">
        <v>245</v>
      </c>
      <c r="G248">
        <f ca="1">_xlfn.NORM.INV(RAND(),$M$7,$M$8)</f>
        <v>-1.3133329510698521E-2</v>
      </c>
    </row>
    <row r="249" spans="2:7" x14ac:dyDescent="0.25">
      <c r="B249" s="258">
        <v>45800</v>
      </c>
      <c r="C249">
        <v>241.67</v>
      </c>
      <c r="D249">
        <f>(C249-C250)/C250</f>
        <v>-1.0522436947265073E-2</v>
      </c>
      <c r="E249">
        <v>-5.2641199049534029E-2</v>
      </c>
      <c r="F249">
        <v>246</v>
      </c>
      <c r="G249">
        <f ca="1">_xlfn.NORM.INV(RAND(),$M$7,$M$8)</f>
        <v>-6.3541617523222252E-2</v>
      </c>
    </row>
    <row r="250" spans="2:7" x14ac:dyDescent="0.25">
      <c r="B250" s="258">
        <v>45803</v>
      </c>
      <c r="C250">
        <v>244.24</v>
      </c>
      <c r="D250">
        <f>(C250-C251)/C251</f>
        <v>-6.912255021549925E-3</v>
      </c>
      <c r="E250">
        <v>-6.9517775431186202E-2</v>
      </c>
      <c r="F250">
        <v>247</v>
      </c>
      <c r="G250">
        <f ca="1">_xlfn.NORM.INV(RAND(),$M$7,$M$8)</f>
        <v>1.180138591976875E-2</v>
      </c>
    </row>
    <row r="251" spans="2:7" x14ac:dyDescent="0.25">
      <c r="B251" s="258">
        <v>45804</v>
      </c>
      <c r="C251">
        <v>245.94</v>
      </c>
      <c r="D251" t="e">
        <f>(C251-C252)/C252</f>
        <v>#DIV/0!</v>
      </c>
      <c r="E251">
        <v>-6.9887572166514728E-2</v>
      </c>
      <c r="F251">
        <v>248</v>
      </c>
      <c r="G251">
        <f ca="1">_xlfn.NORM.INV(RAND(),$M$7,$M$8)</f>
        <v>-4.8207427005558523E-2</v>
      </c>
    </row>
    <row r="252" spans="2:7" x14ac:dyDescent="0.25">
      <c r="F252">
        <v>249</v>
      </c>
      <c r="G252">
        <f ca="1">_xlfn.NORM.INV(RAND(),$M$7,$M$8)</f>
        <v>5.958054869015043E-3</v>
      </c>
    </row>
    <row r="253" spans="2:7" x14ac:dyDescent="0.25">
      <c r="F253">
        <v>250</v>
      </c>
      <c r="G253">
        <f ca="1">_xlfn.NORM.INV(RAND(),$M$7,$M$8)</f>
        <v>-1.3391697902549481E-2</v>
      </c>
    </row>
    <row r="254" spans="2:7" x14ac:dyDescent="0.25">
      <c r="F254">
        <v>251</v>
      </c>
      <c r="G254">
        <f ca="1">_xlfn.NORM.INV(RAND(),$M$7,$M$8)</f>
        <v>1.9422219833828511E-2</v>
      </c>
    </row>
    <row r="255" spans="2:7" x14ac:dyDescent="0.25">
      <c r="F255">
        <v>252</v>
      </c>
      <c r="G255">
        <f ca="1">_xlfn.NORM.INV(RAND(),$M$7,$M$8)</f>
        <v>-1.0473184973342183E-2</v>
      </c>
    </row>
    <row r="256" spans="2:7" x14ac:dyDescent="0.25">
      <c r="F256">
        <v>253</v>
      </c>
      <c r="G256">
        <f ca="1">_xlfn.NORM.INV(RAND(),$M$7,$M$8)</f>
        <v>-9.4541907243119155E-3</v>
      </c>
    </row>
    <row r="257" spans="6:7" x14ac:dyDescent="0.25">
      <c r="F257">
        <v>254</v>
      </c>
      <c r="G257">
        <f ca="1">_xlfn.NORM.INV(RAND(),$M$7,$M$8)</f>
        <v>1.5640228708392642E-2</v>
      </c>
    </row>
    <row r="258" spans="6:7" x14ac:dyDescent="0.25">
      <c r="F258">
        <v>255</v>
      </c>
      <c r="G258">
        <f ca="1">_xlfn.NORM.INV(RAND(),$M$7,$M$8)</f>
        <v>-4.4715400332710577E-2</v>
      </c>
    </row>
    <row r="259" spans="6:7" x14ac:dyDescent="0.25">
      <c r="F259">
        <v>256</v>
      </c>
      <c r="G259">
        <f ca="1">_xlfn.NORM.INV(RAND(),$M$7,$M$8)</f>
        <v>1.0461450737454367E-2</v>
      </c>
    </row>
    <row r="260" spans="6:7" x14ac:dyDescent="0.25">
      <c r="F260">
        <v>257</v>
      </c>
      <c r="G260">
        <f ca="1">_xlfn.NORM.INV(RAND(),$M$7,$M$8)</f>
        <v>-9.0448387499062685E-3</v>
      </c>
    </row>
    <row r="261" spans="6:7" x14ac:dyDescent="0.25">
      <c r="F261">
        <v>258</v>
      </c>
      <c r="G261">
        <f ca="1">_xlfn.NORM.INV(RAND(),$M$7,$M$8)</f>
        <v>3.0075284149069462E-2</v>
      </c>
    </row>
    <row r="262" spans="6:7" x14ac:dyDescent="0.25">
      <c r="F262">
        <v>259</v>
      </c>
      <c r="G262">
        <f ca="1">_xlfn.NORM.INV(RAND(),$M$7,$M$8)</f>
        <v>1.0591489153179569E-2</v>
      </c>
    </row>
    <row r="263" spans="6:7" x14ac:dyDescent="0.25">
      <c r="F263">
        <v>260</v>
      </c>
      <c r="G263">
        <f ca="1">_xlfn.NORM.INV(RAND(),$M$7,$M$8)</f>
        <v>5.8409828198571212E-3</v>
      </c>
    </row>
    <row r="264" spans="6:7" x14ac:dyDescent="0.25">
      <c r="F264">
        <v>261</v>
      </c>
      <c r="G264">
        <f ca="1">_xlfn.NORM.INV(RAND(),$M$7,$M$8)</f>
        <v>5.4336990152814367E-2</v>
      </c>
    </row>
    <row r="265" spans="6:7" x14ac:dyDescent="0.25">
      <c r="F265">
        <v>262</v>
      </c>
      <c r="G265">
        <f ca="1">_xlfn.NORM.INV(RAND(),$M$7,$M$8)</f>
        <v>1.8150745391473173E-2</v>
      </c>
    </row>
    <row r="266" spans="6:7" x14ac:dyDescent="0.25">
      <c r="F266">
        <v>263</v>
      </c>
      <c r="G266">
        <f ca="1">_xlfn.NORM.INV(RAND(),$M$7,$M$8)</f>
        <v>5.4263791908079617E-4</v>
      </c>
    </row>
    <row r="267" spans="6:7" x14ac:dyDescent="0.25">
      <c r="F267">
        <v>264</v>
      </c>
      <c r="G267">
        <f ca="1">_xlfn.NORM.INV(RAND(),$M$7,$M$8)</f>
        <v>-1.706566972201715E-2</v>
      </c>
    </row>
    <row r="268" spans="6:7" x14ac:dyDescent="0.25">
      <c r="F268">
        <v>265</v>
      </c>
      <c r="G268">
        <f ca="1">_xlfn.NORM.INV(RAND(),$M$7,$M$8)</f>
        <v>3.8440152135631303E-2</v>
      </c>
    </row>
    <row r="269" spans="6:7" x14ac:dyDescent="0.25">
      <c r="F269">
        <v>266</v>
      </c>
      <c r="G269">
        <f ca="1">_xlfn.NORM.INV(RAND(),$M$7,$M$8)</f>
        <v>-1.3933749869307708E-2</v>
      </c>
    </row>
    <row r="270" spans="6:7" x14ac:dyDescent="0.25">
      <c r="F270">
        <v>267</v>
      </c>
      <c r="G270">
        <f ca="1">_xlfn.NORM.INV(RAND(),$M$7,$M$8)</f>
        <v>1.9408477317287426E-2</v>
      </c>
    </row>
    <row r="271" spans="6:7" x14ac:dyDescent="0.25">
      <c r="F271">
        <v>268</v>
      </c>
      <c r="G271">
        <f ca="1">_xlfn.NORM.INV(RAND(),$M$7,$M$8)</f>
        <v>5.3640000962755112E-2</v>
      </c>
    </row>
    <row r="272" spans="6:7" x14ac:dyDescent="0.25">
      <c r="F272">
        <v>269</v>
      </c>
      <c r="G272">
        <f ca="1">_xlfn.NORM.INV(RAND(),$M$7,$M$8)</f>
        <v>1.9881329017212037E-2</v>
      </c>
    </row>
    <row r="273" spans="6:7" x14ac:dyDescent="0.25">
      <c r="F273">
        <v>270</v>
      </c>
      <c r="G273">
        <f ca="1">_xlfn.NORM.INV(RAND(),$M$7,$M$8)</f>
        <v>9.5733868523084562E-3</v>
      </c>
    </row>
    <row r="274" spans="6:7" x14ac:dyDescent="0.25">
      <c r="F274">
        <v>271</v>
      </c>
      <c r="G274">
        <f ca="1">_xlfn.NORM.INV(RAND(),$M$7,$M$8)</f>
        <v>-4.5752347364319795E-2</v>
      </c>
    </row>
    <row r="275" spans="6:7" x14ac:dyDescent="0.25">
      <c r="F275">
        <v>272</v>
      </c>
      <c r="G275">
        <f ca="1">_xlfn.NORM.INV(RAND(),$M$7,$M$8)</f>
        <v>3.2517747386788143E-2</v>
      </c>
    </row>
    <row r="276" spans="6:7" x14ac:dyDescent="0.25">
      <c r="F276">
        <v>273</v>
      </c>
      <c r="G276">
        <f ca="1">_xlfn.NORM.INV(RAND(),$M$7,$M$8)</f>
        <v>-1.2814147853753274E-2</v>
      </c>
    </row>
    <row r="277" spans="6:7" x14ac:dyDescent="0.25">
      <c r="F277">
        <v>274</v>
      </c>
      <c r="G277">
        <f ca="1">_xlfn.NORM.INV(RAND(),$M$7,$M$8)</f>
        <v>-4.9118342954044159E-2</v>
      </c>
    </row>
    <row r="278" spans="6:7" x14ac:dyDescent="0.25">
      <c r="F278">
        <v>275</v>
      </c>
      <c r="G278">
        <f ca="1">_xlfn.NORM.INV(RAND(),$M$7,$M$8)</f>
        <v>1.6186295824543707E-2</v>
      </c>
    </row>
    <row r="279" spans="6:7" x14ac:dyDescent="0.25">
      <c r="F279">
        <v>276</v>
      </c>
      <c r="G279">
        <f ca="1">_xlfn.NORM.INV(RAND(),$M$7,$M$8)</f>
        <v>-1.0065387859297148E-2</v>
      </c>
    </row>
    <row r="280" spans="6:7" x14ac:dyDescent="0.25">
      <c r="F280">
        <v>277</v>
      </c>
      <c r="G280">
        <f ca="1">_xlfn.NORM.INV(RAND(),$M$7,$M$8)</f>
        <v>-1.8100319660875729E-2</v>
      </c>
    </row>
    <row r="281" spans="6:7" x14ac:dyDescent="0.25">
      <c r="F281">
        <v>278</v>
      </c>
      <c r="G281">
        <f ca="1">_xlfn.NORM.INV(RAND(),$M$7,$M$8)</f>
        <v>1.1464655431165278E-2</v>
      </c>
    </row>
    <row r="282" spans="6:7" x14ac:dyDescent="0.25">
      <c r="F282">
        <v>279</v>
      </c>
      <c r="G282">
        <f ca="1">_xlfn.NORM.INV(RAND(),$M$7,$M$8)</f>
        <v>-2.0012402160058024E-2</v>
      </c>
    </row>
    <row r="283" spans="6:7" x14ac:dyDescent="0.25">
      <c r="F283">
        <v>280</v>
      </c>
      <c r="G283">
        <f ca="1">_xlfn.NORM.INV(RAND(),$M$7,$M$8)</f>
        <v>2.5507370889556229E-2</v>
      </c>
    </row>
    <row r="284" spans="6:7" x14ac:dyDescent="0.25">
      <c r="F284">
        <v>281</v>
      </c>
      <c r="G284">
        <f ca="1">_xlfn.NORM.INV(RAND(),$M$7,$M$8)</f>
        <v>-1.6892055382918547E-2</v>
      </c>
    </row>
    <row r="285" spans="6:7" x14ac:dyDescent="0.25">
      <c r="F285">
        <v>282</v>
      </c>
      <c r="G285">
        <f ca="1">_xlfn.NORM.INV(RAND(),$M$7,$M$8)</f>
        <v>6.3559403295907743E-2</v>
      </c>
    </row>
    <row r="286" spans="6:7" x14ac:dyDescent="0.25">
      <c r="F286">
        <v>283</v>
      </c>
      <c r="G286">
        <f ca="1">_xlfn.NORM.INV(RAND(),$M$7,$M$8)</f>
        <v>1.2793115450720219E-2</v>
      </c>
    </row>
    <row r="287" spans="6:7" x14ac:dyDescent="0.25">
      <c r="F287">
        <v>284</v>
      </c>
      <c r="G287">
        <f ca="1">_xlfn.NORM.INV(RAND(),$M$7,$M$8)</f>
        <v>-2.0894597076887626E-2</v>
      </c>
    </row>
    <row r="288" spans="6:7" x14ac:dyDescent="0.25">
      <c r="F288">
        <v>285</v>
      </c>
      <c r="G288">
        <f ca="1">_xlfn.NORM.INV(RAND(),$M$7,$M$8)</f>
        <v>1.4270055318073552E-2</v>
      </c>
    </row>
    <row r="289" spans="6:7" x14ac:dyDescent="0.25">
      <c r="F289">
        <v>286</v>
      </c>
      <c r="G289">
        <f ca="1">_xlfn.NORM.INV(RAND(),$M$7,$M$8)</f>
        <v>1.3209830362044921E-2</v>
      </c>
    </row>
    <row r="290" spans="6:7" x14ac:dyDescent="0.25">
      <c r="F290">
        <v>287</v>
      </c>
      <c r="G290">
        <f ca="1">_xlfn.NORM.INV(RAND(),$M$7,$M$8)</f>
        <v>2.1646001310326582E-2</v>
      </c>
    </row>
    <row r="291" spans="6:7" x14ac:dyDescent="0.25">
      <c r="F291">
        <v>288</v>
      </c>
      <c r="G291">
        <f ca="1">_xlfn.NORM.INV(RAND(),$M$7,$M$8)</f>
        <v>4.4126013581836845E-3</v>
      </c>
    </row>
    <row r="292" spans="6:7" x14ac:dyDescent="0.25">
      <c r="F292">
        <v>289</v>
      </c>
      <c r="G292">
        <f ca="1">_xlfn.NORM.INV(RAND(),$M$7,$M$8)</f>
        <v>-1.4407681873100969E-2</v>
      </c>
    </row>
    <row r="293" spans="6:7" x14ac:dyDescent="0.25">
      <c r="F293">
        <v>290</v>
      </c>
      <c r="G293">
        <f ca="1">_xlfn.NORM.INV(RAND(),$M$7,$M$8)</f>
        <v>-2.4651848430766763E-2</v>
      </c>
    </row>
    <row r="294" spans="6:7" x14ac:dyDescent="0.25">
      <c r="F294">
        <v>291</v>
      </c>
      <c r="G294">
        <f ca="1">_xlfn.NORM.INV(RAND(),$M$7,$M$8)</f>
        <v>3.3772373505557021E-2</v>
      </c>
    </row>
    <row r="295" spans="6:7" x14ac:dyDescent="0.25">
      <c r="F295">
        <v>292</v>
      </c>
      <c r="G295">
        <f ca="1">_xlfn.NORM.INV(RAND(),$M$7,$M$8)</f>
        <v>-4.7627457080222743E-2</v>
      </c>
    </row>
    <row r="296" spans="6:7" x14ac:dyDescent="0.25">
      <c r="F296">
        <v>293</v>
      </c>
      <c r="G296">
        <f ca="1">_xlfn.NORM.INV(RAND(),$M$7,$M$8)</f>
        <v>2.2492327270415315E-2</v>
      </c>
    </row>
    <row r="297" spans="6:7" x14ac:dyDescent="0.25">
      <c r="F297">
        <v>294</v>
      </c>
      <c r="G297">
        <f ca="1">_xlfn.NORM.INV(RAND(),$M$7,$M$8)</f>
        <v>2.9982940657499273E-2</v>
      </c>
    </row>
    <row r="298" spans="6:7" x14ac:dyDescent="0.25">
      <c r="F298">
        <v>295</v>
      </c>
      <c r="G298">
        <f ca="1">_xlfn.NORM.INV(RAND(),$M$7,$M$8)</f>
        <v>3.8665553049748737E-3</v>
      </c>
    </row>
    <row r="299" spans="6:7" x14ac:dyDescent="0.25">
      <c r="F299">
        <v>296</v>
      </c>
      <c r="G299">
        <f ca="1">_xlfn.NORM.INV(RAND(),$M$7,$M$8)</f>
        <v>-4.5584228893487504E-2</v>
      </c>
    </row>
    <row r="300" spans="6:7" x14ac:dyDescent="0.25">
      <c r="F300">
        <v>297</v>
      </c>
      <c r="G300">
        <f ca="1">_xlfn.NORM.INV(RAND(),$M$7,$M$8)</f>
        <v>-2.3719488301835755E-2</v>
      </c>
    </row>
    <row r="301" spans="6:7" x14ac:dyDescent="0.25">
      <c r="F301">
        <v>298</v>
      </c>
      <c r="G301">
        <f ca="1">_xlfn.NORM.INV(RAND(),$M$7,$M$8)</f>
        <v>3.9161802187227472E-2</v>
      </c>
    </row>
    <row r="302" spans="6:7" x14ac:dyDescent="0.25">
      <c r="F302">
        <v>299</v>
      </c>
      <c r="G302">
        <f ca="1">_xlfn.NORM.INV(RAND(),$M$7,$M$8)</f>
        <v>-6.2881039395408598E-4</v>
      </c>
    </row>
    <row r="303" spans="6:7" x14ac:dyDescent="0.25">
      <c r="F303">
        <v>300</v>
      </c>
      <c r="G303">
        <f ca="1">_xlfn.NORM.INV(RAND(),$M$7,$M$8)</f>
        <v>-6.4070223268039941E-4</v>
      </c>
    </row>
    <row r="304" spans="6:7" x14ac:dyDescent="0.25">
      <c r="F304">
        <v>301</v>
      </c>
      <c r="G304">
        <f ca="1">_xlfn.NORM.INV(RAND(),$M$7,$M$8)</f>
        <v>-3.132364840111506E-2</v>
      </c>
    </row>
    <row r="305" spans="6:7" x14ac:dyDescent="0.25">
      <c r="F305">
        <v>302</v>
      </c>
      <c r="G305">
        <f ca="1">_xlfn.NORM.INV(RAND(),$M$7,$M$8)</f>
        <v>3.1027254118003358E-3</v>
      </c>
    </row>
    <row r="306" spans="6:7" x14ac:dyDescent="0.25">
      <c r="F306">
        <v>303</v>
      </c>
      <c r="G306">
        <f ca="1">_xlfn.NORM.INV(RAND(),$M$7,$M$8)</f>
        <v>-4.1533286757465676E-3</v>
      </c>
    </row>
    <row r="307" spans="6:7" x14ac:dyDescent="0.25">
      <c r="F307">
        <v>304</v>
      </c>
      <c r="G307">
        <f ca="1">_xlfn.NORM.INV(RAND(),$M$7,$M$8)</f>
        <v>-9.0909178459435878E-4</v>
      </c>
    </row>
    <row r="308" spans="6:7" x14ac:dyDescent="0.25">
      <c r="F308">
        <v>305</v>
      </c>
      <c r="G308">
        <f ca="1">_xlfn.NORM.INV(RAND(),$M$7,$M$8)</f>
        <v>1.7450841668207321E-2</v>
      </c>
    </row>
    <row r="309" spans="6:7" x14ac:dyDescent="0.25">
      <c r="F309">
        <v>306</v>
      </c>
      <c r="G309">
        <f ca="1">_xlfn.NORM.INV(RAND(),$M$7,$M$8)</f>
        <v>-8.9503806160303959E-3</v>
      </c>
    </row>
    <row r="310" spans="6:7" x14ac:dyDescent="0.25">
      <c r="F310">
        <v>307</v>
      </c>
      <c r="G310">
        <f ca="1">_xlfn.NORM.INV(RAND(),$M$7,$M$8)</f>
        <v>1.2874177344581603E-2</v>
      </c>
    </row>
    <row r="311" spans="6:7" x14ac:dyDescent="0.25">
      <c r="F311">
        <v>308</v>
      </c>
      <c r="G311">
        <f ca="1">_xlfn.NORM.INV(RAND(),$M$7,$M$8)</f>
        <v>-6.225632573877999E-3</v>
      </c>
    </row>
    <row r="312" spans="6:7" x14ac:dyDescent="0.25">
      <c r="F312">
        <v>309</v>
      </c>
      <c r="G312">
        <f ca="1">_xlfn.NORM.INV(RAND(),$M$7,$M$8)</f>
        <v>-5.0570581706275021E-2</v>
      </c>
    </row>
    <row r="313" spans="6:7" x14ac:dyDescent="0.25">
      <c r="F313">
        <v>310</v>
      </c>
      <c r="G313">
        <f ca="1">_xlfn.NORM.INV(RAND(),$M$7,$M$8)</f>
        <v>1.7995244784661458E-2</v>
      </c>
    </row>
    <row r="314" spans="6:7" x14ac:dyDescent="0.25">
      <c r="F314">
        <v>311</v>
      </c>
      <c r="G314">
        <f ca="1">_xlfn.NORM.INV(RAND(),$M$7,$M$8)</f>
        <v>7.0630106366017884E-3</v>
      </c>
    </row>
    <row r="315" spans="6:7" x14ac:dyDescent="0.25">
      <c r="F315">
        <v>312</v>
      </c>
      <c r="G315">
        <f ca="1">_xlfn.NORM.INV(RAND(),$M$7,$M$8)</f>
        <v>-3.4084096458022267E-2</v>
      </c>
    </row>
    <row r="316" spans="6:7" x14ac:dyDescent="0.25">
      <c r="F316">
        <v>313</v>
      </c>
      <c r="G316">
        <f ca="1">_xlfn.NORM.INV(RAND(),$M$7,$M$8)</f>
        <v>3.1421722373989359E-2</v>
      </c>
    </row>
    <row r="317" spans="6:7" x14ac:dyDescent="0.25">
      <c r="F317">
        <v>314</v>
      </c>
      <c r="G317">
        <f ca="1">_xlfn.NORM.INV(RAND(),$M$7,$M$8)</f>
        <v>1.5934340531961973E-2</v>
      </c>
    </row>
    <row r="318" spans="6:7" x14ac:dyDescent="0.25">
      <c r="F318">
        <v>315</v>
      </c>
      <c r="G318">
        <f ca="1">_xlfn.NORM.INV(RAND(),$M$7,$M$8)</f>
        <v>-1.7322493170960511E-2</v>
      </c>
    </row>
    <row r="319" spans="6:7" x14ac:dyDescent="0.25">
      <c r="F319">
        <v>316</v>
      </c>
      <c r="G319">
        <f ca="1">_xlfn.NORM.INV(RAND(),$M$7,$M$8)</f>
        <v>9.6978537552593249E-3</v>
      </c>
    </row>
    <row r="320" spans="6:7" x14ac:dyDescent="0.25">
      <c r="F320">
        <v>317</v>
      </c>
      <c r="G320">
        <f ca="1">_xlfn.NORM.INV(RAND(),$M$7,$M$8)</f>
        <v>1.0412570781661652E-2</v>
      </c>
    </row>
    <row r="321" spans="6:7" x14ac:dyDescent="0.25">
      <c r="F321">
        <v>318</v>
      </c>
      <c r="G321">
        <f ca="1">_xlfn.NORM.INV(RAND(),$M$7,$M$8)</f>
        <v>7.7720816952769921E-4</v>
      </c>
    </row>
    <row r="322" spans="6:7" x14ac:dyDescent="0.25">
      <c r="F322">
        <v>319</v>
      </c>
      <c r="G322">
        <f ca="1">_xlfn.NORM.INV(RAND(),$M$7,$M$8)</f>
        <v>1.8334115647895721E-2</v>
      </c>
    </row>
    <row r="323" spans="6:7" x14ac:dyDescent="0.25">
      <c r="F323">
        <v>320</v>
      </c>
      <c r="G323">
        <f ca="1">_xlfn.NORM.INV(RAND(),$M$7,$M$8)</f>
        <v>1.7233770984204994E-2</v>
      </c>
    </row>
    <row r="324" spans="6:7" x14ac:dyDescent="0.25">
      <c r="F324">
        <v>321</v>
      </c>
      <c r="G324">
        <f ca="1">_xlfn.NORM.INV(RAND(),$M$7,$M$8)</f>
        <v>-1.5446385119260938E-2</v>
      </c>
    </row>
    <row r="325" spans="6:7" x14ac:dyDescent="0.25">
      <c r="F325">
        <v>322</v>
      </c>
      <c r="G325">
        <f ca="1">_xlfn.NORM.INV(RAND(),$M$7,$M$8)</f>
        <v>5.1064220099585132E-2</v>
      </c>
    </row>
    <row r="326" spans="6:7" x14ac:dyDescent="0.25">
      <c r="F326">
        <v>323</v>
      </c>
      <c r="G326">
        <f ca="1">_xlfn.NORM.INV(RAND(),$M$7,$M$8)</f>
        <v>4.7209259961147221E-2</v>
      </c>
    </row>
    <row r="327" spans="6:7" x14ac:dyDescent="0.25">
      <c r="F327">
        <v>324</v>
      </c>
      <c r="G327">
        <f ca="1">_xlfn.NORM.INV(RAND(),$M$7,$M$8)</f>
        <v>-6.8855572156615603E-3</v>
      </c>
    </row>
    <row r="328" spans="6:7" x14ac:dyDescent="0.25">
      <c r="F328">
        <v>325</v>
      </c>
      <c r="G328">
        <f ca="1">_xlfn.NORM.INV(RAND(),$M$7,$M$8)</f>
        <v>-1.359191052141432E-2</v>
      </c>
    </row>
    <row r="329" spans="6:7" x14ac:dyDescent="0.25">
      <c r="F329">
        <v>326</v>
      </c>
      <c r="G329">
        <f ca="1">_xlfn.NORM.INV(RAND(),$M$7,$M$8)</f>
        <v>4.997066100031965E-3</v>
      </c>
    </row>
    <row r="330" spans="6:7" x14ac:dyDescent="0.25">
      <c r="F330">
        <v>327</v>
      </c>
      <c r="G330">
        <f ca="1">_xlfn.NORM.INV(RAND(),$M$7,$M$8)</f>
        <v>-4.7768856263617834E-2</v>
      </c>
    </row>
    <row r="331" spans="6:7" x14ac:dyDescent="0.25">
      <c r="F331">
        <v>328</v>
      </c>
      <c r="G331">
        <f ca="1">_xlfn.NORM.INV(RAND(),$M$7,$M$8)</f>
        <v>-5.0420831418246329E-3</v>
      </c>
    </row>
    <row r="332" spans="6:7" x14ac:dyDescent="0.25">
      <c r="F332">
        <v>329</v>
      </c>
      <c r="G332">
        <f ca="1">_xlfn.NORM.INV(RAND(),$M$7,$M$8)</f>
        <v>-1.0254762637522808E-2</v>
      </c>
    </row>
    <row r="333" spans="6:7" x14ac:dyDescent="0.25">
      <c r="F333">
        <v>330</v>
      </c>
      <c r="G333">
        <f ca="1">_xlfn.NORM.INV(RAND(),$M$7,$M$8)</f>
        <v>-6.3423866228473208E-3</v>
      </c>
    </row>
    <row r="334" spans="6:7" x14ac:dyDescent="0.25">
      <c r="F334">
        <v>331</v>
      </c>
      <c r="G334">
        <f ca="1">_xlfn.NORM.INV(RAND(),$M$7,$M$8)</f>
        <v>2.8958712783099579E-4</v>
      </c>
    </row>
    <row r="335" spans="6:7" x14ac:dyDescent="0.25">
      <c r="F335">
        <v>332</v>
      </c>
      <c r="G335">
        <f ca="1">_xlfn.NORM.INV(RAND(),$M$7,$M$8)</f>
        <v>2.9766201698913211E-2</v>
      </c>
    </row>
    <row r="336" spans="6:7" x14ac:dyDescent="0.25">
      <c r="F336">
        <v>333</v>
      </c>
      <c r="G336">
        <f ca="1">_xlfn.NORM.INV(RAND(),$M$7,$M$8)</f>
        <v>-7.2814813348476871E-3</v>
      </c>
    </row>
    <row r="337" spans="6:7" x14ac:dyDescent="0.25">
      <c r="F337">
        <v>334</v>
      </c>
      <c r="G337">
        <f ca="1">_xlfn.NORM.INV(RAND(),$M$7,$M$8)</f>
        <v>-1.0108918386807251E-2</v>
      </c>
    </row>
    <row r="338" spans="6:7" x14ac:dyDescent="0.25">
      <c r="F338">
        <v>335</v>
      </c>
      <c r="G338">
        <f ca="1">_xlfn.NORM.INV(RAND(),$M$7,$M$8)</f>
        <v>-4.2625819377600696E-2</v>
      </c>
    </row>
    <row r="339" spans="6:7" x14ac:dyDescent="0.25">
      <c r="F339">
        <v>336</v>
      </c>
      <c r="G339">
        <f ca="1">_xlfn.NORM.INV(RAND(),$M$7,$M$8)</f>
        <v>-2.1078873017356618E-2</v>
      </c>
    </row>
    <row r="340" spans="6:7" x14ac:dyDescent="0.25">
      <c r="F340">
        <v>337</v>
      </c>
      <c r="G340">
        <f ca="1">_xlfn.NORM.INV(RAND(),$M$7,$M$8)</f>
        <v>2.1655561558664507E-2</v>
      </c>
    </row>
    <row r="341" spans="6:7" x14ac:dyDescent="0.25">
      <c r="F341">
        <v>338</v>
      </c>
      <c r="G341">
        <f ca="1">_xlfn.NORM.INV(RAND(),$M$7,$M$8)</f>
        <v>3.4202849077188888E-2</v>
      </c>
    </row>
    <row r="342" spans="6:7" x14ac:dyDescent="0.25">
      <c r="F342">
        <v>339</v>
      </c>
      <c r="G342">
        <f ca="1">_xlfn.NORM.INV(RAND(),$M$7,$M$8)</f>
        <v>-2.741316285135003E-5</v>
      </c>
    </row>
    <row r="343" spans="6:7" x14ac:dyDescent="0.25">
      <c r="F343">
        <v>340</v>
      </c>
      <c r="G343">
        <f ca="1">_xlfn.NORM.INV(RAND(),$M$7,$M$8)</f>
        <v>3.7886124613058042E-2</v>
      </c>
    </row>
    <row r="344" spans="6:7" x14ac:dyDescent="0.25">
      <c r="F344">
        <v>341</v>
      </c>
      <c r="G344">
        <f ca="1">_xlfn.NORM.INV(RAND(),$M$7,$M$8)</f>
        <v>-1.0815752361306137E-2</v>
      </c>
    </row>
    <row r="345" spans="6:7" x14ac:dyDescent="0.25">
      <c r="F345">
        <v>342</v>
      </c>
      <c r="G345">
        <f ca="1">_xlfn.NORM.INV(RAND(),$M$7,$M$8)</f>
        <v>-6.4608141950171331E-3</v>
      </c>
    </row>
    <row r="346" spans="6:7" x14ac:dyDescent="0.25">
      <c r="F346">
        <v>343</v>
      </c>
      <c r="G346">
        <f ca="1">_xlfn.NORM.INV(RAND(),$M$7,$M$8)</f>
        <v>-3.0859189937791746E-2</v>
      </c>
    </row>
    <row r="347" spans="6:7" x14ac:dyDescent="0.25">
      <c r="F347">
        <v>344</v>
      </c>
      <c r="G347">
        <f ca="1">_xlfn.NORM.INV(RAND(),$M$7,$M$8)</f>
        <v>8.9049930041900146E-3</v>
      </c>
    </row>
    <row r="348" spans="6:7" x14ac:dyDescent="0.25">
      <c r="F348">
        <v>345</v>
      </c>
      <c r="G348">
        <f ca="1">_xlfn.NORM.INV(RAND(),$M$7,$M$8)</f>
        <v>2.4448582261263882E-2</v>
      </c>
    </row>
    <row r="349" spans="6:7" x14ac:dyDescent="0.25">
      <c r="F349">
        <v>346</v>
      </c>
      <c r="G349">
        <f ca="1">_xlfn.NORM.INV(RAND(),$M$7,$M$8)</f>
        <v>1.0170942093459442E-2</v>
      </c>
    </row>
    <row r="350" spans="6:7" x14ac:dyDescent="0.25">
      <c r="F350">
        <v>347</v>
      </c>
      <c r="G350">
        <f ca="1">_xlfn.NORM.INV(RAND(),$M$7,$M$8)</f>
        <v>5.7220735032669987E-4</v>
      </c>
    </row>
    <row r="351" spans="6:7" x14ac:dyDescent="0.25">
      <c r="F351">
        <v>348</v>
      </c>
      <c r="G351">
        <f ca="1">_xlfn.NORM.INV(RAND(),$M$7,$M$8)</f>
        <v>-8.1139959083848245E-3</v>
      </c>
    </row>
    <row r="352" spans="6:7" x14ac:dyDescent="0.25">
      <c r="F352">
        <v>349</v>
      </c>
      <c r="G352">
        <f ca="1">_xlfn.NORM.INV(RAND(),$M$7,$M$8)</f>
        <v>3.3007358076826893E-2</v>
      </c>
    </row>
    <row r="353" spans="6:7" x14ac:dyDescent="0.25">
      <c r="F353">
        <v>350</v>
      </c>
      <c r="G353">
        <f ca="1">_xlfn.NORM.INV(RAND(),$M$7,$M$8)</f>
        <v>2.1429372090749636E-2</v>
      </c>
    </row>
    <row r="354" spans="6:7" x14ac:dyDescent="0.25">
      <c r="F354">
        <v>351</v>
      </c>
      <c r="G354">
        <f ca="1">_xlfn.NORM.INV(RAND(),$M$7,$M$8)</f>
        <v>1.9470337157671883E-2</v>
      </c>
    </row>
    <row r="355" spans="6:7" x14ac:dyDescent="0.25">
      <c r="F355">
        <v>352</v>
      </c>
      <c r="G355">
        <f ca="1">_xlfn.NORM.INV(RAND(),$M$7,$M$8)</f>
        <v>2.9254383874492765E-2</v>
      </c>
    </row>
    <row r="356" spans="6:7" x14ac:dyDescent="0.25">
      <c r="F356">
        <v>353</v>
      </c>
      <c r="G356">
        <f ca="1">_xlfn.NORM.INV(RAND(),$M$7,$M$8)</f>
        <v>1.1947263471170833E-2</v>
      </c>
    </row>
    <row r="357" spans="6:7" x14ac:dyDescent="0.25">
      <c r="F357">
        <v>354</v>
      </c>
      <c r="G357">
        <f ca="1">_xlfn.NORM.INV(RAND(),$M$7,$M$8)</f>
        <v>-2.2353899160519844E-2</v>
      </c>
    </row>
    <row r="358" spans="6:7" x14ac:dyDescent="0.25">
      <c r="F358">
        <v>355</v>
      </c>
      <c r="G358">
        <f ca="1">_xlfn.NORM.INV(RAND(),$M$7,$M$8)</f>
        <v>-1.3976525787405648E-2</v>
      </c>
    </row>
    <row r="359" spans="6:7" x14ac:dyDescent="0.25">
      <c r="F359">
        <v>356</v>
      </c>
      <c r="G359">
        <f ca="1">_xlfn.NORM.INV(RAND(),$M$7,$M$8)</f>
        <v>-7.3016168384803046E-3</v>
      </c>
    </row>
    <row r="360" spans="6:7" x14ac:dyDescent="0.25">
      <c r="F360">
        <v>357</v>
      </c>
      <c r="G360">
        <f ca="1">_xlfn.NORM.INV(RAND(),$M$7,$M$8)</f>
        <v>5.009224202465001E-3</v>
      </c>
    </row>
    <row r="361" spans="6:7" x14ac:dyDescent="0.25">
      <c r="F361">
        <v>358</v>
      </c>
      <c r="G361">
        <f ca="1">_xlfn.NORM.INV(RAND(),$M$7,$M$8)</f>
        <v>-4.3363241841528628E-2</v>
      </c>
    </row>
    <row r="362" spans="6:7" x14ac:dyDescent="0.25">
      <c r="F362">
        <v>359</v>
      </c>
      <c r="G362">
        <f ca="1">_xlfn.NORM.INV(RAND(),$M$7,$M$8)</f>
        <v>4.1102809668242701E-2</v>
      </c>
    </row>
    <row r="363" spans="6:7" x14ac:dyDescent="0.25">
      <c r="F363">
        <v>360</v>
      </c>
      <c r="G363">
        <f ca="1">_xlfn.NORM.INV(RAND(),$M$7,$M$8)</f>
        <v>4.7777945643434808E-2</v>
      </c>
    </row>
    <row r="364" spans="6:7" x14ac:dyDescent="0.25">
      <c r="F364">
        <v>361</v>
      </c>
      <c r="G364">
        <f ca="1">_xlfn.NORM.INV(RAND(),$M$7,$M$8)</f>
        <v>-5.0178495895915678E-2</v>
      </c>
    </row>
    <row r="365" spans="6:7" x14ac:dyDescent="0.25">
      <c r="F365">
        <v>362</v>
      </c>
      <c r="G365">
        <f ca="1">_xlfn.NORM.INV(RAND(),$M$7,$M$8)</f>
        <v>5.1606075413297738E-3</v>
      </c>
    </row>
    <row r="366" spans="6:7" x14ac:dyDescent="0.25">
      <c r="F366">
        <v>363</v>
      </c>
      <c r="G366">
        <f ca="1">_xlfn.NORM.INV(RAND(),$M$7,$M$8)</f>
        <v>5.2448288957875989E-2</v>
      </c>
    </row>
    <row r="367" spans="6:7" x14ac:dyDescent="0.25">
      <c r="F367">
        <v>364</v>
      </c>
      <c r="G367">
        <f ca="1">_xlfn.NORM.INV(RAND(),$M$7,$M$8)</f>
        <v>1.631413732252434E-2</v>
      </c>
    </row>
    <row r="368" spans="6:7" x14ac:dyDescent="0.25">
      <c r="F368">
        <v>365</v>
      </c>
      <c r="G368">
        <f ca="1">_xlfn.NORM.INV(RAND(),$M$7,$M$8)</f>
        <v>-2.3656806614763076E-2</v>
      </c>
    </row>
    <row r="369" spans="6:7" x14ac:dyDescent="0.25">
      <c r="F369">
        <v>366</v>
      </c>
      <c r="G369">
        <f ca="1">_xlfn.NORM.INV(RAND(),$M$7,$M$8)</f>
        <v>-2.813262450453153E-2</v>
      </c>
    </row>
    <row r="370" spans="6:7" x14ac:dyDescent="0.25">
      <c r="F370">
        <v>367</v>
      </c>
      <c r="G370">
        <f ca="1">_xlfn.NORM.INV(RAND(),$M$7,$M$8)</f>
        <v>3.7278110524237788E-2</v>
      </c>
    </row>
    <row r="371" spans="6:7" x14ac:dyDescent="0.25">
      <c r="F371">
        <v>368</v>
      </c>
      <c r="G371">
        <f ca="1">_xlfn.NORM.INV(RAND(),$M$7,$M$8)</f>
        <v>5.8192409497859268E-3</v>
      </c>
    </row>
    <row r="372" spans="6:7" x14ac:dyDescent="0.25">
      <c r="F372">
        <v>369</v>
      </c>
      <c r="G372">
        <f ca="1">_xlfn.NORM.INV(RAND(),$M$7,$M$8)</f>
        <v>-2.0590885383011757E-2</v>
      </c>
    </row>
    <row r="373" spans="6:7" x14ac:dyDescent="0.25">
      <c r="F373">
        <v>370</v>
      </c>
      <c r="G373">
        <f ca="1">_xlfn.NORM.INV(RAND(),$M$7,$M$8)</f>
        <v>8.6467147547890262E-3</v>
      </c>
    </row>
    <row r="374" spans="6:7" x14ac:dyDescent="0.25">
      <c r="F374">
        <v>371</v>
      </c>
      <c r="G374">
        <f ca="1">_xlfn.NORM.INV(RAND(),$M$7,$M$8)</f>
        <v>1.1511031596342949E-2</v>
      </c>
    </row>
    <row r="375" spans="6:7" x14ac:dyDescent="0.25">
      <c r="F375">
        <v>372</v>
      </c>
      <c r="G375">
        <f ca="1">_xlfn.NORM.INV(RAND(),$M$7,$M$8)</f>
        <v>-3.2390889663750332E-2</v>
      </c>
    </row>
    <row r="376" spans="6:7" x14ac:dyDescent="0.25">
      <c r="F376">
        <v>373</v>
      </c>
      <c r="G376">
        <f ca="1">_xlfn.NORM.INV(RAND(),$M$7,$M$8)</f>
        <v>1.145144235108124E-2</v>
      </c>
    </row>
    <row r="377" spans="6:7" x14ac:dyDescent="0.25">
      <c r="F377">
        <v>374</v>
      </c>
      <c r="G377">
        <f ca="1">_xlfn.NORM.INV(RAND(),$M$7,$M$8)</f>
        <v>2.3699002786296844E-2</v>
      </c>
    </row>
    <row r="378" spans="6:7" x14ac:dyDescent="0.25">
      <c r="F378">
        <v>375</v>
      </c>
      <c r="G378">
        <f ca="1">_xlfn.NORM.INV(RAND(),$M$7,$M$8)</f>
        <v>-1.8080246519758874E-3</v>
      </c>
    </row>
    <row r="379" spans="6:7" x14ac:dyDescent="0.25">
      <c r="F379">
        <v>376</v>
      </c>
      <c r="G379">
        <f ca="1">_xlfn.NORM.INV(RAND(),$M$7,$M$8)</f>
        <v>2.9014231082922174E-2</v>
      </c>
    </row>
    <row r="380" spans="6:7" x14ac:dyDescent="0.25">
      <c r="F380">
        <v>377</v>
      </c>
      <c r="G380">
        <f ca="1">_xlfn.NORM.INV(RAND(),$M$7,$M$8)</f>
        <v>-2.0045335998368424E-2</v>
      </c>
    </row>
    <row r="381" spans="6:7" x14ac:dyDescent="0.25">
      <c r="F381">
        <v>378</v>
      </c>
      <c r="G381">
        <f ca="1">_xlfn.NORM.INV(RAND(),$M$7,$M$8)</f>
        <v>1.4270637508220675E-2</v>
      </c>
    </row>
    <row r="382" spans="6:7" x14ac:dyDescent="0.25">
      <c r="F382">
        <v>379</v>
      </c>
      <c r="G382">
        <f ca="1">_xlfn.NORM.INV(RAND(),$M$7,$M$8)</f>
        <v>4.1765058189487142E-2</v>
      </c>
    </row>
    <row r="383" spans="6:7" x14ac:dyDescent="0.25">
      <c r="F383">
        <v>380</v>
      </c>
      <c r="G383">
        <f ca="1">_xlfn.NORM.INV(RAND(),$M$7,$M$8)</f>
        <v>-1.4266040874551616E-2</v>
      </c>
    </row>
    <row r="384" spans="6:7" x14ac:dyDescent="0.25">
      <c r="F384">
        <v>381</v>
      </c>
      <c r="G384">
        <f ca="1">_xlfn.NORM.INV(RAND(),$M$7,$M$8)</f>
        <v>-2.0488811686103454E-2</v>
      </c>
    </row>
    <row r="385" spans="6:7" x14ac:dyDescent="0.25">
      <c r="F385">
        <v>382</v>
      </c>
      <c r="G385">
        <f ca="1">_xlfn.NORM.INV(RAND(),$M$7,$M$8)</f>
        <v>-1.9413423911558942E-2</v>
      </c>
    </row>
    <row r="386" spans="6:7" x14ac:dyDescent="0.25">
      <c r="F386">
        <v>383</v>
      </c>
      <c r="G386">
        <f ca="1">_xlfn.NORM.INV(RAND(),$M$7,$M$8)</f>
        <v>2.0495844775788894E-2</v>
      </c>
    </row>
    <row r="387" spans="6:7" x14ac:dyDescent="0.25">
      <c r="F387">
        <v>384</v>
      </c>
      <c r="G387">
        <f ca="1">_xlfn.NORM.INV(RAND(),$M$7,$M$8)</f>
        <v>-4.5845606309698767E-3</v>
      </c>
    </row>
    <row r="388" spans="6:7" x14ac:dyDescent="0.25">
      <c r="F388">
        <v>385</v>
      </c>
      <c r="G388">
        <f ca="1">_xlfn.NORM.INV(RAND(),$M$7,$M$8)</f>
        <v>8.7234558492547375E-3</v>
      </c>
    </row>
    <row r="389" spans="6:7" x14ac:dyDescent="0.25">
      <c r="F389">
        <v>386</v>
      </c>
      <c r="G389">
        <f ca="1">_xlfn.NORM.INV(RAND(),$M$7,$M$8)</f>
        <v>-1.1316041366983196E-4</v>
      </c>
    </row>
    <row r="390" spans="6:7" x14ac:dyDescent="0.25">
      <c r="F390">
        <v>387</v>
      </c>
      <c r="G390">
        <f ca="1">_xlfn.NORM.INV(RAND(),$M$7,$M$8)</f>
        <v>7.18107201091856E-2</v>
      </c>
    </row>
    <row r="391" spans="6:7" x14ac:dyDescent="0.25">
      <c r="F391">
        <v>388</v>
      </c>
      <c r="G391">
        <f ca="1">_xlfn.NORM.INV(RAND(),$M$7,$M$8)</f>
        <v>-1.8104245254153143E-3</v>
      </c>
    </row>
    <row r="392" spans="6:7" x14ac:dyDescent="0.25">
      <c r="F392">
        <v>389</v>
      </c>
      <c r="G392">
        <f ca="1">_xlfn.NORM.INV(RAND(),$M$7,$M$8)</f>
        <v>-1.0054136631989027E-2</v>
      </c>
    </row>
    <row r="393" spans="6:7" x14ac:dyDescent="0.25">
      <c r="F393">
        <v>390</v>
      </c>
      <c r="G393">
        <f ca="1">_xlfn.NORM.INV(RAND(),$M$7,$M$8)</f>
        <v>-2.7817683587427911E-2</v>
      </c>
    </row>
    <row r="394" spans="6:7" x14ac:dyDescent="0.25">
      <c r="F394">
        <v>391</v>
      </c>
      <c r="G394">
        <f ca="1">_xlfn.NORM.INV(RAND(),$M$7,$M$8)</f>
        <v>-1.8832080210339559E-2</v>
      </c>
    </row>
    <row r="395" spans="6:7" x14ac:dyDescent="0.25">
      <c r="F395">
        <v>392</v>
      </c>
      <c r="G395">
        <f ca="1">_xlfn.NORM.INV(RAND(),$M$7,$M$8)</f>
        <v>5.1078347608129786E-2</v>
      </c>
    </row>
    <row r="396" spans="6:7" x14ac:dyDescent="0.25">
      <c r="F396">
        <v>393</v>
      </c>
      <c r="G396">
        <f ca="1">_xlfn.NORM.INV(RAND(),$M$7,$M$8)</f>
        <v>-9.916243274825258E-3</v>
      </c>
    </row>
    <row r="397" spans="6:7" x14ac:dyDescent="0.25">
      <c r="F397">
        <v>394</v>
      </c>
      <c r="G397">
        <f ca="1">_xlfn.NORM.INV(RAND(),$M$7,$M$8)</f>
        <v>4.4841766794916742E-2</v>
      </c>
    </row>
    <row r="398" spans="6:7" x14ac:dyDescent="0.25">
      <c r="F398">
        <v>395</v>
      </c>
      <c r="G398">
        <f ca="1">_xlfn.NORM.INV(RAND(),$M$7,$M$8)</f>
        <v>1.185942099577887E-2</v>
      </c>
    </row>
    <row r="399" spans="6:7" x14ac:dyDescent="0.25">
      <c r="F399">
        <v>396</v>
      </c>
      <c r="G399">
        <f ca="1">_xlfn.NORM.INV(RAND(),$M$7,$M$8)</f>
        <v>8.3531205080423655E-3</v>
      </c>
    </row>
    <row r="400" spans="6:7" x14ac:dyDescent="0.25">
      <c r="F400">
        <v>397</v>
      </c>
      <c r="G400">
        <f ca="1">_xlfn.NORM.INV(RAND(),$M$7,$M$8)</f>
        <v>-2.392713153836587E-2</v>
      </c>
    </row>
    <row r="401" spans="6:7" x14ac:dyDescent="0.25">
      <c r="F401">
        <v>398</v>
      </c>
      <c r="G401">
        <f ca="1">_xlfn.NORM.INV(RAND(),$M$7,$M$8)</f>
        <v>5.5937738610828555E-2</v>
      </c>
    </row>
    <row r="402" spans="6:7" x14ac:dyDescent="0.25">
      <c r="F402">
        <v>399</v>
      </c>
      <c r="G402">
        <f ca="1">_xlfn.NORM.INV(RAND(),$M$7,$M$8)</f>
        <v>-1.2269683997204992E-2</v>
      </c>
    </row>
    <row r="403" spans="6:7" x14ac:dyDescent="0.25">
      <c r="F403">
        <v>400</v>
      </c>
      <c r="G403">
        <f ca="1">_xlfn.NORM.INV(RAND(),$M$7,$M$8)</f>
        <v>-1.9428566732004542E-2</v>
      </c>
    </row>
    <row r="404" spans="6:7" x14ac:dyDescent="0.25">
      <c r="F404">
        <v>401</v>
      </c>
      <c r="G404">
        <f ca="1">_xlfn.NORM.INV(RAND(),$M$7,$M$8)</f>
        <v>1.5092488419208181E-2</v>
      </c>
    </row>
    <row r="405" spans="6:7" x14ac:dyDescent="0.25">
      <c r="F405">
        <v>402</v>
      </c>
      <c r="G405">
        <f ca="1">_xlfn.NORM.INV(RAND(),$M$7,$M$8)</f>
        <v>1.5801830265630284E-2</v>
      </c>
    </row>
    <row r="406" spans="6:7" x14ac:dyDescent="0.25">
      <c r="F406">
        <v>403</v>
      </c>
      <c r="G406">
        <f ca="1">_xlfn.NORM.INV(RAND(),$M$7,$M$8)</f>
        <v>-1.2327449555407573E-2</v>
      </c>
    </row>
    <row r="407" spans="6:7" x14ac:dyDescent="0.25">
      <c r="F407">
        <v>404</v>
      </c>
      <c r="G407">
        <f ca="1">_xlfn.NORM.INV(RAND(),$M$7,$M$8)</f>
        <v>7.0676483155743167E-2</v>
      </c>
    </row>
    <row r="408" spans="6:7" x14ac:dyDescent="0.25">
      <c r="F408">
        <v>405</v>
      </c>
      <c r="G408">
        <f ca="1">_xlfn.NORM.INV(RAND(),$M$7,$M$8)</f>
        <v>-5.8294528527448701E-3</v>
      </c>
    </row>
    <row r="409" spans="6:7" x14ac:dyDescent="0.25">
      <c r="F409">
        <v>406</v>
      </c>
      <c r="G409">
        <f ca="1">_xlfn.NORM.INV(RAND(),$M$7,$M$8)</f>
        <v>-1.9612255189923228E-2</v>
      </c>
    </row>
    <row r="410" spans="6:7" x14ac:dyDescent="0.25">
      <c r="F410">
        <v>407</v>
      </c>
      <c r="G410">
        <f ca="1">_xlfn.NORM.INV(RAND(),$M$7,$M$8)</f>
        <v>-3.1975911823811189E-2</v>
      </c>
    </row>
    <row r="411" spans="6:7" x14ac:dyDescent="0.25">
      <c r="F411">
        <v>408</v>
      </c>
      <c r="G411">
        <f ca="1">_xlfn.NORM.INV(RAND(),$M$7,$M$8)</f>
        <v>1.6645324238082002E-2</v>
      </c>
    </row>
    <row r="412" spans="6:7" x14ac:dyDescent="0.25">
      <c r="F412">
        <v>409</v>
      </c>
      <c r="G412">
        <f ca="1">_xlfn.NORM.INV(RAND(),$M$7,$M$8)</f>
        <v>-1.1108277755099769E-2</v>
      </c>
    </row>
    <row r="413" spans="6:7" x14ac:dyDescent="0.25">
      <c r="F413">
        <v>410</v>
      </c>
      <c r="G413">
        <f ca="1">_xlfn.NORM.INV(RAND(),$M$7,$M$8)</f>
        <v>-1.3071618936034753E-2</v>
      </c>
    </row>
    <row r="414" spans="6:7" x14ac:dyDescent="0.25">
      <c r="F414">
        <v>411</v>
      </c>
      <c r="G414">
        <f ca="1">_xlfn.NORM.INV(RAND(),$M$7,$M$8)</f>
        <v>-8.3233844081018749E-3</v>
      </c>
    </row>
    <row r="415" spans="6:7" x14ac:dyDescent="0.25">
      <c r="F415">
        <v>412</v>
      </c>
      <c r="G415">
        <f ca="1">_xlfn.NORM.INV(RAND(),$M$7,$M$8)</f>
        <v>-2.2663439710803265E-3</v>
      </c>
    </row>
    <row r="416" spans="6:7" x14ac:dyDescent="0.25">
      <c r="F416">
        <v>413</v>
      </c>
      <c r="G416">
        <f ca="1">_xlfn.NORM.INV(RAND(),$M$7,$M$8)</f>
        <v>4.5555883572194842E-3</v>
      </c>
    </row>
    <row r="417" spans="6:7" x14ac:dyDescent="0.25">
      <c r="F417">
        <v>414</v>
      </c>
      <c r="G417">
        <f ca="1">_xlfn.NORM.INV(RAND(),$M$7,$M$8)</f>
        <v>-3.7498432928582279E-2</v>
      </c>
    </row>
    <row r="418" spans="6:7" x14ac:dyDescent="0.25">
      <c r="F418">
        <v>415</v>
      </c>
      <c r="G418">
        <f ca="1">_xlfn.NORM.INV(RAND(),$M$7,$M$8)</f>
        <v>1.3248309710762796E-2</v>
      </c>
    </row>
    <row r="419" spans="6:7" x14ac:dyDescent="0.25">
      <c r="F419">
        <v>416</v>
      </c>
      <c r="G419">
        <f ca="1">_xlfn.NORM.INV(RAND(),$M$7,$M$8)</f>
        <v>-1.0093987307983748E-2</v>
      </c>
    </row>
    <row r="420" spans="6:7" x14ac:dyDescent="0.25">
      <c r="F420">
        <v>417</v>
      </c>
      <c r="G420">
        <f ca="1">_xlfn.NORM.INV(RAND(),$M$7,$M$8)</f>
        <v>-4.2348018048495022E-2</v>
      </c>
    </row>
    <row r="421" spans="6:7" x14ac:dyDescent="0.25">
      <c r="F421">
        <v>418</v>
      </c>
      <c r="G421">
        <f ca="1">_xlfn.NORM.INV(RAND(),$M$7,$M$8)</f>
        <v>3.5561005995341559E-2</v>
      </c>
    </row>
    <row r="422" spans="6:7" x14ac:dyDescent="0.25">
      <c r="F422">
        <v>419</v>
      </c>
      <c r="G422">
        <f ca="1">_xlfn.NORM.INV(RAND(),$M$7,$M$8)</f>
        <v>2.8032908736759304E-4</v>
      </c>
    </row>
    <row r="423" spans="6:7" x14ac:dyDescent="0.25">
      <c r="F423">
        <v>420</v>
      </c>
      <c r="G423">
        <f ca="1">_xlfn.NORM.INV(RAND(),$M$7,$M$8)</f>
        <v>-2.0376950593702103E-2</v>
      </c>
    </row>
    <row r="424" spans="6:7" x14ac:dyDescent="0.25">
      <c r="F424">
        <v>421</v>
      </c>
      <c r="G424">
        <f ca="1">_xlfn.NORM.INV(RAND(),$M$7,$M$8)</f>
        <v>-6.3025700051679793E-3</v>
      </c>
    </row>
    <row r="425" spans="6:7" x14ac:dyDescent="0.25">
      <c r="F425">
        <v>422</v>
      </c>
      <c r="G425">
        <f ca="1">_xlfn.NORM.INV(RAND(),$M$7,$M$8)</f>
        <v>-4.0227258223150854E-3</v>
      </c>
    </row>
    <row r="426" spans="6:7" x14ac:dyDescent="0.25">
      <c r="F426">
        <v>423</v>
      </c>
      <c r="G426">
        <f ca="1">_xlfn.NORM.INV(RAND(),$M$7,$M$8)</f>
        <v>1.0938246127580971E-3</v>
      </c>
    </row>
    <row r="427" spans="6:7" x14ac:dyDescent="0.25">
      <c r="F427">
        <v>424</v>
      </c>
      <c r="G427">
        <f ca="1">_xlfn.NORM.INV(RAND(),$M$7,$M$8)</f>
        <v>1.7869133168476364E-2</v>
      </c>
    </row>
    <row r="428" spans="6:7" x14ac:dyDescent="0.25">
      <c r="F428">
        <v>425</v>
      </c>
      <c r="G428">
        <f ca="1">_xlfn.NORM.INV(RAND(),$M$7,$M$8)</f>
        <v>-2.8792668320284577E-2</v>
      </c>
    </row>
    <row r="429" spans="6:7" x14ac:dyDescent="0.25">
      <c r="F429">
        <v>426</v>
      </c>
      <c r="G429">
        <f ca="1">_xlfn.NORM.INV(RAND(),$M$7,$M$8)</f>
        <v>2.4806793478376728E-2</v>
      </c>
    </row>
    <row r="430" spans="6:7" x14ac:dyDescent="0.25">
      <c r="F430">
        <v>427</v>
      </c>
      <c r="G430">
        <f ca="1">_xlfn.NORM.INV(RAND(),$M$7,$M$8)</f>
        <v>-2.78763798048598E-2</v>
      </c>
    </row>
    <row r="431" spans="6:7" x14ac:dyDescent="0.25">
      <c r="F431">
        <v>428</v>
      </c>
      <c r="G431">
        <f ca="1">_xlfn.NORM.INV(RAND(),$M$7,$M$8)</f>
        <v>-3.2801362949840797E-2</v>
      </c>
    </row>
    <row r="432" spans="6:7" x14ac:dyDescent="0.25">
      <c r="F432">
        <v>429</v>
      </c>
      <c r="G432">
        <f ca="1">_xlfn.NORM.INV(RAND(),$M$7,$M$8)</f>
        <v>-3.5123979289842897E-3</v>
      </c>
    </row>
    <row r="433" spans="6:7" x14ac:dyDescent="0.25">
      <c r="F433">
        <v>430</v>
      </c>
      <c r="G433">
        <f ca="1">_xlfn.NORM.INV(RAND(),$M$7,$M$8)</f>
        <v>5.4425256096134571E-2</v>
      </c>
    </row>
    <row r="434" spans="6:7" x14ac:dyDescent="0.25">
      <c r="F434">
        <v>431</v>
      </c>
      <c r="G434">
        <f ca="1">_xlfn.NORM.INV(RAND(),$M$7,$M$8)</f>
        <v>-1.3333339459990748E-2</v>
      </c>
    </row>
    <row r="435" spans="6:7" x14ac:dyDescent="0.25">
      <c r="F435">
        <v>432</v>
      </c>
      <c r="G435">
        <f ca="1">_xlfn.NORM.INV(RAND(),$M$7,$M$8)</f>
        <v>5.1978955058571506E-3</v>
      </c>
    </row>
    <row r="436" spans="6:7" x14ac:dyDescent="0.25">
      <c r="F436">
        <v>433</v>
      </c>
      <c r="G436">
        <f ca="1">_xlfn.NORM.INV(RAND(),$M$7,$M$8)</f>
        <v>-3.8411741496672844E-3</v>
      </c>
    </row>
    <row r="437" spans="6:7" x14ac:dyDescent="0.25">
      <c r="F437">
        <v>434</v>
      </c>
      <c r="G437">
        <f ca="1">_xlfn.NORM.INV(RAND(),$M$7,$M$8)</f>
        <v>4.6771217759917057E-2</v>
      </c>
    </row>
    <row r="438" spans="6:7" x14ac:dyDescent="0.25">
      <c r="F438">
        <v>435</v>
      </c>
      <c r="G438">
        <f ca="1">_xlfn.NORM.INV(RAND(),$M$7,$M$8)</f>
        <v>-1.5684213634352042E-2</v>
      </c>
    </row>
    <row r="439" spans="6:7" x14ac:dyDescent="0.25">
      <c r="F439">
        <v>436</v>
      </c>
      <c r="G439">
        <f ca="1">_xlfn.NORM.INV(RAND(),$M$7,$M$8)</f>
        <v>2.8907703061141023E-2</v>
      </c>
    </row>
    <row r="440" spans="6:7" x14ac:dyDescent="0.25">
      <c r="F440">
        <v>437</v>
      </c>
      <c r="G440">
        <f ca="1">_xlfn.NORM.INV(RAND(),$M$7,$M$8)</f>
        <v>-1.5328312193204307E-2</v>
      </c>
    </row>
    <row r="441" spans="6:7" x14ac:dyDescent="0.25">
      <c r="F441">
        <v>438</v>
      </c>
      <c r="G441">
        <f ca="1">_xlfn.NORM.INV(RAND(),$M$7,$M$8)</f>
        <v>-2.4199287557213012E-2</v>
      </c>
    </row>
    <row r="442" spans="6:7" x14ac:dyDescent="0.25">
      <c r="F442">
        <v>439</v>
      </c>
      <c r="G442">
        <f ca="1">_xlfn.NORM.INV(RAND(),$M$7,$M$8)</f>
        <v>-4.7548251346557838E-2</v>
      </c>
    </row>
    <row r="443" spans="6:7" x14ac:dyDescent="0.25">
      <c r="F443">
        <v>440</v>
      </c>
      <c r="G443">
        <f ca="1">_xlfn.NORM.INV(RAND(),$M$7,$M$8)</f>
        <v>1.595305980774862E-2</v>
      </c>
    </row>
    <row r="444" spans="6:7" x14ac:dyDescent="0.25">
      <c r="F444">
        <v>441</v>
      </c>
      <c r="G444">
        <f ca="1">_xlfn.NORM.INV(RAND(),$M$7,$M$8)</f>
        <v>2.4335445561247674E-2</v>
      </c>
    </row>
    <row r="445" spans="6:7" x14ac:dyDescent="0.25">
      <c r="F445">
        <v>442</v>
      </c>
      <c r="G445">
        <f ca="1">_xlfn.NORM.INV(RAND(),$M$7,$M$8)</f>
        <v>1.5337329122965884E-2</v>
      </c>
    </row>
    <row r="446" spans="6:7" x14ac:dyDescent="0.25">
      <c r="F446">
        <v>443</v>
      </c>
      <c r="G446">
        <f ca="1">_xlfn.NORM.INV(RAND(),$M$7,$M$8)</f>
        <v>4.145608532066377E-2</v>
      </c>
    </row>
    <row r="447" spans="6:7" x14ac:dyDescent="0.25">
      <c r="F447">
        <v>444</v>
      </c>
      <c r="G447">
        <f ca="1">_xlfn.NORM.INV(RAND(),$M$7,$M$8)</f>
        <v>3.2368477445832709E-4</v>
      </c>
    </row>
    <row r="448" spans="6:7" x14ac:dyDescent="0.25">
      <c r="F448">
        <v>445</v>
      </c>
      <c r="G448">
        <f ca="1">_xlfn.NORM.INV(RAND(),$M$7,$M$8)</f>
        <v>-2.3538491229594505E-2</v>
      </c>
    </row>
    <row r="449" spans="6:7" x14ac:dyDescent="0.25">
      <c r="F449">
        <v>446</v>
      </c>
      <c r="G449">
        <f ca="1">_xlfn.NORM.INV(RAND(),$M$7,$M$8)</f>
        <v>-5.7823811906532862E-3</v>
      </c>
    </row>
    <row r="450" spans="6:7" x14ac:dyDescent="0.25">
      <c r="F450">
        <v>447</v>
      </c>
      <c r="G450">
        <f ca="1">_xlfn.NORM.INV(RAND(),$M$7,$M$8)</f>
        <v>4.9394827302446601E-3</v>
      </c>
    </row>
    <row r="451" spans="6:7" x14ac:dyDescent="0.25">
      <c r="F451">
        <v>448</v>
      </c>
      <c r="G451">
        <f ca="1">_xlfn.NORM.INV(RAND(),$M$7,$M$8)</f>
        <v>-1.207903243530295E-2</v>
      </c>
    </row>
    <row r="452" spans="6:7" x14ac:dyDescent="0.25">
      <c r="F452">
        <v>449</v>
      </c>
      <c r="G452">
        <f ca="1">_xlfn.NORM.INV(RAND(),$M$7,$M$8)</f>
        <v>-1.7395309178234664E-2</v>
      </c>
    </row>
    <row r="453" spans="6:7" x14ac:dyDescent="0.25">
      <c r="F453">
        <v>450</v>
      </c>
      <c r="G453">
        <f ca="1">_xlfn.NORM.INV(RAND(),$M$7,$M$8)</f>
        <v>2.4060110090086143E-2</v>
      </c>
    </row>
    <row r="454" spans="6:7" x14ac:dyDescent="0.25">
      <c r="F454">
        <v>451</v>
      </c>
      <c r="G454">
        <f ca="1">_xlfn.NORM.INV(RAND(),$M$7,$M$8)</f>
        <v>-5.577952034514836E-2</v>
      </c>
    </row>
    <row r="455" spans="6:7" x14ac:dyDescent="0.25">
      <c r="F455">
        <v>452</v>
      </c>
      <c r="G455">
        <f ca="1">_xlfn.NORM.INV(RAND(),$M$7,$M$8)</f>
        <v>-3.661062956875364E-2</v>
      </c>
    </row>
    <row r="456" spans="6:7" x14ac:dyDescent="0.25">
      <c r="F456">
        <v>453</v>
      </c>
      <c r="G456">
        <f ca="1">_xlfn.NORM.INV(RAND(),$M$7,$M$8)</f>
        <v>-7.159179105611568E-3</v>
      </c>
    </row>
    <row r="457" spans="6:7" x14ac:dyDescent="0.25">
      <c r="F457">
        <v>454</v>
      </c>
      <c r="G457">
        <f ca="1">_xlfn.NORM.INV(RAND(),$M$7,$M$8)</f>
        <v>-3.0138525803518494E-2</v>
      </c>
    </row>
    <row r="458" spans="6:7" x14ac:dyDescent="0.25">
      <c r="F458">
        <v>455</v>
      </c>
      <c r="G458">
        <f ca="1">_xlfn.NORM.INV(RAND(),$M$7,$M$8)</f>
        <v>-2.5784550254182224E-2</v>
      </c>
    </row>
    <row r="459" spans="6:7" x14ac:dyDescent="0.25">
      <c r="F459">
        <v>456</v>
      </c>
      <c r="G459">
        <f ca="1">_xlfn.NORM.INV(RAND(),$M$7,$M$8)</f>
        <v>1.2613124424099153E-2</v>
      </c>
    </row>
    <row r="460" spans="6:7" x14ac:dyDescent="0.25">
      <c r="F460">
        <v>457</v>
      </c>
      <c r="G460">
        <f ca="1">_xlfn.NORM.INV(RAND(),$M$7,$M$8)</f>
        <v>-4.8593417476714883E-2</v>
      </c>
    </row>
    <row r="461" spans="6:7" x14ac:dyDescent="0.25">
      <c r="F461">
        <v>458</v>
      </c>
      <c r="G461">
        <f ca="1">_xlfn.NORM.INV(RAND(),$M$7,$M$8)</f>
        <v>1.6963948996833823E-2</v>
      </c>
    </row>
    <row r="462" spans="6:7" x14ac:dyDescent="0.25">
      <c r="F462">
        <v>459</v>
      </c>
      <c r="G462">
        <f ca="1">_xlfn.NORM.INV(RAND(),$M$7,$M$8)</f>
        <v>2.3493674597279621E-2</v>
      </c>
    </row>
    <row r="463" spans="6:7" x14ac:dyDescent="0.25">
      <c r="F463">
        <v>460</v>
      </c>
      <c r="G463">
        <f ca="1">_xlfn.NORM.INV(RAND(),$M$7,$M$8)</f>
        <v>1.6570245940705727E-3</v>
      </c>
    </row>
    <row r="464" spans="6:7" x14ac:dyDescent="0.25">
      <c r="F464">
        <v>461</v>
      </c>
      <c r="G464">
        <f ca="1">_xlfn.NORM.INV(RAND(),$M$7,$M$8)</f>
        <v>-2.9326407105465725E-2</v>
      </c>
    </row>
    <row r="465" spans="6:7" x14ac:dyDescent="0.25">
      <c r="F465">
        <v>462</v>
      </c>
      <c r="G465">
        <f ca="1">_xlfn.NORM.INV(RAND(),$M$7,$M$8)</f>
        <v>-1.3312063053694603E-3</v>
      </c>
    </row>
    <row r="466" spans="6:7" x14ac:dyDescent="0.25">
      <c r="F466">
        <v>463</v>
      </c>
      <c r="G466">
        <f ca="1">_xlfn.NORM.INV(RAND(),$M$7,$M$8)</f>
        <v>-2.5624630222369441E-3</v>
      </c>
    </row>
    <row r="467" spans="6:7" x14ac:dyDescent="0.25">
      <c r="F467">
        <v>464</v>
      </c>
      <c r="G467">
        <f ca="1">_xlfn.NORM.INV(RAND(),$M$7,$M$8)</f>
        <v>2.3869458775764605E-2</v>
      </c>
    </row>
    <row r="468" spans="6:7" x14ac:dyDescent="0.25">
      <c r="F468">
        <v>465</v>
      </c>
      <c r="G468">
        <f ca="1">_xlfn.NORM.INV(RAND(),$M$7,$M$8)</f>
        <v>-5.1238830420906038E-2</v>
      </c>
    </row>
    <row r="469" spans="6:7" x14ac:dyDescent="0.25">
      <c r="F469">
        <v>466</v>
      </c>
      <c r="G469">
        <f ca="1">_xlfn.NORM.INV(RAND(),$M$7,$M$8)</f>
        <v>3.3660359055571493E-2</v>
      </c>
    </row>
    <row r="470" spans="6:7" x14ac:dyDescent="0.25">
      <c r="F470">
        <v>467</v>
      </c>
      <c r="G470">
        <f ca="1">_xlfn.NORM.INV(RAND(),$M$7,$M$8)</f>
        <v>1.2623525294132115E-2</v>
      </c>
    </row>
    <row r="471" spans="6:7" x14ac:dyDescent="0.25">
      <c r="F471">
        <v>468</v>
      </c>
      <c r="G471">
        <f ca="1">_xlfn.NORM.INV(RAND(),$M$7,$M$8)</f>
        <v>-5.5627058610200081E-3</v>
      </c>
    </row>
    <row r="472" spans="6:7" x14ac:dyDescent="0.25">
      <c r="F472">
        <v>469</v>
      </c>
      <c r="G472">
        <f ca="1">_xlfn.NORM.INV(RAND(),$M$7,$M$8)</f>
        <v>-1.6161483005844988E-2</v>
      </c>
    </row>
    <row r="473" spans="6:7" x14ac:dyDescent="0.25">
      <c r="F473">
        <v>470</v>
      </c>
      <c r="G473">
        <f ca="1">_xlfn.NORM.INV(RAND(),$M$7,$M$8)</f>
        <v>7.0913064006817572E-3</v>
      </c>
    </row>
    <row r="474" spans="6:7" x14ac:dyDescent="0.25">
      <c r="F474">
        <v>471</v>
      </c>
      <c r="G474">
        <f ca="1">_xlfn.NORM.INV(RAND(),$M$7,$M$8)</f>
        <v>4.4290752863494744E-2</v>
      </c>
    </row>
    <row r="475" spans="6:7" x14ac:dyDescent="0.25">
      <c r="F475">
        <v>472</v>
      </c>
      <c r="G475">
        <f ca="1">_xlfn.NORM.INV(RAND(),$M$7,$M$8)</f>
        <v>-3.3781865188992487E-3</v>
      </c>
    </row>
    <row r="476" spans="6:7" x14ac:dyDescent="0.25">
      <c r="F476">
        <v>473</v>
      </c>
      <c r="G476">
        <f ca="1">_xlfn.NORM.INV(RAND(),$M$7,$M$8)</f>
        <v>-3.1627611405606799E-3</v>
      </c>
    </row>
    <row r="477" spans="6:7" x14ac:dyDescent="0.25">
      <c r="F477">
        <v>474</v>
      </c>
      <c r="G477">
        <f ca="1">_xlfn.NORM.INV(RAND(),$M$7,$M$8)</f>
        <v>3.8215003882492785E-2</v>
      </c>
    </row>
    <row r="478" spans="6:7" x14ac:dyDescent="0.25">
      <c r="F478">
        <v>475</v>
      </c>
      <c r="G478">
        <f ca="1">_xlfn.NORM.INV(RAND(),$M$7,$M$8)</f>
        <v>1.2125066858572069E-4</v>
      </c>
    </row>
    <row r="479" spans="6:7" x14ac:dyDescent="0.25">
      <c r="F479">
        <v>476</v>
      </c>
      <c r="G479">
        <f ca="1">_xlfn.NORM.INV(RAND(),$M$7,$M$8)</f>
        <v>9.7534585149899374E-3</v>
      </c>
    </row>
    <row r="480" spans="6:7" x14ac:dyDescent="0.25">
      <c r="F480">
        <v>477</v>
      </c>
      <c r="G480">
        <f ca="1">_xlfn.NORM.INV(RAND(),$M$7,$M$8)</f>
        <v>5.6145649196823692E-3</v>
      </c>
    </row>
    <row r="481" spans="6:7" x14ac:dyDescent="0.25">
      <c r="F481">
        <v>478</v>
      </c>
      <c r="G481">
        <f ca="1">_xlfn.NORM.INV(RAND(),$M$7,$M$8)</f>
        <v>-3.2895396476079107E-2</v>
      </c>
    </row>
    <row r="482" spans="6:7" x14ac:dyDescent="0.25">
      <c r="F482">
        <v>479</v>
      </c>
      <c r="G482">
        <f ca="1">_xlfn.NORM.INV(RAND(),$M$7,$M$8)</f>
        <v>7.0360842840581275E-3</v>
      </c>
    </row>
    <row r="483" spans="6:7" x14ac:dyDescent="0.25">
      <c r="F483">
        <v>480</v>
      </c>
      <c r="G483">
        <f ca="1">_xlfn.NORM.INV(RAND(),$M$7,$M$8)</f>
        <v>1.4955111466190923E-2</v>
      </c>
    </row>
    <row r="484" spans="6:7" x14ac:dyDescent="0.25">
      <c r="F484">
        <v>481</v>
      </c>
      <c r="G484">
        <f ca="1">_xlfn.NORM.INV(RAND(),$M$7,$M$8)</f>
        <v>-2.0289304044183779E-2</v>
      </c>
    </row>
    <row r="485" spans="6:7" x14ac:dyDescent="0.25">
      <c r="F485">
        <v>482</v>
      </c>
      <c r="G485">
        <f ca="1">_xlfn.NORM.INV(RAND(),$M$7,$M$8)</f>
        <v>3.9111498758545638E-2</v>
      </c>
    </row>
    <row r="486" spans="6:7" x14ac:dyDescent="0.25">
      <c r="F486">
        <v>483</v>
      </c>
      <c r="G486">
        <f ca="1">_xlfn.NORM.INV(RAND(),$M$7,$M$8)</f>
        <v>-4.6488242939371163E-2</v>
      </c>
    </row>
    <row r="487" spans="6:7" x14ac:dyDescent="0.25">
      <c r="F487">
        <v>484</v>
      </c>
      <c r="G487">
        <f ca="1">_xlfn.NORM.INV(RAND(),$M$7,$M$8)</f>
        <v>1.1994266409410012E-3</v>
      </c>
    </row>
    <row r="488" spans="6:7" x14ac:dyDescent="0.25">
      <c r="F488">
        <v>485</v>
      </c>
      <c r="G488">
        <f ca="1">_xlfn.NORM.INV(RAND(),$M$7,$M$8)</f>
        <v>-2.5719953301225007E-2</v>
      </c>
    </row>
    <row r="489" spans="6:7" x14ac:dyDescent="0.25">
      <c r="F489">
        <v>486</v>
      </c>
      <c r="G489">
        <f ca="1">_xlfn.NORM.INV(RAND(),$M$7,$M$8)</f>
        <v>-3.9940839860148042E-2</v>
      </c>
    </row>
    <row r="490" spans="6:7" x14ac:dyDescent="0.25">
      <c r="F490">
        <v>487</v>
      </c>
      <c r="G490">
        <f ca="1">_xlfn.NORM.INV(RAND(),$M$7,$M$8)</f>
        <v>6.1569293077212044E-4</v>
      </c>
    </row>
    <row r="491" spans="6:7" x14ac:dyDescent="0.25">
      <c r="F491">
        <v>488</v>
      </c>
      <c r="G491">
        <f ca="1">_xlfn.NORM.INV(RAND(),$M$7,$M$8)</f>
        <v>2.9894889291903325E-2</v>
      </c>
    </row>
    <row r="492" spans="6:7" x14ac:dyDescent="0.25">
      <c r="F492">
        <v>489</v>
      </c>
      <c r="G492">
        <f ca="1">_xlfn.NORM.INV(RAND(),$M$7,$M$8)</f>
        <v>3.7617204435062633E-2</v>
      </c>
    </row>
    <row r="493" spans="6:7" x14ac:dyDescent="0.25">
      <c r="F493">
        <v>490</v>
      </c>
      <c r="G493">
        <f ca="1">_xlfn.NORM.INV(RAND(),$M$7,$M$8)</f>
        <v>2.6681787227137065E-2</v>
      </c>
    </row>
    <row r="494" spans="6:7" x14ac:dyDescent="0.25">
      <c r="F494">
        <v>491</v>
      </c>
      <c r="G494">
        <f ca="1">_xlfn.NORM.INV(RAND(),$M$7,$M$8)</f>
        <v>-1.446683214883525E-2</v>
      </c>
    </row>
    <row r="495" spans="6:7" x14ac:dyDescent="0.25">
      <c r="F495">
        <v>492</v>
      </c>
      <c r="G495">
        <f ca="1">_xlfn.NORM.INV(RAND(),$M$7,$M$8)</f>
        <v>-1.8096197222176875E-2</v>
      </c>
    </row>
    <row r="496" spans="6:7" x14ac:dyDescent="0.25">
      <c r="F496">
        <v>493</v>
      </c>
      <c r="G496">
        <f ca="1">_xlfn.NORM.INV(RAND(),$M$7,$M$8)</f>
        <v>-2.8582424427953147E-2</v>
      </c>
    </row>
    <row r="497" spans="6:7" x14ac:dyDescent="0.25">
      <c r="F497">
        <v>494</v>
      </c>
      <c r="G497">
        <f ca="1">_xlfn.NORM.INV(RAND(),$M$7,$M$8)</f>
        <v>1.6952241480273297E-2</v>
      </c>
    </row>
    <row r="498" spans="6:7" x14ac:dyDescent="0.25">
      <c r="F498">
        <v>495</v>
      </c>
      <c r="G498">
        <f ca="1">_xlfn.NORM.INV(RAND(),$M$7,$M$8)</f>
        <v>2.5508710414403227E-2</v>
      </c>
    </row>
    <row r="499" spans="6:7" x14ac:dyDescent="0.25">
      <c r="F499">
        <v>496</v>
      </c>
      <c r="G499">
        <f ca="1">_xlfn.NORM.INV(RAND(),$M$7,$M$8)</f>
        <v>4.3249896519247238E-3</v>
      </c>
    </row>
    <row r="500" spans="6:7" x14ac:dyDescent="0.25">
      <c r="F500">
        <v>497</v>
      </c>
      <c r="G500">
        <f ca="1">_xlfn.NORM.INV(RAND(),$M$7,$M$8)</f>
        <v>2.2513928731509342E-2</v>
      </c>
    </row>
    <row r="501" spans="6:7" x14ac:dyDescent="0.25">
      <c r="F501">
        <v>498</v>
      </c>
      <c r="G501">
        <f ca="1">_xlfn.NORM.INV(RAND(),$M$7,$M$8)</f>
        <v>9.2814409508767785E-3</v>
      </c>
    </row>
    <row r="502" spans="6:7" x14ac:dyDescent="0.25">
      <c r="F502">
        <v>499</v>
      </c>
      <c r="G502">
        <f ca="1">_xlfn.NORM.INV(RAND(),$M$7,$M$8)</f>
        <v>-5.7522161269637287E-3</v>
      </c>
    </row>
    <row r="503" spans="6:7" x14ac:dyDescent="0.25">
      <c r="F503">
        <v>500</v>
      </c>
      <c r="G503">
        <f ca="1">_xlfn.NORM.INV(RAND(),$M$7,$M$8)</f>
        <v>-2.1826442371473603E-2</v>
      </c>
    </row>
    <row r="504" spans="6:7" x14ac:dyDescent="0.25">
      <c r="F504">
        <v>501</v>
      </c>
      <c r="G504">
        <f ca="1">_xlfn.NORM.INV(RAND(),$M$7,$M$8)</f>
        <v>2.1501549192123773E-2</v>
      </c>
    </row>
    <row r="505" spans="6:7" x14ac:dyDescent="0.25">
      <c r="F505">
        <v>502</v>
      </c>
      <c r="G505">
        <f ca="1">_xlfn.NORM.INV(RAND(),$M$7,$M$8)</f>
        <v>1.9437828441078508E-2</v>
      </c>
    </row>
    <row r="506" spans="6:7" x14ac:dyDescent="0.25">
      <c r="F506">
        <v>503</v>
      </c>
      <c r="G506">
        <f ca="1">_xlfn.NORM.INV(RAND(),$M$7,$M$8)</f>
        <v>-2.0303324460039462E-2</v>
      </c>
    </row>
    <row r="507" spans="6:7" x14ac:dyDescent="0.25">
      <c r="F507">
        <v>504</v>
      </c>
      <c r="G507">
        <f ca="1">_xlfn.NORM.INV(RAND(),$M$7,$M$8)</f>
        <v>4.8045308755844697E-4</v>
      </c>
    </row>
    <row r="508" spans="6:7" x14ac:dyDescent="0.25">
      <c r="F508">
        <v>505</v>
      </c>
      <c r="G508">
        <f ca="1">_xlfn.NORM.INV(RAND(),$M$7,$M$8)</f>
        <v>-2.3974207090727007E-2</v>
      </c>
    </row>
    <row r="509" spans="6:7" x14ac:dyDescent="0.25">
      <c r="F509">
        <v>506</v>
      </c>
      <c r="G509">
        <f ca="1">_xlfn.NORM.INV(RAND(),$M$7,$M$8)</f>
        <v>-2.6922196727516071E-2</v>
      </c>
    </row>
    <row r="510" spans="6:7" x14ac:dyDescent="0.25">
      <c r="F510">
        <v>507</v>
      </c>
      <c r="G510">
        <f ca="1">_xlfn.NORM.INV(RAND(),$M$7,$M$8)</f>
        <v>-1.3702821752758783E-2</v>
      </c>
    </row>
    <row r="511" spans="6:7" x14ac:dyDescent="0.25">
      <c r="F511">
        <v>508</v>
      </c>
      <c r="G511">
        <f ca="1">_xlfn.NORM.INV(RAND(),$M$7,$M$8)</f>
        <v>-2.32315613253107E-2</v>
      </c>
    </row>
    <row r="512" spans="6:7" x14ac:dyDescent="0.25">
      <c r="F512">
        <v>509</v>
      </c>
      <c r="G512">
        <f ca="1">_xlfn.NORM.INV(RAND(),$M$7,$M$8)</f>
        <v>1.4195022818708337E-2</v>
      </c>
    </row>
    <row r="513" spans="6:7" x14ac:dyDescent="0.25">
      <c r="F513">
        <v>510</v>
      </c>
      <c r="G513">
        <f ca="1">_xlfn.NORM.INV(RAND(),$M$7,$M$8)</f>
        <v>3.5711454889582994E-2</v>
      </c>
    </row>
    <row r="514" spans="6:7" x14ac:dyDescent="0.25">
      <c r="F514">
        <v>511</v>
      </c>
      <c r="G514">
        <f ca="1">_xlfn.NORM.INV(RAND(),$M$7,$M$8)</f>
        <v>2.7264941696965854E-2</v>
      </c>
    </row>
    <row r="515" spans="6:7" x14ac:dyDescent="0.25">
      <c r="F515">
        <v>512</v>
      </c>
      <c r="G515">
        <f ca="1">_xlfn.NORM.INV(RAND(),$M$7,$M$8)</f>
        <v>1.4733983192776266E-2</v>
      </c>
    </row>
    <row r="516" spans="6:7" x14ac:dyDescent="0.25">
      <c r="F516">
        <v>513</v>
      </c>
      <c r="G516">
        <f ca="1">_xlfn.NORM.INV(RAND(),$M$7,$M$8)</f>
        <v>-3.2946044719769793E-2</v>
      </c>
    </row>
    <row r="517" spans="6:7" x14ac:dyDescent="0.25">
      <c r="F517">
        <v>514</v>
      </c>
      <c r="G517">
        <f ca="1">_xlfn.NORM.INV(RAND(),$M$7,$M$8)</f>
        <v>3.640850112019349E-2</v>
      </c>
    </row>
    <row r="518" spans="6:7" x14ac:dyDescent="0.25">
      <c r="F518">
        <v>515</v>
      </c>
      <c r="G518">
        <f ca="1">_xlfn.NORM.INV(RAND(),$M$7,$M$8)</f>
        <v>-3.2392348415635604E-2</v>
      </c>
    </row>
    <row r="519" spans="6:7" x14ac:dyDescent="0.25">
      <c r="F519">
        <v>516</v>
      </c>
      <c r="G519">
        <f ca="1">_xlfn.NORM.INV(RAND(),$M$7,$M$8)</f>
        <v>3.2474411765647949E-2</v>
      </c>
    </row>
    <row r="520" spans="6:7" x14ac:dyDescent="0.25">
      <c r="F520">
        <v>517</v>
      </c>
      <c r="G520">
        <f ca="1">_xlfn.NORM.INV(RAND(),$M$7,$M$8)</f>
        <v>-1.7430412611773981E-2</v>
      </c>
    </row>
    <row r="521" spans="6:7" x14ac:dyDescent="0.25">
      <c r="F521">
        <v>518</v>
      </c>
      <c r="G521">
        <f ca="1">_xlfn.NORM.INV(RAND(),$M$7,$M$8)</f>
        <v>-2.2382592469123962E-2</v>
      </c>
    </row>
    <row r="522" spans="6:7" x14ac:dyDescent="0.25">
      <c r="F522">
        <v>519</v>
      </c>
      <c r="G522">
        <f ca="1">_xlfn.NORM.INV(RAND(),$M$7,$M$8)</f>
        <v>-2.4640616284973965E-2</v>
      </c>
    </row>
    <row r="523" spans="6:7" x14ac:dyDescent="0.25">
      <c r="F523">
        <v>520</v>
      </c>
      <c r="G523">
        <f ca="1">_xlfn.NORM.INV(RAND(),$M$7,$M$8)</f>
        <v>-8.5518547547944902E-3</v>
      </c>
    </row>
    <row r="524" spans="6:7" x14ac:dyDescent="0.25">
      <c r="F524">
        <v>521</v>
      </c>
      <c r="G524">
        <f ca="1">_xlfn.NORM.INV(RAND(),$M$7,$M$8)</f>
        <v>-2.2742525516200242E-2</v>
      </c>
    </row>
    <row r="525" spans="6:7" x14ac:dyDescent="0.25">
      <c r="F525">
        <v>522</v>
      </c>
      <c r="G525">
        <f ca="1">_xlfn.NORM.INV(RAND(),$M$7,$M$8)</f>
        <v>2.3615874576522467E-2</v>
      </c>
    </row>
    <row r="526" spans="6:7" x14ac:dyDescent="0.25">
      <c r="F526">
        <v>523</v>
      </c>
      <c r="G526">
        <f ca="1">_xlfn.NORM.INV(RAND(),$M$7,$M$8)</f>
        <v>-4.2250858006089541E-2</v>
      </c>
    </row>
    <row r="527" spans="6:7" x14ac:dyDescent="0.25">
      <c r="F527">
        <v>524</v>
      </c>
      <c r="G527">
        <f ca="1">_xlfn.NORM.INV(RAND(),$M$7,$M$8)</f>
        <v>-3.4371459816287596E-4</v>
      </c>
    </row>
    <row r="528" spans="6:7" x14ac:dyDescent="0.25">
      <c r="F528">
        <v>525</v>
      </c>
      <c r="G528">
        <f ca="1">_xlfn.NORM.INV(RAND(),$M$7,$M$8)</f>
        <v>6.3537719016900709E-3</v>
      </c>
    </row>
    <row r="529" spans="6:7" x14ac:dyDescent="0.25">
      <c r="F529">
        <v>526</v>
      </c>
      <c r="G529">
        <f ca="1">_xlfn.NORM.INV(RAND(),$M$7,$M$8)</f>
        <v>-5.3545923610411737E-2</v>
      </c>
    </row>
    <row r="530" spans="6:7" x14ac:dyDescent="0.25">
      <c r="F530">
        <v>527</v>
      </c>
      <c r="G530">
        <f ca="1">_xlfn.NORM.INV(RAND(),$M$7,$M$8)</f>
        <v>5.2467331767042352E-2</v>
      </c>
    </row>
    <row r="531" spans="6:7" x14ac:dyDescent="0.25">
      <c r="F531">
        <v>528</v>
      </c>
      <c r="G531">
        <f ca="1">_xlfn.NORM.INV(RAND(),$M$7,$M$8)</f>
        <v>4.397320183857395E-2</v>
      </c>
    </row>
    <row r="532" spans="6:7" x14ac:dyDescent="0.25">
      <c r="F532">
        <v>529</v>
      </c>
      <c r="G532">
        <f ca="1">_xlfn.NORM.INV(RAND(),$M$7,$M$8)</f>
        <v>-3.5041793653308568E-3</v>
      </c>
    </row>
    <row r="533" spans="6:7" x14ac:dyDescent="0.25">
      <c r="F533">
        <v>530</v>
      </c>
      <c r="G533">
        <f ca="1">_xlfn.NORM.INV(RAND(),$M$7,$M$8)</f>
        <v>1.4823209803674948E-2</v>
      </c>
    </row>
    <row r="534" spans="6:7" x14ac:dyDescent="0.25">
      <c r="F534">
        <v>531</v>
      </c>
      <c r="G534">
        <f ca="1">_xlfn.NORM.INV(RAND(),$M$7,$M$8)</f>
        <v>-1.5515861509007686E-2</v>
      </c>
    </row>
    <row r="535" spans="6:7" x14ac:dyDescent="0.25">
      <c r="F535">
        <v>532</v>
      </c>
      <c r="G535">
        <f ca="1">_xlfn.NORM.INV(RAND(),$M$7,$M$8)</f>
        <v>1.7413652048124496E-2</v>
      </c>
    </row>
    <row r="536" spans="6:7" x14ac:dyDescent="0.25">
      <c r="F536">
        <v>533</v>
      </c>
      <c r="G536">
        <f ca="1">_xlfn.NORM.INV(RAND(),$M$7,$M$8)</f>
        <v>-1.9838309704800421E-2</v>
      </c>
    </row>
    <row r="537" spans="6:7" x14ac:dyDescent="0.25">
      <c r="F537">
        <v>534</v>
      </c>
      <c r="G537">
        <f ca="1">_xlfn.NORM.INV(RAND(),$M$7,$M$8)</f>
        <v>1.7889011049370358E-2</v>
      </c>
    </row>
    <row r="538" spans="6:7" x14ac:dyDescent="0.25">
      <c r="F538">
        <v>535</v>
      </c>
      <c r="G538">
        <f ca="1">_xlfn.NORM.INV(RAND(),$M$7,$M$8)</f>
        <v>5.2021981321848508E-2</v>
      </c>
    </row>
    <row r="539" spans="6:7" x14ac:dyDescent="0.25">
      <c r="F539">
        <v>536</v>
      </c>
      <c r="G539">
        <f ca="1">_xlfn.NORM.INV(RAND(),$M$7,$M$8)</f>
        <v>1.3478314036033744E-2</v>
      </c>
    </row>
    <row r="540" spans="6:7" x14ac:dyDescent="0.25">
      <c r="F540">
        <v>537</v>
      </c>
      <c r="G540">
        <f ca="1">_xlfn.NORM.INV(RAND(),$M$7,$M$8)</f>
        <v>6.9875050385870552E-3</v>
      </c>
    </row>
    <row r="541" spans="6:7" x14ac:dyDescent="0.25">
      <c r="F541">
        <v>538</v>
      </c>
      <c r="G541">
        <f ca="1">_xlfn.NORM.INV(RAND(),$M$7,$M$8)</f>
        <v>-2.6277979233600757E-2</v>
      </c>
    </row>
    <row r="542" spans="6:7" x14ac:dyDescent="0.25">
      <c r="F542">
        <v>539</v>
      </c>
      <c r="G542">
        <f ca="1">_xlfn.NORM.INV(RAND(),$M$7,$M$8)</f>
        <v>5.3851776978587548E-2</v>
      </c>
    </row>
    <row r="543" spans="6:7" x14ac:dyDescent="0.25">
      <c r="F543">
        <v>540</v>
      </c>
      <c r="G543">
        <f ca="1">_xlfn.NORM.INV(RAND(),$M$7,$M$8)</f>
        <v>2.3813864926673029E-3</v>
      </c>
    </row>
    <row r="544" spans="6:7" x14ac:dyDescent="0.25">
      <c r="F544">
        <v>541</v>
      </c>
      <c r="G544">
        <f ca="1">_xlfn.NORM.INV(RAND(),$M$7,$M$8)</f>
        <v>-1.5639646367926485E-2</v>
      </c>
    </row>
    <row r="545" spans="6:7" x14ac:dyDescent="0.25">
      <c r="F545">
        <v>542</v>
      </c>
      <c r="G545">
        <f ca="1">_xlfn.NORM.INV(RAND(),$M$7,$M$8)</f>
        <v>1.3752615312201942E-2</v>
      </c>
    </row>
    <row r="546" spans="6:7" x14ac:dyDescent="0.25">
      <c r="F546">
        <v>543</v>
      </c>
      <c r="G546">
        <f ca="1">_xlfn.NORM.INV(RAND(),$M$7,$M$8)</f>
        <v>-4.2427454265096635E-2</v>
      </c>
    </row>
    <row r="547" spans="6:7" x14ac:dyDescent="0.25">
      <c r="F547">
        <v>544</v>
      </c>
      <c r="G547">
        <f ca="1">_xlfn.NORM.INV(RAND(),$M$7,$M$8)</f>
        <v>1.0326150523028638E-3</v>
      </c>
    </row>
    <row r="548" spans="6:7" x14ac:dyDescent="0.25">
      <c r="F548">
        <v>545</v>
      </c>
      <c r="G548">
        <f ca="1">_xlfn.NORM.INV(RAND(),$M$7,$M$8)</f>
        <v>1.5628349774250663E-2</v>
      </c>
    </row>
    <row r="549" spans="6:7" x14ac:dyDescent="0.25">
      <c r="F549">
        <v>546</v>
      </c>
      <c r="G549">
        <f ca="1">_xlfn.NORM.INV(RAND(),$M$7,$M$8)</f>
        <v>-3.1406141545237014E-2</v>
      </c>
    </row>
    <row r="550" spans="6:7" x14ac:dyDescent="0.25">
      <c r="F550">
        <v>547</v>
      </c>
      <c r="G550">
        <f ca="1">_xlfn.NORM.INV(RAND(),$M$7,$M$8)</f>
        <v>1.744803872889019E-2</v>
      </c>
    </row>
    <row r="551" spans="6:7" x14ac:dyDescent="0.25">
      <c r="F551">
        <v>548</v>
      </c>
      <c r="G551">
        <f ca="1">_xlfn.NORM.INV(RAND(),$M$7,$M$8)</f>
        <v>-1.7899394672525111E-2</v>
      </c>
    </row>
    <row r="552" spans="6:7" x14ac:dyDescent="0.25">
      <c r="F552">
        <v>549</v>
      </c>
      <c r="G552">
        <f ca="1">_xlfn.NORM.INV(RAND(),$M$7,$M$8)</f>
        <v>-9.0271242027257226E-3</v>
      </c>
    </row>
    <row r="553" spans="6:7" x14ac:dyDescent="0.25">
      <c r="F553">
        <v>550</v>
      </c>
      <c r="G553">
        <f ca="1">_xlfn.NORM.INV(RAND(),$M$7,$M$8)</f>
        <v>-2.1998590071418682E-2</v>
      </c>
    </row>
    <row r="554" spans="6:7" x14ac:dyDescent="0.25">
      <c r="F554">
        <v>551</v>
      </c>
      <c r="G554">
        <f ca="1">_xlfn.NORM.INV(RAND(),$M$7,$M$8)</f>
        <v>8.0101049647832503E-3</v>
      </c>
    </row>
    <row r="555" spans="6:7" x14ac:dyDescent="0.25">
      <c r="F555">
        <v>552</v>
      </c>
      <c r="G555">
        <f ca="1">_xlfn.NORM.INV(RAND(),$M$7,$M$8)</f>
        <v>8.9906106558644734E-3</v>
      </c>
    </row>
    <row r="556" spans="6:7" x14ac:dyDescent="0.25">
      <c r="F556">
        <v>553</v>
      </c>
      <c r="G556">
        <f ca="1">_xlfn.NORM.INV(RAND(),$M$7,$M$8)</f>
        <v>-2.0772492462561885E-2</v>
      </c>
    </row>
    <row r="557" spans="6:7" x14ac:dyDescent="0.25">
      <c r="F557">
        <v>554</v>
      </c>
      <c r="G557">
        <f ca="1">_xlfn.NORM.INV(RAND(),$M$7,$M$8)</f>
        <v>-9.3501868475653373E-3</v>
      </c>
    </row>
    <row r="558" spans="6:7" x14ac:dyDescent="0.25">
      <c r="F558">
        <v>555</v>
      </c>
      <c r="G558">
        <f ca="1">_xlfn.NORM.INV(RAND(),$M$7,$M$8)</f>
        <v>1.4325739208379705E-2</v>
      </c>
    </row>
    <row r="559" spans="6:7" x14ac:dyDescent="0.25">
      <c r="F559">
        <v>556</v>
      </c>
      <c r="G559">
        <f ca="1">_xlfn.NORM.INV(RAND(),$M$7,$M$8)</f>
        <v>3.3331351931693648E-2</v>
      </c>
    </row>
    <row r="560" spans="6:7" x14ac:dyDescent="0.25">
      <c r="F560">
        <v>557</v>
      </c>
      <c r="G560">
        <f ca="1">_xlfn.NORM.INV(RAND(),$M$7,$M$8)</f>
        <v>7.6360320895470044E-3</v>
      </c>
    </row>
    <row r="561" spans="6:7" x14ac:dyDescent="0.25">
      <c r="F561">
        <v>558</v>
      </c>
      <c r="G561">
        <f ca="1">_xlfn.NORM.INV(RAND(),$M$7,$M$8)</f>
        <v>-4.1007091102192843E-3</v>
      </c>
    </row>
    <row r="562" spans="6:7" x14ac:dyDescent="0.25">
      <c r="F562">
        <v>559</v>
      </c>
      <c r="G562">
        <f ca="1">_xlfn.NORM.INV(RAND(),$M$7,$M$8)</f>
        <v>-2.3779523072541903E-2</v>
      </c>
    </row>
    <row r="563" spans="6:7" x14ac:dyDescent="0.25">
      <c r="F563">
        <v>560</v>
      </c>
      <c r="G563">
        <f ca="1">_xlfn.NORM.INV(RAND(),$M$7,$M$8)</f>
        <v>1.297455483881888E-3</v>
      </c>
    </row>
    <row r="564" spans="6:7" x14ac:dyDescent="0.25">
      <c r="F564">
        <v>561</v>
      </c>
      <c r="G564">
        <f ca="1">_xlfn.NORM.INV(RAND(),$M$7,$M$8)</f>
        <v>-3.7063921858520228E-3</v>
      </c>
    </row>
    <row r="565" spans="6:7" x14ac:dyDescent="0.25">
      <c r="F565">
        <v>562</v>
      </c>
      <c r="G565">
        <f ca="1">_xlfn.NORM.INV(RAND(),$M$7,$M$8)</f>
        <v>-3.7570890706103852E-2</v>
      </c>
    </row>
    <row r="566" spans="6:7" x14ac:dyDescent="0.25">
      <c r="F566">
        <v>563</v>
      </c>
      <c r="G566">
        <f ca="1">_xlfn.NORM.INV(RAND(),$M$7,$M$8)</f>
        <v>6.4670768602407364E-2</v>
      </c>
    </row>
    <row r="567" spans="6:7" x14ac:dyDescent="0.25">
      <c r="F567">
        <v>564</v>
      </c>
      <c r="G567">
        <f ca="1">_xlfn.NORM.INV(RAND(),$M$7,$M$8)</f>
        <v>3.4349672797963159E-2</v>
      </c>
    </row>
    <row r="568" spans="6:7" x14ac:dyDescent="0.25">
      <c r="F568">
        <v>565</v>
      </c>
      <c r="G568">
        <f ca="1">_xlfn.NORM.INV(RAND(),$M$7,$M$8)</f>
        <v>2.3167432023632112E-2</v>
      </c>
    </row>
    <row r="569" spans="6:7" x14ac:dyDescent="0.25">
      <c r="F569">
        <v>566</v>
      </c>
      <c r="G569">
        <f ca="1">_xlfn.NORM.INV(RAND(),$M$7,$M$8)</f>
        <v>2.7225391476297647E-3</v>
      </c>
    </row>
    <row r="570" spans="6:7" x14ac:dyDescent="0.25">
      <c r="F570">
        <v>567</v>
      </c>
      <c r="G570">
        <f ca="1">_xlfn.NORM.INV(RAND(),$M$7,$M$8)</f>
        <v>5.9211493234926464E-3</v>
      </c>
    </row>
    <row r="571" spans="6:7" x14ac:dyDescent="0.25">
      <c r="F571">
        <v>568</v>
      </c>
      <c r="G571">
        <f ca="1">_xlfn.NORM.INV(RAND(),$M$7,$M$8)</f>
        <v>5.3063074507682436E-3</v>
      </c>
    </row>
    <row r="572" spans="6:7" x14ac:dyDescent="0.25">
      <c r="F572">
        <v>569</v>
      </c>
      <c r="G572">
        <f ca="1">_xlfn.NORM.INV(RAND(),$M$7,$M$8)</f>
        <v>-4.3523654074868832E-4</v>
      </c>
    </row>
    <row r="573" spans="6:7" x14ac:dyDescent="0.25">
      <c r="F573">
        <v>570</v>
      </c>
      <c r="G573">
        <f ca="1">_xlfn.NORM.INV(RAND(),$M$7,$M$8)</f>
        <v>3.5509655355525235E-2</v>
      </c>
    </row>
    <row r="574" spans="6:7" x14ac:dyDescent="0.25">
      <c r="F574">
        <v>571</v>
      </c>
      <c r="G574">
        <f ca="1">_xlfn.NORM.INV(RAND(),$M$7,$M$8)</f>
        <v>4.6142746839006051E-2</v>
      </c>
    </row>
    <row r="575" spans="6:7" x14ac:dyDescent="0.25">
      <c r="F575">
        <v>572</v>
      </c>
      <c r="G575">
        <f ca="1">_xlfn.NORM.INV(RAND(),$M$7,$M$8)</f>
        <v>3.3524995015491847E-3</v>
      </c>
    </row>
    <row r="576" spans="6:7" x14ac:dyDescent="0.25">
      <c r="F576">
        <v>573</v>
      </c>
      <c r="G576">
        <f ca="1">_xlfn.NORM.INV(RAND(),$M$7,$M$8)</f>
        <v>6.4594564485747161E-3</v>
      </c>
    </row>
    <row r="577" spans="6:7" x14ac:dyDescent="0.25">
      <c r="F577">
        <v>574</v>
      </c>
      <c r="G577">
        <f ca="1">_xlfn.NORM.INV(RAND(),$M$7,$M$8)</f>
        <v>6.3557623414244365E-3</v>
      </c>
    </row>
    <row r="578" spans="6:7" x14ac:dyDescent="0.25">
      <c r="F578">
        <v>575</v>
      </c>
      <c r="G578">
        <f ca="1">_xlfn.NORM.INV(RAND(),$M$7,$M$8)</f>
        <v>-6.6504757384277784E-3</v>
      </c>
    </row>
    <row r="579" spans="6:7" x14ac:dyDescent="0.25">
      <c r="F579">
        <v>576</v>
      </c>
      <c r="G579">
        <f ca="1">_xlfn.NORM.INV(RAND(),$M$7,$M$8)</f>
        <v>3.9845956741943397E-3</v>
      </c>
    </row>
    <row r="580" spans="6:7" x14ac:dyDescent="0.25">
      <c r="F580">
        <v>577</v>
      </c>
      <c r="G580">
        <f ca="1">_xlfn.NORM.INV(RAND(),$M$7,$M$8)</f>
        <v>-1.1930922923670732E-2</v>
      </c>
    </row>
    <row r="581" spans="6:7" x14ac:dyDescent="0.25">
      <c r="F581">
        <v>578</v>
      </c>
      <c r="G581">
        <f ca="1">_xlfn.NORM.INV(RAND(),$M$7,$M$8)</f>
        <v>1.6646774518041949E-2</v>
      </c>
    </row>
    <row r="582" spans="6:7" x14ac:dyDescent="0.25">
      <c r="F582">
        <v>579</v>
      </c>
      <c r="G582">
        <f ca="1">_xlfn.NORM.INV(RAND(),$M$7,$M$8)</f>
        <v>-8.4353409907957939E-3</v>
      </c>
    </row>
    <row r="583" spans="6:7" x14ac:dyDescent="0.25">
      <c r="F583">
        <v>580</v>
      </c>
      <c r="G583">
        <f ca="1">_xlfn.NORM.INV(RAND(),$M$7,$M$8)</f>
        <v>6.8281599589161933E-3</v>
      </c>
    </row>
    <row r="584" spans="6:7" x14ac:dyDescent="0.25">
      <c r="F584">
        <v>581</v>
      </c>
      <c r="G584">
        <f ca="1">_xlfn.NORM.INV(RAND(),$M$7,$M$8)</f>
        <v>1.1498707749764074E-2</v>
      </c>
    </row>
    <row r="585" spans="6:7" x14ac:dyDescent="0.25">
      <c r="F585">
        <v>582</v>
      </c>
      <c r="G585">
        <f ca="1">_xlfn.NORM.INV(RAND(),$M$7,$M$8)</f>
        <v>1.352271871739438E-2</v>
      </c>
    </row>
    <row r="586" spans="6:7" x14ac:dyDescent="0.25">
      <c r="F586">
        <v>583</v>
      </c>
      <c r="G586">
        <f ca="1">_xlfn.NORM.INV(RAND(),$M$7,$M$8)</f>
        <v>-2.8124031970009573E-2</v>
      </c>
    </row>
    <row r="587" spans="6:7" x14ac:dyDescent="0.25">
      <c r="F587">
        <v>584</v>
      </c>
      <c r="G587">
        <f ca="1">_xlfn.NORM.INV(RAND(),$M$7,$M$8)</f>
        <v>-3.5207562193851287E-2</v>
      </c>
    </row>
    <row r="588" spans="6:7" x14ac:dyDescent="0.25">
      <c r="F588">
        <v>585</v>
      </c>
      <c r="G588">
        <f ca="1">_xlfn.NORM.INV(RAND(),$M$7,$M$8)</f>
        <v>-5.1660132417672821E-3</v>
      </c>
    </row>
    <row r="589" spans="6:7" x14ac:dyDescent="0.25">
      <c r="F589">
        <v>586</v>
      </c>
      <c r="G589">
        <f ca="1">_xlfn.NORM.INV(RAND(),$M$7,$M$8)</f>
        <v>-1.2819834274239319E-2</v>
      </c>
    </row>
    <row r="590" spans="6:7" x14ac:dyDescent="0.25">
      <c r="F590">
        <v>587</v>
      </c>
      <c r="G590">
        <f ca="1">_xlfn.NORM.INV(RAND(),$M$7,$M$8)</f>
        <v>3.6620345703917472E-2</v>
      </c>
    </row>
    <row r="591" spans="6:7" x14ac:dyDescent="0.25">
      <c r="F591">
        <v>588</v>
      </c>
      <c r="G591">
        <f ca="1">_xlfn.NORM.INV(RAND(),$M$7,$M$8)</f>
        <v>-2.5500754033342805E-2</v>
      </c>
    </row>
    <row r="592" spans="6:7" x14ac:dyDescent="0.25">
      <c r="F592">
        <v>589</v>
      </c>
      <c r="G592">
        <f ca="1">_xlfn.NORM.INV(RAND(),$M$7,$M$8)</f>
        <v>1.8431150496615367E-2</v>
      </c>
    </row>
    <row r="593" spans="6:7" x14ac:dyDescent="0.25">
      <c r="F593">
        <v>590</v>
      </c>
      <c r="G593">
        <f ca="1">_xlfn.NORM.INV(RAND(),$M$7,$M$8)</f>
        <v>3.1028556737957756E-2</v>
      </c>
    </row>
    <row r="594" spans="6:7" x14ac:dyDescent="0.25">
      <c r="F594">
        <v>591</v>
      </c>
      <c r="G594">
        <f ca="1">_xlfn.NORM.INV(RAND(),$M$7,$M$8)</f>
        <v>4.040786206347554E-2</v>
      </c>
    </row>
    <row r="595" spans="6:7" x14ac:dyDescent="0.25">
      <c r="F595">
        <v>592</v>
      </c>
      <c r="G595">
        <f ca="1">_xlfn.NORM.INV(RAND(),$M$7,$M$8)</f>
        <v>-3.734670948220054E-3</v>
      </c>
    </row>
    <row r="596" spans="6:7" x14ac:dyDescent="0.25">
      <c r="F596">
        <v>593</v>
      </c>
      <c r="G596">
        <f ca="1">_xlfn.NORM.INV(RAND(),$M$7,$M$8)</f>
        <v>4.0404332913172483E-2</v>
      </c>
    </row>
    <row r="597" spans="6:7" x14ac:dyDescent="0.25">
      <c r="F597">
        <v>594</v>
      </c>
      <c r="G597">
        <f ca="1">_xlfn.NORM.INV(RAND(),$M$7,$M$8)</f>
        <v>-3.1852410355123685E-2</v>
      </c>
    </row>
    <row r="598" spans="6:7" x14ac:dyDescent="0.25">
      <c r="F598">
        <v>595</v>
      </c>
      <c r="G598">
        <f ca="1">_xlfn.NORM.INV(RAND(),$M$7,$M$8)</f>
        <v>-1.0705490731250079E-2</v>
      </c>
    </row>
    <row r="599" spans="6:7" x14ac:dyDescent="0.25">
      <c r="F599">
        <v>596</v>
      </c>
      <c r="G599">
        <f ca="1">_xlfn.NORM.INV(RAND(),$M$7,$M$8)</f>
        <v>3.4990244797268318E-2</v>
      </c>
    </row>
    <row r="600" spans="6:7" x14ac:dyDescent="0.25">
      <c r="F600">
        <v>597</v>
      </c>
      <c r="G600">
        <f ca="1">_xlfn.NORM.INV(RAND(),$M$7,$M$8)</f>
        <v>-8.4562063303860145E-3</v>
      </c>
    </row>
    <row r="601" spans="6:7" x14ac:dyDescent="0.25">
      <c r="F601">
        <v>598</v>
      </c>
      <c r="G601">
        <f ca="1">_xlfn.NORM.INV(RAND(),$M$7,$M$8)</f>
        <v>-4.1951995968717126E-2</v>
      </c>
    </row>
    <row r="602" spans="6:7" x14ac:dyDescent="0.25">
      <c r="F602">
        <v>599</v>
      </c>
      <c r="G602">
        <f ca="1">_xlfn.NORM.INV(RAND(),$M$7,$M$8)</f>
        <v>2.977567728995336E-2</v>
      </c>
    </row>
    <row r="603" spans="6:7" x14ac:dyDescent="0.25">
      <c r="F603">
        <v>600</v>
      </c>
      <c r="G603">
        <f ca="1">_xlfn.NORM.INV(RAND(),$M$7,$M$8)</f>
        <v>4.2212307991644792E-2</v>
      </c>
    </row>
    <row r="604" spans="6:7" x14ac:dyDescent="0.25">
      <c r="F604">
        <v>601</v>
      </c>
      <c r="G604">
        <f ca="1">_xlfn.NORM.INV(RAND(),$M$7,$M$8)</f>
        <v>2.8691269712969494E-2</v>
      </c>
    </row>
    <row r="605" spans="6:7" x14ac:dyDescent="0.25">
      <c r="F605">
        <v>602</v>
      </c>
      <c r="G605">
        <f ca="1">_xlfn.NORM.INV(RAND(),$M$7,$M$8)</f>
        <v>3.2048901415856763E-2</v>
      </c>
    </row>
    <row r="606" spans="6:7" x14ac:dyDescent="0.25">
      <c r="F606">
        <v>603</v>
      </c>
      <c r="G606">
        <f ca="1">_xlfn.NORM.INV(RAND(),$M$7,$M$8)</f>
        <v>1.1187884870443218E-2</v>
      </c>
    </row>
    <row r="607" spans="6:7" x14ac:dyDescent="0.25">
      <c r="F607">
        <v>604</v>
      </c>
      <c r="G607">
        <f ca="1">_xlfn.NORM.INV(RAND(),$M$7,$M$8)</f>
        <v>1.0784619097016663E-2</v>
      </c>
    </row>
    <row r="608" spans="6:7" x14ac:dyDescent="0.25">
      <c r="F608">
        <v>605</v>
      </c>
      <c r="G608">
        <f ca="1">_xlfn.NORM.INV(RAND(),$M$7,$M$8)</f>
        <v>-2.5551195526404669E-2</v>
      </c>
    </row>
    <row r="609" spans="6:7" x14ac:dyDescent="0.25">
      <c r="F609">
        <v>606</v>
      </c>
      <c r="G609">
        <f ca="1">_xlfn.NORM.INV(RAND(),$M$7,$M$8)</f>
        <v>7.3469054022118323E-3</v>
      </c>
    </row>
    <row r="610" spans="6:7" x14ac:dyDescent="0.25">
      <c r="F610">
        <v>607</v>
      </c>
      <c r="G610">
        <f ca="1">_xlfn.NORM.INV(RAND(),$M$7,$M$8)</f>
        <v>8.1646814988874123E-3</v>
      </c>
    </row>
    <row r="611" spans="6:7" x14ac:dyDescent="0.25">
      <c r="F611">
        <v>608</v>
      </c>
      <c r="G611">
        <f ca="1">_xlfn.NORM.INV(RAND(),$M$7,$M$8)</f>
        <v>-9.8337537492189462E-4</v>
      </c>
    </row>
    <row r="612" spans="6:7" x14ac:dyDescent="0.25">
      <c r="F612">
        <v>609</v>
      </c>
      <c r="G612">
        <f ca="1">_xlfn.NORM.INV(RAND(),$M$7,$M$8)</f>
        <v>-9.0327989263893228E-3</v>
      </c>
    </row>
    <row r="613" spans="6:7" x14ac:dyDescent="0.25">
      <c r="F613">
        <v>610</v>
      </c>
      <c r="G613">
        <f ca="1">_xlfn.NORM.INV(RAND(),$M$7,$M$8)</f>
        <v>5.6548151040724075E-3</v>
      </c>
    </row>
    <row r="614" spans="6:7" x14ac:dyDescent="0.25">
      <c r="F614">
        <v>611</v>
      </c>
      <c r="G614">
        <f ca="1">_xlfn.NORM.INV(RAND(),$M$7,$M$8)</f>
        <v>-1.0253858369663747E-2</v>
      </c>
    </row>
    <row r="615" spans="6:7" x14ac:dyDescent="0.25">
      <c r="F615">
        <v>612</v>
      </c>
      <c r="G615">
        <f ca="1">_xlfn.NORM.INV(RAND(),$M$7,$M$8)</f>
        <v>-6.0806500542591874E-3</v>
      </c>
    </row>
    <row r="616" spans="6:7" x14ac:dyDescent="0.25">
      <c r="F616">
        <v>613</v>
      </c>
      <c r="G616">
        <f ca="1">_xlfn.NORM.INV(RAND(),$M$7,$M$8)</f>
        <v>-5.2475666140416585E-2</v>
      </c>
    </row>
    <row r="617" spans="6:7" x14ac:dyDescent="0.25">
      <c r="F617">
        <v>614</v>
      </c>
      <c r="G617">
        <f ca="1">_xlfn.NORM.INV(RAND(),$M$7,$M$8)</f>
        <v>4.0772631778034661E-2</v>
      </c>
    </row>
    <row r="618" spans="6:7" x14ac:dyDescent="0.25">
      <c r="F618">
        <v>615</v>
      </c>
      <c r="G618">
        <f ca="1">_xlfn.NORM.INV(RAND(),$M$7,$M$8)</f>
        <v>9.9933207049426129E-3</v>
      </c>
    </row>
    <row r="619" spans="6:7" x14ac:dyDescent="0.25">
      <c r="F619">
        <v>616</v>
      </c>
      <c r="G619">
        <f ca="1">_xlfn.NORM.INV(RAND(),$M$7,$M$8)</f>
        <v>-2.0766321880748367E-2</v>
      </c>
    </row>
    <row r="620" spans="6:7" x14ac:dyDescent="0.25">
      <c r="F620">
        <v>617</v>
      </c>
      <c r="G620">
        <f ca="1">_xlfn.NORM.INV(RAND(),$M$7,$M$8)</f>
        <v>-2.4869466618727607E-2</v>
      </c>
    </row>
    <row r="621" spans="6:7" x14ac:dyDescent="0.25">
      <c r="F621">
        <v>618</v>
      </c>
      <c r="G621">
        <f ca="1">_xlfn.NORM.INV(RAND(),$M$7,$M$8)</f>
        <v>-1.313721557502587E-2</v>
      </c>
    </row>
    <row r="622" spans="6:7" x14ac:dyDescent="0.25">
      <c r="F622">
        <v>619</v>
      </c>
      <c r="G622">
        <f ca="1">_xlfn.NORM.INV(RAND(),$M$7,$M$8)</f>
        <v>4.4469076299545274E-2</v>
      </c>
    </row>
    <row r="623" spans="6:7" x14ac:dyDescent="0.25">
      <c r="F623">
        <v>620</v>
      </c>
      <c r="G623">
        <f ca="1">_xlfn.NORM.INV(RAND(),$M$7,$M$8)</f>
        <v>-8.424954023165827E-3</v>
      </c>
    </row>
    <row r="624" spans="6:7" x14ac:dyDescent="0.25">
      <c r="F624">
        <v>621</v>
      </c>
      <c r="G624">
        <f ca="1">_xlfn.NORM.INV(RAND(),$M$7,$M$8)</f>
        <v>1.7122040728620534E-2</v>
      </c>
    </row>
    <row r="625" spans="6:7" x14ac:dyDescent="0.25">
      <c r="F625">
        <v>622</v>
      </c>
      <c r="G625">
        <f ca="1">_xlfn.NORM.INV(RAND(),$M$7,$M$8)</f>
        <v>1.8621429311715742E-2</v>
      </c>
    </row>
    <row r="626" spans="6:7" x14ac:dyDescent="0.25">
      <c r="F626">
        <v>623</v>
      </c>
      <c r="G626">
        <f ca="1">_xlfn.NORM.INV(RAND(),$M$7,$M$8)</f>
        <v>-3.4372612492901321E-2</v>
      </c>
    </row>
    <row r="627" spans="6:7" x14ac:dyDescent="0.25">
      <c r="F627">
        <v>624</v>
      </c>
      <c r="G627">
        <f ca="1">_xlfn.NORM.INV(RAND(),$M$7,$M$8)</f>
        <v>-7.6130853151486818E-3</v>
      </c>
    </row>
    <row r="628" spans="6:7" x14ac:dyDescent="0.25">
      <c r="F628">
        <v>625</v>
      </c>
      <c r="G628">
        <f ca="1">_xlfn.NORM.INV(RAND(),$M$7,$M$8)</f>
        <v>1.3200291831049513E-2</v>
      </c>
    </row>
    <row r="629" spans="6:7" x14ac:dyDescent="0.25">
      <c r="F629">
        <v>626</v>
      </c>
      <c r="G629">
        <f ca="1">_xlfn.NORM.INV(RAND(),$M$7,$M$8)</f>
        <v>1.3445130533348946E-2</v>
      </c>
    </row>
    <row r="630" spans="6:7" x14ac:dyDescent="0.25">
      <c r="F630">
        <v>627</v>
      </c>
      <c r="G630">
        <f ca="1">_xlfn.NORM.INV(RAND(),$M$7,$M$8)</f>
        <v>1.2972928514132079E-2</v>
      </c>
    </row>
    <row r="631" spans="6:7" x14ac:dyDescent="0.25">
      <c r="F631">
        <v>628</v>
      </c>
      <c r="G631">
        <f ca="1">_xlfn.NORM.INV(RAND(),$M$7,$M$8)</f>
        <v>-4.1056146242349899E-2</v>
      </c>
    </row>
    <row r="632" spans="6:7" x14ac:dyDescent="0.25">
      <c r="F632">
        <v>629</v>
      </c>
      <c r="G632">
        <f ca="1">_xlfn.NORM.INV(RAND(),$M$7,$M$8)</f>
        <v>-1.8441967985845992E-2</v>
      </c>
    </row>
    <row r="633" spans="6:7" x14ac:dyDescent="0.25">
      <c r="F633">
        <v>630</v>
      </c>
      <c r="G633">
        <f ca="1">_xlfn.NORM.INV(RAND(),$M$7,$M$8)</f>
        <v>1.7367446617517471E-4</v>
      </c>
    </row>
    <row r="634" spans="6:7" x14ac:dyDescent="0.25">
      <c r="F634">
        <v>631</v>
      </c>
      <c r="G634">
        <f ca="1">_xlfn.NORM.INV(RAND(),$M$7,$M$8)</f>
        <v>-2.4234331019179199E-3</v>
      </c>
    </row>
    <row r="635" spans="6:7" x14ac:dyDescent="0.25">
      <c r="F635">
        <v>632</v>
      </c>
      <c r="G635">
        <f ca="1">_xlfn.NORM.INV(RAND(),$M$7,$M$8)</f>
        <v>8.2794311742663898E-3</v>
      </c>
    </row>
    <row r="636" spans="6:7" x14ac:dyDescent="0.25">
      <c r="F636">
        <v>633</v>
      </c>
      <c r="G636">
        <f ca="1">_xlfn.NORM.INV(RAND(),$M$7,$M$8)</f>
        <v>-9.032160510965467E-3</v>
      </c>
    </row>
    <row r="637" spans="6:7" x14ac:dyDescent="0.25">
      <c r="F637">
        <v>634</v>
      </c>
      <c r="G637">
        <f ca="1">_xlfn.NORM.INV(RAND(),$M$7,$M$8)</f>
        <v>-7.8152624617473104E-3</v>
      </c>
    </row>
    <row r="638" spans="6:7" x14ac:dyDescent="0.25">
      <c r="F638">
        <v>635</v>
      </c>
      <c r="G638">
        <f ca="1">_xlfn.NORM.INV(RAND(),$M$7,$M$8)</f>
        <v>1.9031282254594245E-2</v>
      </c>
    </row>
    <row r="639" spans="6:7" x14ac:dyDescent="0.25">
      <c r="F639">
        <v>636</v>
      </c>
      <c r="G639">
        <f ca="1">_xlfn.NORM.INV(RAND(),$M$7,$M$8)</f>
        <v>2.3516974278540832E-2</v>
      </c>
    </row>
    <row r="640" spans="6:7" x14ac:dyDescent="0.25">
      <c r="F640">
        <v>637</v>
      </c>
      <c r="G640">
        <f ca="1">_xlfn.NORM.INV(RAND(),$M$7,$M$8)</f>
        <v>-5.4838922919562549E-2</v>
      </c>
    </row>
    <row r="641" spans="6:7" x14ac:dyDescent="0.25">
      <c r="F641">
        <v>638</v>
      </c>
      <c r="G641">
        <f ca="1">_xlfn.NORM.INV(RAND(),$M$7,$M$8)</f>
        <v>5.2339638117730423E-3</v>
      </c>
    </row>
    <row r="642" spans="6:7" x14ac:dyDescent="0.25">
      <c r="F642">
        <v>639</v>
      </c>
      <c r="G642">
        <f ca="1">_xlfn.NORM.INV(RAND(),$M$7,$M$8)</f>
        <v>-2.8650799839402386E-2</v>
      </c>
    </row>
    <row r="643" spans="6:7" x14ac:dyDescent="0.25">
      <c r="F643">
        <v>640</v>
      </c>
      <c r="G643">
        <f ca="1">_xlfn.NORM.INV(RAND(),$M$7,$M$8)</f>
        <v>2.0698392943906404E-2</v>
      </c>
    </row>
    <row r="644" spans="6:7" x14ac:dyDescent="0.25">
      <c r="F644">
        <v>641</v>
      </c>
      <c r="G644">
        <f ca="1">_xlfn.NORM.INV(RAND(),$M$7,$M$8)</f>
        <v>1.5751140713154931E-2</v>
      </c>
    </row>
    <row r="645" spans="6:7" x14ac:dyDescent="0.25">
      <c r="F645">
        <v>642</v>
      </c>
      <c r="G645">
        <f ca="1">_xlfn.NORM.INV(RAND(),$M$7,$M$8)</f>
        <v>3.1334614623118887E-2</v>
      </c>
    </row>
    <row r="646" spans="6:7" x14ac:dyDescent="0.25">
      <c r="F646">
        <v>643</v>
      </c>
      <c r="G646">
        <f ca="1">_xlfn.NORM.INV(RAND(),$M$7,$M$8)</f>
        <v>4.6704146485697449E-2</v>
      </c>
    </row>
    <row r="647" spans="6:7" x14ac:dyDescent="0.25">
      <c r="F647">
        <v>644</v>
      </c>
      <c r="G647">
        <f ca="1">_xlfn.NORM.INV(RAND(),$M$7,$M$8)</f>
        <v>-1.1183340273782125E-2</v>
      </c>
    </row>
    <row r="648" spans="6:7" x14ac:dyDescent="0.25">
      <c r="F648">
        <v>645</v>
      </c>
      <c r="G648">
        <f ca="1">_xlfn.NORM.INV(RAND(),$M$7,$M$8)</f>
        <v>3.696883705332054E-2</v>
      </c>
    </row>
    <row r="649" spans="6:7" x14ac:dyDescent="0.25">
      <c r="F649">
        <v>646</v>
      </c>
      <c r="G649">
        <f ca="1">_xlfn.NORM.INV(RAND(),$M$7,$M$8)</f>
        <v>-4.1449088713658294E-2</v>
      </c>
    </row>
    <row r="650" spans="6:7" x14ac:dyDescent="0.25">
      <c r="F650">
        <v>647</v>
      </c>
      <c r="G650">
        <f ca="1">_xlfn.NORM.INV(RAND(),$M$7,$M$8)</f>
        <v>-4.6193238297177266E-3</v>
      </c>
    </row>
    <row r="651" spans="6:7" x14ac:dyDescent="0.25">
      <c r="F651">
        <v>648</v>
      </c>
      <c r="G651">
        <f ca="1">_xlfn.NORM.INV(RAND(),$M$7,$M$8)</f>
        <v>1.6925868713473714E-2</v>
      </c>
    </row>
    <row r="652" spans="6:7" x14ac:dyDescent="0.25">
      <c r="F652">
        <v>649</v>
      </c>
      <c r="G652">
        <f ca="1">_xlfn.NORM.INV(RAND(),$M$7,$M$8)</f>
        <v>-5.6420823152735243E-2</v>
      </c>
    </row>
    <row r="653" spans="6:7" x14ac:dyDescent="0.25">
      <c r="F653">
        <v>650</v>
      </c>
      <c r="G653">
        <f ca="1">_xlfn.NORM.INV(RAND(),$M$7,$M$8)</f>
        <v>-8.6641650785812922E-3</v>
      </c>
    </row>
    <row r="654" spans="6:7" x14ac:dyDescent="0.25">
      <c r="F654">
        <v>651</v>
      </c>
      <c r="G654">
        <f ca="1">_xlfn.NORM.INV(RAND(),$M$7,$M$8)</f>
        <v>-3.2843323380173269E-2</v>
      </c>
    </row>
    <row r="655" spans="6:7" x14ac:dyDescent="0.25">
      <c r="F655">
        <v>652</v>
      </c>
      <c r="G655">
        <f ca="1">_xlfn.NORM.INV(RAND(),$M$7,$M$8)</f>
        <v>-1.7168347386361145E-2</v>
      </c>
    </row>
    <row r="656" spans="6:7" x14ac:dyDescent="0.25">
      <c r="F656">
        <v>653</v>
      </c>
      <c r="G656">
        <f ca="1">_xlfn.NORM.INV(RAND(),$M$7,$M$8)</f>
        <v>-2.8698395348731819E-2</v>
      </c>
    </row>
    <row r="657" spans="6:7" x14ac:dyDescent="0.25">
      <c r="F657">
        <v>654</v>
      </c>
      <c r="G657">
        <f ca="1">_xlfn.NORM.INV(RAND(),$M$7,$M$8)</f>
        <v>-3.5990030010935363E-2</v>
      </c>
    </row>
    <row r="658" spans="6:7" x14ac:dyDescent="0.25">
      <c r="F658">
        <v>655</v>
      </c>
      <c r="G658">
        <f ca="1">_xlfn.NORM.INV(RAND(),$M$7,$M$8)</f>
        <v>-4.8926703494530675E-2</v>
      </c>
    </row>
    <row r="659" spans="6:7" x14ac:dyDescent="0.25">
      <c r="F659">
        <v>656</v>
      </c>
      <c r="G659">
        <f ca="1">_xlfn.NORM.INV(RAND(),$M$7,$M$8)</f>
        <v>2.6478045453059606E-2</v>
      </c>
    </row>
    <row r="660" spans="6:7" x14ac:dyDescent="0.25">
      <c r="F660">
        <v>657</v>
      </c>
      <c r="G660">
        <f ca="1">_xlfn.NORM.INV(RAND(),$M$7,$M$8)</f>
        <v>-1.1877474675693217E-2</v>
      </c>
    </row>
    <row r="661" spans="6:7" x14ac:dyDescent="0.25">
      <c r="F661">
        <v>658</v>
      </c>
      <c r="G661">
        <f ca="1">_xlfn.NORM.INV(RAND(),$M$7,$M$8)</f>
        <v>2.5614461681565288E-2</v>
      </c>
    </row>
    <row r="662" spans="6:7" x14ac:dyDescent="0.25">
      <c r="F662">
        <v>659</v>
      </c>
      <c r="G662">
        <f ca="1">_xlfn.NORM.INV(RAND(),$M$7,$M$8)</f>
        <v>1.4150774298675594E-2</v>
      </c>
    </row>
    <row r="663" spans="6:7" x14ac:dyDescent="0.25">
      <c r="F663">
        <v>660</v>
      </c>
      <c r="G663">
        <f ca="1">_xlfn.NORM.INV(RAND(),$M$7,$M$8)</f>
        <v>8.4008308538842807E-3</v>
      </c>
    </row>
    <row r="664" spans="6:7" x14ac:dyDescent="0.25">
      <c r="F664">
        <v>661</v>
      </c>
      <c r="G664">
        <f ca="1">_xlfn.NORM.INV(RAND(),$M$7,$M$8)</f>
        <v>-3.8987852860515065E-2</v>
      </c>
    </row>
    <row r="665" spans="6:7" x14ac:dyDescent="0.25">
      <c r="F665">
        <v>662</v>
      </c>
      <c r="G665">
        <f ca="1">_xlfn.NORM.INV(RAND(),$M$7,$M$8)</f>
        <v>-9.1392805575252426E-3</v>
      </c>
    </row>
    <row r="666" spans="6:7" x14ac:dyDescent="0.25">
      <c r="F666">
        <v>663</v>
      </c>
      <c r="G666">
        <f ca="1">_xlfn.NORM.INV(RAND(),$M$7,$M$8)</f>
        <v>2.9290494129186728E-2</v>
      </c>
    </row>
    <row r="667" spans="6:7" x14ac:dyDescent="0.25">
      <c r="F667">
        <v>664</v>
      </c>
      <c r="G667">
        <f ca="1">_xlfn.NORM.INV(RAND(),$M$7,$M$8)</f>
        <v>-2.3270910215396897E-2</v>
      </c>
    </row>
    <row r="668" spans="6:7" x14ac:dyDescent="0.25">
      <c r="F668">
        <v>665</v>
      </c>
      <c r="G668">
        <f ca="1">_xlfn.NORM.INV(RAND(),$M$7,$M$8)</f>
        <v>2.4319319796182803E-2</v>
      </c>
    </row>
    <row r="669" spans="6:7" x14ac:dyDescent="0.25">
      <c r="F669">
        <v>666</v>
      </c>
      <c r="G669">
        <f ca="1">_xlfn.NORM.INV(RAND(),$M$7,$M$8)</f>
        <v>-1.3190937442438471E-2</v>
      </c>
    </row>
    <row r="670" spans="6:7" x14ac:dyDescent="0.25">
      <c r="F670">
        <v>667</v>
      </c>
      <c r="G670">
        <f ca="1">_xlfn.NORM.INV(RAND(),$M$7,$M$8)</f>
        <v>5.0692471469736211E-2</v>
      </c>
    </row>
    <row r="671" spans="6:7" x14ac:dyDescent="0.25">
      <c r="F671">
        <v>668</v>
      </c>
      <c r="G671">
        <f ca="1">_xlfn.NORM.INV(RAND(),$M$7,$M$8)</f>
        <v>-2.0156255143396057E-2</v>
      </c>
    </row>
    <row r="672" spans="6:7" x14ac:dyDescent="0.25">
      <c r="F672">
        <v>669</v>
      </c>
      <c r="G672">
        <f ca="1">_xlfn.NORM.INV(RAND(),$M$7,$M$8)</f>
        <v>2.1619825647731704E-2</v>
      </c>
    </row>
    <row r="673" spans="6:7" x14ac:dyDescent="0.25">
      <c r="F673">
        <v>670</v>
      </c>
      <c r="G673">
        <f ca="1">_xlfn.NORM.INV(RAND(),$M$7,$M$8)</f>
        <v>-2.1563125462294778E-2</v>
      </c>
    </row>
    <row r="674" spans="6:7" x14ac:dyDescent="0.25">
      <c r="F674">
        <v>671</v>
      </c>
      <c r="G674">
        <f ca="1">_xlfn.NORM.INV(RAND(),$M$7,$M$8)</f>
        <v>7.6566569812542701E-3</v>
      </c>
    </row>
    <row r="675" spans="6:7" x14ac:dyDescent="0.25">
      <c r="F675">
        <v>672</v>
      </c>
      <c r="G675">
        <f ca="1">_xlfn.NORM.INV(RAND(),$M$7,$M$8)</f>
        <v>1.0547682785978198E-2</v>
      </c>
    </row>
    <row r="676" spans="6:7" x14ac:dyDescent="0.25">
      <c r="F676">
        <v>673</v>
      </c>
      <c r="G676">
        <f ca="1">_xlfn.NORM.INV(RAND(),$M$7,$M$8)</f>
        <v>9.8706819743298521E-3</v>
      </c>
    </row>
    <row r="677" spans="6:7" x14ac:dyDescent="0.25">
      <c r="F677">
        <v>674</v>
      </c>
      <c r="G677">
        <f ca="1">_xlfn.NORM.INV(RAND(),$M$7,$M$8)</f>
        <v>1.3254340912728954E-3</v>
      </c>
    </row>
    <row r="678" spans="6:7" x14ac:dyDescent="0.25">
      <c r="F678">
        <v>675</v>
      </c>
      <c r="G678">
        <f ca="1">_xlfn.NORM.INV(RAND(),$M$7,$M$8)</f>
        <v>-8.3361274694141001E-3</v>
      </c>
    </row>
    <row r="679" spans="6:7" x14ac:dyDescent="0.25">
      <c r="F679">
        <v>676</v>
      </c>
      <c r="G679">
        <f ca="1">_xlfn.NORM.INV(RAND(),$M$7,$M$8)</f>
        <v>3.0173759165818076E-2</v>
      </c>
    </row>
    <row r="680" spans="6:7" x14ac:dyDescent="0.25">
      <c r="F680">
        <v>677</v>
      </c>
      <c r="G680">
        <f ca="1">_xlfn.NORM.INV(RAND(),$M$7,$M$8)</f>
        <v>3.6551068396231443E-2</v>
      </c>
    </row>
    <row r="681" spans="6:7" x14ac:dyDescent="0.25">
      <c r="F681">
        <v>678</v>
      </c>
      <c r="G681">
        <f ca="1">_xlfn.NORM.INV(RAND(),$M$7,$M$8)</f>
        <v>2.5757476405207546E-2</v>
      </c>
    </row>
    <row r="682" spans="6:7" x14ac:dyDescent="0.25">
      <c r="F682">
        <v>679</v>
      </c>
      <c r="G682">
        <f ca="1">_xlfn.NORM.INV(RAND(),$M$7,$M$8)</f>
        <v>3.7533452245294419E-2</v>
      </c>
    </row>
    <row r="683" spans="6:7" x14ac:dyDescent="0.25">
      <c r="F683">
        <v>680</v>
      </c>
      <c r="G683">
        <f ca="1">_xlfn.NORM.INV(RAND(),$M$7,$M$8)</f>
        <v>-6.6355035570391172E-3</v>
      </c>
    </row>
    <row r="684" spans="6:7" x14ac:dyDescent="0.25">
      <c r="F684">
        <v>681</v>
      </c>
      <c r="G684">
        <f ca="1">_xlfn.NORM.INV(RAND(),$M$7,$M$8)</f>
        <v>-1.5242385262744441E-2</v>
      </c>
    </row>
    <row r="685" spans="6:7" x14ac:dyDescent="0.25">
      <c r="F685">
        <v>682</v>
      </c>
      <c r="G685">
        <f ca="1">_xlfn.NORM.INV(RAND(),$M$7,$M$8)</f>
        <v>2.1039772645137376E-2</v>
      </c>
    </row>
    <row r="686" spans="6:7" x14ac:dyDescent="0.25">
      <c r="F686">
        <v>683</v>
      </c>
      <c r="G686">
        <f ca="1">_xlfn.NORM.INV(RAND(),$M$7,$M$8)</f>
        <v>-1.2146203557676431E-2</v>
      </c>
    </row>
    <row r="687" spans="6:7" x14ac:dyDescent="0.25">
      <c r="F687">
        <v>684</v>
      </c>
      <c r="G687">
        <f ca="1">_xlfn.NORM.INV(RAND(),$M$7,$M$8)</f>
        <v>-2.604332396050035E-2</v>
      </c>
    </row>
    <row r="688" spans="6:7" x14ac:dyDescent="0.25">
      <c r="F688">
        <v>685</v>
      </c>
      <c r="G688">
        <f ca="1">_xlfn.NORM.INV(RAND(),$M$7,$M$8)</f>
        <v>-1.0653530860041322E-2</v>
      </c>
    </row>
    <row r="689" spans="6:7" x14ac:dyDescent="0.25">
      <c r="F689">
        <v>686</v>
      </c>
      <c r="G689">
        <f ca="1">_xlfn.NORM.INV(RAND(),$M$7,$M$8)</f>
        <v>4.1109830399526814E-2</v>
      </c>
    </row>
    <row r="690" spans="6:7" x14ac:dyDescent="0.25">
      <c r="F690">
        <v>687</v>
      </c>
      <c r="G690">
        <f ca="1">_xlfn.NORM.INV(RAND(),$M$7,$M$8)</f>
        <v>-2.6102589788457534E-2</v>
      </c>
    </row>
    <row r="691" spans="6:7" x14ac:dyDescent="0.25">
      <c r="F691">
        <v>688</v>
      </c>
      <c r="G691">
        <f ca="1">_xlfn.NORM.INV(RAND(),$M$7,$M$8)</f>
        <v>-1.5246418469398591E-2</v>
      </c>
    </row>
    <row r="692" spans="6:7" x14ac:dyDescent="0.25">
      <c r="F692">
        <v>689</v>
      </c>
      <c r="G692">
        <f ca="1">_xlfn.NORM.INV(RAND(),$M$7,$M$8)</f>
        <v>1.648907152093505E-2</v>
      </c>
    </row>
    <row r="693" spans="6:7" x14ac:dyDescent="0.25">
      <c r="F693">
        <v>690</v>
      </c>
      <c r="G693">
        <f ca="1">_xlfn.NORM.INV(RAND(),$M$7,$M$8)</f>
        <v>9.197368240589008E-3</v>
      </c>
    </row>
    <row r="694" spans="6:7" x14ac:dyDescent="0.25">
      <c r="F694">
        <v>691</v>
      </c>
      <c r="G694">
        <f ca="1">_xlfn.NORM.INV(RAND(),$M$7,$M$8)</f>
        <v>3.0353605514974624E-2</v>
      </c>
    </row>
    <row r="695" spans="6:7" x14ac:dyDescent="0.25">
      <c r="F695">
        <v>692</v>
      </c>
      <c r="G695">
        <f ca="1">_xlfn.NORM.INV(RAND(),$M$7,$M$8)</f>
        <v>-4.0754842538188955E-3</v>
      </c>
    </row>
    <row r="696" spans="6:7" x14ac:dyDescent="0.25">
      <c r="F696">
        <v>693</v>
      </c>
      <c r="G696">
        <f ca="1">_xlfn.NORM.INV(RAND(),$M$7,$M$8)</f>
        <v>9.6284767740215053E-3</v>
      </c>
    </row>
    <row r="697" spans="6:7" x14ac:dyDescent="0.25">
      <c r="F697">
        <v>694</v>
      </c>
      <c r="G697">
        <f ca="1">_xlfn.NORM.INV(RAND(),$M$7,$M$8)</f>
        <v>3.8957495034718279E-2</v>
      </c>
    </row>
    <row r="698" spans="6:7" x14ac:dyDescent="0.25">
      <c r="F698">
        <v>695</v>
      </c>
      <c r="G698">
        <f ca="1">_xlfn.NORM.INV(RAND(),$M$7,$M$8)</f>
        <v>-1.1931618021153249E-2</v>
      </c>
    </row>
    <row r="699" spans="6:7" x14ac:dyDescent="0.25">
      <c r="F699">
        <v>696</v>
      </c>
      <c r="G699">
        <f ca="1">_xlfn.NORM.INV(RAND(),$M$7,$M$8)</f>
        <v>7.4797527400272141E-3</v>
      </c>
    </row>
    <row r="700" spans="6:7" x14ac:dyDescent="0.25">
      <c r="F700">
        <v>697</v>
      </c>
      <c r="G700">
        <f ca="1">_xlfn.NORM.INV(RAND(),$M$7,$M$8)</f>
        <v>3.4825190030668023E-2</v>
      </c>
    </row>
    <row r="701" spans="6:7" x14ac:dyDescent="0.25">
      <c r="F701">
        <v>698</v>
      </c>
      <c r="G701">
        <f ca="1">_xlfn.NORM.INV(RAND(),$M$7,$M$8)</f>
        <v>2.7373729887702127E-2</v>
      </c>
    </row>
    <row r="702" spans="6:7" x14ac:dyDescent="0.25">
      <c r="F702">
        <v>699</v>
      </c>
      <c r="G702">
        <f ca="1">_xlfn.NORM.INV(RAND(),$M$7,$M$8)</f>
        <v>2.2848590206734267E-2</v>
      </c>
    </row>
    <row r="703" spans="6:7" x14ac:dyDescent="0.25">
      <c r="F703">
        <v>700</v>
      </c>
      <c r="G703">
        <f ca="1">_xlfn.NORM.INV(RAND(),$M$7,$M$8)</f>
        <v>1.7736534044159848E-2</v>
      </c>
    </row>
    <row r="704" spans="6:7" x14ac:dyDescent="0.25">
      <c r="F704">
        <v>701</v>
      </c>
      <c r="G704">
        <f ca="1">_xlfn.NORM.INV(RAND(),$M$7,$M$8)</f>
        <v>3.9010355893861967E-3</v>
      </c>
    </row>
    <row r="705" spans="6:7" x14ac:dyDescent="0.25">
      <c r="F705">
        <v>702</v>
      </c>
      <c r="G705">
        <f ca="1">_xlfn.NORM.INV(RAND(),$M$7,$M$8)</f>
        <v>1.8735839984438098E-2</v>
      </c>
    </row>
    <row r="706" spans="6:7" x14ac:dyDescent="0.25">
      <c r="F706">
        <v>703</v>
      </c>
      <c r="G706">
        <f ca="1">_xlfn.NORM.INV(RAND(),$M$7,$M$8)</f>
        <v>8.8225234392848417E-3</v>
      </c>
    </row>
    <row r="707" spans="6:7" x14ac:dyDescent="0.25">
      <c r="F707">
        <v>704</v>
      </c>
      <c r="G707">
        <f ca="1">_xlfn.NORM.INV(RAND(),$M$7,$M$8)</f>
        <v>-1.6057479028531593E-2</v>
      </c>
    </row>
    <row r="708" spans="6:7" x14ac:dyDescent="0.25">
      <c r="F708">
        <v>705</v>
      </c>
      <c r="G708">
        <f ca="1">_xlfn.NORM.INV(RAND(),$M$7,$M$8)</f>
        <v>-2.1351159740200791E-2</v>
      </c>
    </row>
    <row r="709" spans="6:7" x14ac:dyDescent="0.25">
      <c r="F709">
        <v>706</v>
      </c>
      <c r="G709">
        <f ca="1">_xlfn.NORM.INV(RAND(),$M$7,$M$8)</f>
        <v>-6.4770410628019887E-2</v>
      </c>
    </row>
    <row r="710" spans="6:7" x14ac:dyDescent="0.25">
      <c r="F710">
        <v>707</v>
      </c>
      <c r="G710">
        <f ca="1">_xlfn.NORM.INV(RAND(),$M$7,$M$8)</f>
        <v>-1.458954933851286E-4</v>
      </c>
    </row>
    <row r="711" spans="6:7" x14ac:dyDescent="0.25">
      <c r="F711">
        <v>708</v>
      </c>
      <c r="G711">
        <f ca="1">_xlfn.NORM.INV(RAND(),$M$7,$M$8)</f>
        <v>4.0262596691518632E-2</v>
      </c>
    </row>
    <row r="712" spans="6:7" x14ac:dyDescent="0.25">
      <c r="F712">
        <v>709</v>
      </c>
      <c r="G712">
        <f ca="1">_xlfn.NORM.INV(RAND(),$M$7,$M$8)</f>
        <v>-1.2672189781636691E-3</v>
      </c>
    </row>
    <row r="713" spans="6:7" x14ac:dyDescent="0.25">
      <c r="F713">
        <v>710</v>
      </c>
      <c r="G713">
        <f ca="1">_xlfn.NORM.INV(RAND(),$M$7,$M$8)</f>
        <v>-3.1312948231067922E-2</v>
      </c>
    </row>
    <row r="714" spans="6:7" x14ac:dyDescent="0.25">
      <c r="F714">
        <v>711</v>
      </c>
      <c r="G714">
        <f ca="1">_xlfn.NORM.INV(RAND(),$M$7,$M$8)</f>
        <v>1.4594923575967306E-3</v>
      </c>
    </row>
    <row r="715" spans="6:7" x14ac:dyDescent="0.25">
      <c r="F715">
        <v>712</v>
      </c>
      <c r="G715">
        <f ca="1">_xlfn.NORM.INV(RAND(),$M$7,$M$8)</f>
        <v>-1.9125194696578566E-3</v>
      </c>
    </row>
    <row r="716" spans="6:7" x14ac:dyDescent="0.25">
      <c r="F716">
        <v>713</v>
      </c>
      <c r="G716">
        <f ca="1">_xlfn.NORM.INV(RAND(),$M$7,$M$8)</f>
        <v>4.9546766468203357E-2</v>
      </c>
    </row>
    <row r="717" spans="6:7" x14ac:dyDescent="0.25">
      <c r="F717">
        <v>714</v>
      </c>
      <c r="G717">
        <f ca="1">_xlfn.NORM.INV(RAND(),$M$7,$M$8)</f>
        <v>-9.1471944899195589E-3</v>
      </c>
    </row>
    <row r="718" spans="6:7" x14ac:dyDescent="0.25">
      <c r="F718">
        <v>715</v>
      </c>
      <c r="G718">
        <f ca="1">_xlfn.NORM.INV(RAND(),$M$7,$M$8)</f>
        <v>3.6569565721797294E-2</v>
      </c>
    </row>
    <row r="719" spans="6:7" x14ac:dyDescent="0.25">
      <c r="F719">
        <v>716</v>
      </c>
      <c r="G719">
        <f ca="1">_xlfn.NORM.INV(RAND(),$M$7,$M$8)</f>
        <v>-5.8693925078812624E-4</v>
      </c>
    </row>
    <row r="720" spans="6:7" x14ac:dyDescent="0.25">
      <c r="F720">
        <v>717</v>
      </c>
      <c r="G720">
        <f ca="1">_xlfn.NORM.INV(RAND(),$M$7,$M$8)</f>
        <v>1.6526660488761568E-2</v>
      </c>
    </row>
    <row r="721" spans="6:7" x14ac:dyDescent="0.25">
      <c r="F721">
        <v>718</v>
      </c>
      <c r="G721">
        <f ca="1">_xlfn.NORM.INV(RAND(),$M$7,$M$8)</f>
        <v>-1.5534400308454314E-2</v>
      </c>
    </row>
    <row r="722" spans="6:7" x14ac:dyDescent="0.25">
      <c r="F722">
        <v>719</v>
      </c>
      <c r="G722">
        <f ca="1">_xlfn.NORM.INV(RAND(),$M$7,$M$8)</f>
        <v>-4.023106619632974E-2</v>
      </c>
    </row>
    <row r="723" spans="6:7" x14ac:dyDescent="0.25">
      <c r="F723">
        <v>720</v>
      </c>
      <c r="G723">
        <f ca="1">_xlfn.NORM.INV(RAND(),$M$7,$M$8)</f>
        <v>4.9805180972265682E-2</v>
      </c>
    </row>
    <row r="724" spans="6:7" x14ac:dyDescent="0.25">
      <c r="F724">
        <v>721</v>
      </c>
      <c r="G724">
        <f ca="1">_xlfn.NORM.INV(RAND(),$M$7,$M$8)</f>
        <v>-1.9181329190376611E-2</v>
      </c>
    </row>
    <row r="725" spans="6:7" x14ac:dyDescent="0.25">
      <c r="F725">
        <v>722</v>
      </c>
      <c r="G725">
        <f ca="1">_xlfn.NORM.INV(RAND(),$M$7,$M$8)</f>
        <v>-1.1986903014707373E-2</v>
      </c>
    </row>
    <row r="726" spans="6:7" x14ac:dyDescent="0.25">
      <c r="F726">
        <v>723</v>
      </c>
      <c r="G726">
        <f ca="1">_xlfn.NORM.INV(RAND(),$M$7,$M$8)</f>
        <v>2.4545873497786735E-2</v>
      </c>
    </row>
    <row r="727" spans="6:7" x14ac:dyDescent="0.25">
      <c r="F727">
        <v>724</v>
      </c>
      <c r="G727">
        <f ca="1">_xlfn.NORM.INV(RAND(),$M$7,$M$8)</f>
        <v>1.1606690838116315E-2</v>
      </c>
    </row>
    <row r="728" spans="6:7" x14ac:dyDescent="0.25">
      <c r="F728">
        <v>725</v>
      </c>
      <c r="G728">
        <f ca="1">_xlfn.NORM.INV(RAND(),$M$7,$M$8)</f>
        <v>-2.8966913541632049E-2</v>
      </c>
    </row>
    <row r="729" spans="6:7" x14ac:dyDescent="0.25">
      <c r="F729">
        <v>726</v>
      </c>
      <c r="G729">
        <f ca="1">_xlfn.NORM.INV(RAND(),$M$7,$M$8)</f>
        <v>2.4267181777076631E-2</v>
      </c>
    </row>
    <row r="730" spans="6:7" x14ac:dyDescent="0.25">
      <c r="F730">
        <v>727</v>
      </c>
      <c r="G730">
        <f ca="1">_xlfn.NORM.INV(RAND(),$M$7,$M$8)</f>
        <v>-2.8481999489280121E-2</v>
      </c>
    </row>
    <row r="731" spans="6:7" x14ac:dyDescent="0.25">
      <c r="F731">
        <v>728</v>
      </c>
      <c r="G731">
        <f ca="1">_xlfn.NORM.INV(RAND(),$M$7,$M$8)</f>
        <v>4.8139967575723842E-3</v>
      </c>
    </row>
    <row r="732" spans="6:7" x14ac:dyDescent="0.25">
      <c r="F732">
        <v>729</v>
      </c>
      <c r="G732">
        <f ca="1">_xlfn.NORM.INV(RAND(),$M$7,$M$8)</f>
        <v>9.7841325551694131E-3</v>
      </c>
    </row>
    <row r="733" spans="6:7" x14ac:dyDescent="0.25">
      <c r="F733">
        <v>730</v>
      </c>
      <c r="G733">
        <f ca="1">_xlfn.NORM.INV(RAND(),$M$7,$M$8)</f>
        <v>-1.4984445470796064E-2</v>
      </c>
    </row>
    <row r="734" spans="6:7" x14ac:dyDescent="0.25">
      <c r="F734">
        <v>731</v>
      </c>
      <c r="G734">
        <f ca="1">_xlfn.NORM.INV(RAND(),$M$7,$M$8)</f>
        <v>1.2412212170553581E-2</v>
      </c>
    </row>
    <row r="735" spans="6:7" x14ac:dyDescent="0.25">
      <c r="F735">
        <v>732</v>
      </c>
      <c r="G735">
        <f ca="1">_xlfn.NORM.INV(RAND(),$M$7,$M$8)</f>
        <v>-1.1141829109016024E-3</v>
      </c>
    </row>
    <row r="736" spans="6:7" x14ac:dyDescent="0.25">
      <c r="F736">
        <v>733</v>
      </c>
      <c r="G736">
        <f ca="1">_xlfn.NORM.INV(RAND(),$M$7,$M$8)</f>
        <v>-2.7489581440251301E-3</v>
      </c>
    </row>
    <row r="737" spans="6:7" x14ac:dyDescent="0.25">
      <c r="F737">
        <v>734</v>
      </c>
      <c r="G737">
        <f ca="1">_xlfn.NORM.INV(RAND(),$M$7,$M$8)</f>
        <v>1.9080019257643313E-2</v>
      </c>
    </row>
    <row r="738" spans="6:7" x14ac:dyDescent="0.25">
      <c r="F738">
        <v>735</v>
      </c>
      <c r="G738">
        <f ca="1">_xlfn.NORM.INV(RAND(),$M$7,$M$8)</f>
        <v>-3.9194782449743296E-3</v>
      </c>
    </row>
    <row r="739" spans="6:7" x14ac:dyDescent="0.25">
      <c r="F739">
        <v>736</v>
      </c>
      <c r="G739">
        <f ca="1">_xlfn.NORM.INV(RAND(),$M$7,$M$8)</f>
        <v>1.3521304550118639E-2</v>
      </c>
    </row>
    <row r="740" spans="6:7" x14ac:dyDescent="0.25">
      <c r="F740">
        <v>737</v>
      </c>
      <c r="G740">
        <f ca="1">_xlfn.NORM.INV(RAND(),$M$7,$M$8)</f>
        <v>3.0894614924534499E-3</v>
      </c>
    </row>
    <row r="741" spans="6:7" x14ac:dyDescent="0.25">
      <c r="F741">
        <v>738</v>
      </c>
      <c r="G741">
        <f ca="1">_xlfn.NORM.INV(RAND(),$M$7,$M$8)</f>
        <v>-2.6193756178807863E-2</v>
      </c>
    </row>
    <row r="742" spans="6:7" x14ac:dyDescent="0.25">
      <c r="F742">
        <v>739</v>
      </c>
      <c r="G742">
        <f ca="1">_xlfn.NORM.INV(RAND(),$M$7,$M$8)</f>
        <v>-3.5220987125724808E-2</v>
      </c>
    </row>
    <row r="743" spans="6:7" x14ac:dyDescent="0.25">
      <c r="F743">
        <v>740</v>
      </c>
      <c r="G743">
        <f ca="1">_xlfn.NORM.INV(RAND(),$M$7,$M$8)</f>
        <v>-2.9731672604332241E-2</v>
      </c>
    </row>
    <row r="744" spans="6:7" x14ac:dyDescent="0.25">
      <c r="F744">
        <v>741</v>
      </c>
      <c r="G744">
        <f ca="1">_xlfn.NORM.INV(RAND(),$M$7,$M$8)</f>
        <v>1.1146886068323744E-2</v>
      </c>
    </row>
    <row r="745" spans="6:7" x14ac:dyDescent="0.25">
      <c r="F745">
        <v>742</v>
      </c>
      <c r="G745">
        <f ca="1">_xlfn.NORM.INV(RAND(),$M$7,$M$8)</f>
        <v>-4.2543715703802519E-2</v>
      </c>
    </row>
    <row r="746" spans="6:7" x14ac:dyDescent="0.25">
      <c r="F746">
        <v>743</v>
      </c>
      <c r="G746">
        <f ca="1">_xlfn.NORM.INV(RAND(),$M$7,$M$8)</f>
        <v>2.498605384845897E-3</v>
      </c>
    </row>
    <row r="747" spans="6:7" x14ac:dyDescent="0.25">
      <c r="F747">
        <v>744</v>
      </c>
      <c r="G747">
        <f ca="1">_xlfn.NORM.INV(RAND(),$M$7,$M$8)</f>
        <v>-2.6209168624585548E-2</v>
      </c>
    </row>
    <row r="748" spans="6:7" x14ac:dyDescent="0.25">
      <c r="F748">
        <v>745</v>
      </c>
      <c r="G748">
        <f ca="1">_xlfn.NORM.INV(RAND(),$M$7,$M$8)</f>
        <v>1.6375663872989579E-2</v>
      </c>
    </row>
    <row r="749" spans="6:7" x14ac:dyDescent="0.25">
      <c r="F749">
        <v>746</v>
      </c>
      <c r="G749">
        <f ca="1">_xlfn.NORM.INV(RAND(),$M$7,$M$8)</f>
        <v>-7.1012209873145465E-2</v>
      </c>
    </row>
    <row r="750" spans="6:7" x14ac:dyDescent="0.25">
      <c r="F750">
        <v>747</v>
      </c>
      <c r="G750">
        <f ca="1">_xlfn.NORM.INV(RAND(),$M$7,$M$8)</f>
        <v>1.3191250990895629E-2</v>
      </c>
    </row>
    <row r="751" spans="6:7" x14ac:dyDescent="0.25">
      <c r="F751">
        <v>748</v>
      </c>
      <c r="G751">
        <f ca="1">_xlfn.NORM.INV(RAND(),$M$7,$M$8)</f>
        <v>1.3667631806859063E-2</v>
      </c>
    </row>
    <row r="752" spans="6:7" x14ac:dyDescent="0.25">
      <c r="F752">
        <v>749</v>
      </c>
      <c r="G752">
        <f ca="1">_xlfn.NORM.INV(RAND(),$M$7,$M$8)</f>
        <v>2.749936794749705E-3</v>
      </c>
    </row>
    <row r="753" spans="6:7" x14ac:dyDescent="0.25">
      <c r="F753">
        <v>750</v>
      </c>
      <c r="G753">
        <f ca="1">_xlfn.NORM.INV(RAND(),$M$7,$M$8)</f>
        <v>-1.9879878299013769E-2</v>
      </c>
    </row>
    <row r="754" spans="6:7" x14ac:dyDescent="0.25">
      <c r="F754">
        <v>751</v>
      </c>
      <c r="G754">
        <f ca="1">_xlfn.NORM.INV(RAND(),$M$7,$M$8)</f>
        <v>8.2164244218330441E-3</v>
      </c>
    </row>
    <row r="755" spans="6:7" x14ac:dyDescent="0.25">
      <c r="F755">
        <v>752</v>
      </c>
      <c r="G755">
        <f ca="1">_xlfn.NORM.INV(RAND(),$M$7,$M$8)</f>
        <v>1.7788502490012462E-2</v>
      </c>
    </row>
    <row r="756" spans="6:7" x14ac:dyDescent="0.25">
      <c r="F756">
        <v>753</v>
      </c>
      <c r="G756">
        <f ca="1">_xlfn.NORM.INV(RAND(),$M$7,$M$8)</f>
        <v>2.0936335511488324E-2</v>
      </c>
    </row>
    <row r="757" spans="6:7" x14ac:dyDescent="0.25">
      <c r="F757">
        <v>754</v>
      </c>
      <c r="G757">
        <f ca="1">_xlfn.NORM.INV(RAND(),$M$7,$M$8)</f>
        <v>4.4934222623424933E-2</v>
      </c>
    </row>
    <row r="758" spans="6:7" x14ac:dyDescent="0.25">
      <c r="F758">
        <v>755</v>
      </c>
      <c r="G758">
        <f ca="1">_xlfn.NORM.INV(RAND(),$M$7,$M$8)</f>
        <v>-5.7541067747046842E-2</v>
      </c>
    </row>
    <row r="759" spans="6:7" x14ac:dyDescent="0.25">
      <c r="F759">
        <v>756</v>
      </c>
      <c r="G759">
        <f ca="1">_xlfn.NORM.INV(RAND(),$M$7,$M$8)</f>
        <v>-5.0809069183812984E-2</v>
      </c>
    </row>
    <row r="760" spans="6:7" x14ac:dyDescent="0.25">
      <c r="F760">
        <v>757</v>
      </c>
      <c r="G760">
        <f ca="1">_xlfn.NORM.INV(RAND(),$M$7,$M$8)</f>
        <v>-2.7497595029816239E-2</v>
      </c>
    </row>
    <row r="761" spans="6:7" x14ac:dyDescent="0.25">
      <c r="F761">
        <v>758</v>
      </c>
      <c r="G761">
        <f ca="1">_xlfn.NORM.INV(RAND(),$M$7,$M$8)</f>
        <v>1.8468399637523912E-2</v>
      </c>
    </row>
    <row r="762" spans="6:7" x14ac:dyDescent="0.25">
      <c r="F762">
        <v>759</v>
      </c>
      <c r="G762">
        <f ca="1">_xlfn.NORM.INV(RAND(),$M$7,$M$8)</f>
        <v>4.9055438183940051E-2</v>
      </c>
    </row>
    <row r="763" spans="6:7" x14ac:dyDescent="0.25">
      <c r="F763">
        <v>760</v>
      </c>
      <c r="G763">
        <f ca="1">_xlfn.NORM.INV(RAND(),$M$7,$M$8)</f>
        <v>-2.0170251046823514E-2</v>
      </c>
    </row>
    <row r="764" spans="6:7" x14ac:dyDescent="0.25">
      <c r="F764">
        <v>761</v>
      </c>
      <c r="G764">
        <f ca="1">_xlfn.NORM.INV(RAND(),$M$7,$M$8)</f>
        <v>3.1977687098333631E-2</v>
      </c>
    </row>
    <row r="765" spans="6:7" x14ac:dyDescent="0.25">
      <c r="F765">
        <v>762</v>
      </c>
      <c r="G765">
        <f ca="1">_xlfn.NORM.INV(RAND(),$M$7,$M$8)</f>
        <v>5.8780776950661615E-3</v>
      </c>
    </row>
    <row r="766" spans="6:7" x14ac:dyDescent="0.25">
      <c r="F766">
        <v>763</v>
      </c>
      <c r="G766">
        <f ca="1">_xlfn.NORM.INV(RAND(),$M$7,$M$8)</f>
        <v>1.113338061152986E-2</v>
      </c>
    </row>
    <row r="767" spans="6:7" x14ac:dyDescent="0.25">
      <c r="F767">
        <v>764</v>
      </c>
      <c r="G767">
        <f ca="1">_xlfn.NORM.INV(RAND(),$M$7,$M$8)</f>
        <v>7.0368032532684741E-2</v>
      </c>
    </row>
    <row r="768" spans="6:7" x14ac:dyDescent="0.25">
      <c r="F768">
        <v>765</v>
      </c>
      <c r="G768">
        <f ca="1">_xlfn.NORM.INV(RAND(),$M$7,$M$8)</f>
        <v>3.0565232060509914E-2</v>
      </c>
    </row>
    <row r="769" spans="6:7" x14ac:dyDescent="0.25">
      <c r="F769">
        <v>766</v>
      </c>
      <c r="G769">
        <f ca="1">_xlfn.NORM.INV(RAND(),$M$7,$M$8)</f>
        <v>-9.4383446207513336E-3</v>
      </c>
    </row>
    <row r="770" spans="6:7" x14ac:dyDescent="0.25">
      <c r="F770">
        <v>767</v>
      </c>
      <c r="G770">
        <f ca="1">_xlfn.NORM.INV(RAND(),$M$7,$M$8)</f>
        <v>1.1226154370790062E-2</v>
      </c>
    </row>
    <row r="771" spans="6:7" x14ac:dyDescent="0.25">
      <c r="F771">
        <v>768</v>
      </c>
      <c r="G771">
        <f ca="1">_xlfn.NORM.INV(RAND(),$M$7,$M$8)</f>
        <v>1.8456556974351182E-2</v>
      </c>
    </row>
    <row r="772" spans="6:7" x14ac:dyDescent="0.25">
      <c r="F772">
        <v>769</v>
      </c>
      <c r="G772">
        <f ca="1">_xlfn.NORM.INV(RAND(),$M$7,$M$8)</f>
        <v>2.4713630026033884E-2</v>
      </c>
    </row>
    <row r="773" spans="6:7" x14ac:dyDescent="0.25">
      <c r="F773">
        <v>770</v>
      </c>
      <c r="G773">
        <f ca="1">_xlfn.NORM.INV(RAND(),$M$7,$M$8)</f>
        <v>1.8997329693112849E-2</v>
      </c>
    </row>
    <row r="774" spans="6:7" x14ac:dyDescent="0.25">
      <c r="F774">
        <v>771</v>
      </c>
      <c r="G774">
        <f ca="1">_xlfn.NORM.INV(RAND(),$M$7,$M$8)</f>
        <v>2.3778894106396595E-2</v>
      </c>
    </row>
    <row r="775" spans="6:7" x14ac:dyDescent="0.25">
      <c r="F775">
        <v>772</v>
      </c>
      <c r="G775">
        <f ca="1">_xlfn.NORM.INV(RAND(),$M$7,$M$8)</f>
        <v>3.7207457131333048E-2</v>
      </c>
    </row>
    <row r="776" spans="6:7" x14ac:dyDescent="0.25">
      <c r="F776">
        <v>773</v>
      </c>
      <c r="G776">
        <f ca="1">_xlfn.NORM.INV(RAND(),$M$7,$M$8)</f>
        <v>-2.3555300001889264E-2</v>
      </c>
    </row>
    <row r="777" spans="6:7" x14ac:dyDescent="0.25">
      <c r="F777">
        <v>774</v>
      </c>
      <c r="G777">
        <f ca="1">_xlfn.NORM.INV(RAND(),$M$7,$M$8)</f>
        <v>-6.827095019768312E-3</v>
      </c>
    </row>
    <row r="778" spans="6:7" x14ac:dyDescent="0.25">
      <c r="F778">
        <v>775</v>
      </c>
      <c r="G778">
        <f ca="1">_xlfn.NORM.INV(RAND(),$M$7,$M$8)</f>
        <v>1.2146661314362027E-2</v>
      </c>
    </row>
    <row r="779" spans="6:7" x14ac:dyDescent="0.25">
      <c r="F779">
        <v>776</v>
      </c>
      <c r="G779">
        <f ca="1">_xlfn.NORM.INV(RAND(),$M$7,$M$8)</f>
        <v>4.6448776167289624E-2</v>
      </c>
    </row>
    <row r="780" spans="6:7" x14ac:dyDescent="0.25">
      <c r="F780">
        <v>777</v>
      </c>
      <c r="G780">
        <f ca="1">_xlfn.NORM.INV(RAND(),$M$7,$M$8)</f>
        <v>-3.8571812895467406E-2</v>
      </c>
    </row>
    <row r="781" spans="6:7" x14ac:dyDescent="0.25">
      <c r="F781">
        <v>778</v>
      </c>
      <c r="G781">
        <f ca="1">_xlfn.NORM.INV(RAND(),$M$7,$M$8)</f>
        <v>1.0013141176716917E-2</v>
      </c>
    </row>
    <row r="782" spans="6:7" x14ac:dyDescent="0.25">
      <c r="F782">
        <v>779</v>
      </c>
      <c r="G782">
        <f ca="1">_xlfn.NORM.INV(RAND(),$M$7,$M$8)</f>
        <v>2.3110567562210471E-2</v>
      </c>
    </row>
    <row r="783" spans="6:7" x14ac:dyDescent="0.25">
      <c r="F783">
        <v>780</v>
      </c>
      <c r="G783">
        <f ca="1">_xlfn.NORM.INV(RAND(),$M$7,$M$8)</f>
        <v>5.8877795081741978E-2</v>
      </c>
    </row>
    <row r="784" spans="6:7" x14ac:dyDescent="0.25">
      <c r="F784">
        <v>781</v>
      </c>
      <c r="G784">
        <f ca="1">_xlfn.NORM.INV(RAND(),$M$7,$M$8)</f>
        <v>2.8907355608929874E-2</v>
      </c>
    </row>
    <row r="785" spans="6:7" x14ac:dyDescent="0.25">
      <c r="F785">
        <v>782</v>
      </c>
      <c r="G785">
        <f ca="1">_xlfn.NORM.INV(RAND(),$M$7,$M$8)</f>
        <v>-1.013272683424456E-2</v>
      </c>
    </row>
    <row r="786" spans="6:7" x14ac:dyDescent="0.25">
      <c r="F786">
        <v>783</v>
      </c>
      <c r="G786">
        <f ca="1">_xlfn.NORM.INV(RAND(),$M$7,$M$8)</f>
        <v>-1.6002798225375939E-2</v>
      </c>
    </row>
    <row r="787" spans="6:7" x14ac:dyDescent="0.25">
      <c r="F787">
        <v>784</v>
      </c>
      <c r="G787">
        <f ca="1">_xlfn.NORM.INV(RAND(),$M$7,$M$8)</f>
        <v>-1.9125582806763804E-2</v>
      </c>
    </row>
    <row r="788" spans="6:7" x14ac:dyDescent="0.25">
      <c r="F788">
        <v>785</v>
      </c>
      <c r="G788">
        <f ca="1">_xlfn.NORM.INV(RAND(),$M$7,$M$8)</f>
        <v>-2.4084114892319253E-2</v>
      </c>
    </row>
    <row r="789" spans="6:7" x14ac:dyDescent="0.25">
      <c r="F789">
        <v>786</v>
      </c>
      <c r="G789">
        <f ca="1">_xlfn.NORM.INV(RAND(),$M$7,$M$8)</f>
        <v>-3.2399638965062531E-2</v>
      </c>
    </row>
    <row r="790" spans="6:7" x14ac:dyDescent="0.25">
      <c r="F790">
        <v>787</v>
      </c>
      <c r="G790">
        <f ca="1">_xlfn.NORM.INV(RAND(),$M$7,$M$8)</f>
        <v>8.3082093695926989E-3</v>
      </c>
    </row>
    <row r="791" spans="6:7" x14ac:dyDescent="0.25">
      <c r="F791">
        <v>788</v>
      </c>
      <c r="G791">
        <f ca="1">_xlfn.NORM.INV(RAND(),$M$7,$M$8)</f>
        <v>-2.2233654628078758E-2</v>
      </c>
    </row>
    <row r="792" spans="6:7" x14ac:dyDescent="0.25">
      <c r="F792">
        <v>789</v>
      </c>
      <c r="G792">
        <f ca="1">_xlfn.NORM.INV(RAND(),$M$7,$M$8)</f>
        <v>1.3230095225049169E-2</v>
      </c>
    </row>
    <row r="793" spans="6:7" x14ac:dyDescent="0.25">
      <c r="F793">
        <v>790</v>
      </c>
      <c r="G793">
        <f ca="1">_xlfn.NORM.INV(RAND(),$M$7,$M$8)</f>
        <v>6.4890211844131421E-3</v>
      </c>
    </row>
    <row r="794" spans="6:7" x14ac:dyDescent="0.25">
      <c r="F794">
        <v>791</v>
      </c>
      <c r="G794">
        <f ca="1">_xlfn.NORM.INV(RAND(),$M$7,$M$8)</f>
        <v>2.2636980223000185E-2</v>
      </c>
    </row>
    <row r="795" spans="6:7" x14ac:dyDescent="0.25">
      <c r="F795">
        <v>792</v>
      </c>
      <c r="G795">
        <f ca="1">_xlfn.NORM.INV(RAND(),$M$7,$M$8)</f>
        <v>-1.6407951113638738E-2</v>
      </c>
    </row>
    <row r="796" spans="6:7" x14ac:dyDescent="0.25">
      <c r="F796">
        <v>793</v>
      </c>
      <c r="G796">
        <f ca="1">_xlfn.NORM.INV(RAND(),$M$7,$M$8)</f>
        <v>-1.2576763507306278E-2</v>
      </c>
    </row>
    <row r="797" spans="6:7" x14ac:dyDescent="0.25">
      <c r="F797">
        <v>794</v>
      </c>
      <c r="G797">
        <f ca="1">_xlfn.NORM.INV(RAND(),$M$7,$M$8)</f>
        <v>1.5338123902080119E-2</v>
      </c>
    </row>
    <row r="798" spans="6:7" x14ac:dyDescent="0.25">
      <c r="F798">
        <v>795</v>
      </c>
      <c r="G798">
        <f ca="1">_xlfn.NORM.INV(RAND(),$M$7,$M$8)</f>
        <v>2.7564466509324211E-2</v>
      </c>
    </row>
    <row r="799" spans="6:7" x14ac:dyDescent="0.25">
      <c r="F799">
        <v>796</v>
      </c>
      <c r="G799">
        <f ca="1">_xlfn.NORM.INV(RAND(),$M$7,$M$8)</f>
        <v>1.2089075422996524E-2</v>
      </c>
    </row>
    <row r="800" spans="6:7" x14ac:dyDescent="0.25">
      <c r="F800">
        <v>797</v>
      </c>
      <c r="G800">
        <f ca="1">_xlfn.NORM.INV(RAND(),$M$7,$M$8)</f>
        <v>-1.1545619877237951E-2</v>
      </c>
    </row>
    <row r="801" spans="6:7" x14ac:dyDescent="0.25">
      <c r="F801">
        <v>798</v>
      </c>
      <c r="G801">
        <f ca="1">_xlfn.NORM.INV(RAND(),$M$7,$M$8)</f>
        <v>1.6319947953424889E-2</v>
      </c>
    </row>
    <row r="802" spans="6:7" x14ac:dyDescent="0.25">
      <c r="F802">
        <v>799</v>
      </c>
      <c r="G802">
        <f ca="1">_xlfn.NORM.INV(RAND(),$M$7,$M$8)</f>
        <v>2.4182770927774939E-3</v>
      </c>
    </row>
    <row r="803" spans="6:7" x14ac:dyDescent="0.25">
      <c r="F803">
        <v>800</v>
      </c>
      <c r="G803">
        <f ca="1">_xlfn.NORM.INV(RAND(),$M$7,$M$8)</f>
        <v>-1.1217386360229922E-2</v>
      </c>
    </row>
    <row r="804" spans="6:7" x14ac:dyDescent="0.25">
      <c r="F804">
        <v>801</v>
      </c>
      <c r="G804">
        <f ca="1">_xlfn.NORM.INV(RAND(),$M$7,$M$8)</f>
        <v>2.6064240326389539E-2</v>
      </c>
    </row>
    <row r="805" spans="6:7" x14ac:dyDescent="0.25">
      <c r="F805">
        <v>802</v>
      </c>
      <c r="G805">
        <f ca="1">_xlfn.NORM.INV(RAND(),$M$7,$M$8)</f>
        <v>-1.9809138051202577E-2</v>
      </c>
    </row>
    <row r="806" spans="6:7" x14ac:dyDescent="0.25">
      <c r="F806">
        <v>803</v>
      </c>
      <c r="G806">
        <f ca="1">_xlfn.NORM.INV(RAND(),$M$7,$M$8)</f>
        <v>-2.0318845774802721E-2</v>
      </c>
    </row>
    <row r="807" spans="6:7" x14ac:dyDescent="0.25">
      <c r="F807">
        <v>804</v>
      </c>
      <c r="G807">
        <f ca="1">_xlfn.NORM.INV(RAND(),$M$7,$M$8)</f>
        <v>-1.7755167617507981E-2</v>
      </c>
    </row>
    <row r="808" spans="6:7" x14ac:dyDescent="0.25">
      <c r="F808">
        <v>805</v>
      </c>
      <c r="G808">
        <f ca="1">_xlfn.NORM.INV(RAND(),$M$7,$M$8)</f>
        <v>-5.8206486979889057E-3</v>
      </c>
    </row>
    <row r="809" spans="6:7" x14ac:dyDescent="0.25">
      <c r="F809">
        <v>806</v>
      </c>
      <c r="G809">
        <f ca="1">_xlfn.NORM.INV(RAND(),$M$7,$M$8)</f>
        <v>-2.4106435567569577E-2</v>
      </c>
    </row>
    <row r="810" spans="6:7" x14ac:dyDescent="0.25">
      <c r="F810">
        <v>807</v>
      </c>
      <c r="G810">
        <f ca="1">_xlfn.NORM.INV(RAND(),$M$7,$M$8)</f>
        <v>9.8068793938619059E-3</v>
      </c>
    </row>
    <row r="811" spans="6:7" x14ac:dyDescent="0.25">
      <c r="F811">
        <v>808</v>
      </c>
      <c r="G811">
        <f ca="1">_xlfn.NORM.INV(RAND(),$M$7,$M$8)</f>
        <v>5.6319064800804917E-2</v>
      </c>
    </row>
    <row r="812" spans="6:7" x14ac:dyDescent="0.25">
      <c r="F812">
        <v>809</v>
      </c>
      <c r="G812">
        <f ca="1">_xlfn.NORM.INV(RAND(),$M$7,$M$8)</f>
        <v>4.1168945200670617E-2</v>
      </c>
    </row>
    <row r="813" spans="6:7" x14ac:dyDescent="0.25">
      <c r="F813">
        <v>810</v>
      </c>
      <c r="G813">
        <f ca="1">_xlfn.NORM.INV(RAND(),$M$7,$M$8)</f>
        <v>2.1441931725043797E-2</v>
      </c>
    </row>
    <row r="814" spans="6:7" x14ac:dyDescent="0.25">
      <c r="F814">
        <v>811</v>
      </c>
      <c r="G814">
        <f ca="1">_xlfn.NORM.INV(RAND(),$M$7,$M$8)</f>
        <v>1.2496335517299595E-2</v>
      </c>
    </row>
    <row r="815" spans="6:7" x14ac:dyDescent="0.25">
      <c r="F815">
        <v>812</v>
      </c>
      <c r="G815">
        <f ca="1">_xlfn.NORM.INV(RAND(),$M$7,$M$8)</f>
        <v>-3.8221379412908402E-2</v>
      </c>
    </row>
    <row r="816" spans="6:7" x14ac:dyDescent="0.25">
      <c r="F816">
        <v>813</v>
      </c>
      <c r="G816">
        <f ca="1">_xlfn.NORM.INV(RAND(),$M$7,$M$8)</f>
        <v>-1.5646708370180718E-2</v>
      </c>
    </row>
    <row r="817" spans="6:7" x14ac:dyDescent="0.25">
      <c r="F817">
        <v>814</v>
      </c>
      <c r="G817">
        <f ca="1">_xlfn.NORM.INV(RAND(),$M$7,$M$8)</f>
        <v>-3.921781101304183E-2</v>
      </c>
    </row>
    <row r="818" spans="6:7" x14ac:dyDescent="0.25">
      <c r="F818">
        <v>815</v>
      </c>
      <c r="G818">
        <f ca="1">_xlfn.NORM.INV(RAND(),$M$7,$M$8)</f>
        <v>1.0529615764183927E-3</v>
      </c>
    </row>
    <row r="819" spans="6:7" x14ac:dyDescent="0.25">
      <c r="F819">
        <v>816</v>
      </c>
      <c r="G819">
        <f ca="1">_xlfn.NORM.INV(RAND(),$M$7,$M$8)</f>
        <v>1.0638250431571373E-2</v>
      </c>
    </row>
    <row r="820" spans="6:7" x14ac:dyDescent="0.25">
      <c r="F820">
        <v>817</v>
      </c>
      <c r="G820">
        <f ca="1">_xlfn.NORM.INV(RAND(),$M$7,$M$8)</f>
        <v>-2.8772212884860825E-2</v>
      </c>
    </row>
    <row r="821" spans="6:7" x14ac:dyDescent="0.25">
      <c r="F821">
        <v>818</v>
      </c>
      <c r="G821">
        <f ca="1">_xlfn.NORM.INV(RAND(),$M$7,$M$8)</f>
        <v>-1.6720529569335306E-2</v>
      </c>
    </row>
    <row r="822" spans="6:7" x14ac:dyDescent="0.25">
      <c r="F822">
        <v>819</v>
      </c>
      <c r="G822">
        <f ca="1">_xlfn.NORM.INV(RAND(),$M$7,$M$8)</f>
        <v>-1.8739553371230042E-2</v>
      </c>
    </row>
    <row r="823" spans="6:7" x14ac:dyDescent="0.25">
      <c r="F823">
        <v>820</v>
      </c>
      <c r="G823">
        <f ca="1">_xlfn.NORM.INV(RAND(),$M$7,$M$8)</f>
        <v>-1.4551625065580585E-2</v>
      </c>
    </row>
    <row r="824" spans="6:7" x14ac:dyDescent="0.25">
      <c r="F824">
        <v>821</v>
      </c>
      <c r="G824">
        <f ca="1">_xlfn.NORM.INV(RAND(),$M$7,$M$8)</f>
        <v>1.9803465886430935E-3</v>
      </c>
    </row>
    <row r="825" spans="6:7" x14ac:dyDescent="0.25">
      <c r="F825">
        <v>822</v>
      </c>
      <c r="G825">
        <f ca="1">_xlfn.NORM.INV(RAND(),$M$7,$M$8)</f>
        <v>8.8268972257261862E-3</v>
      </c>
    </row>
    <row r="826" spans="6:7" x14ac:dyDescent="0.25">
      <c r="F826">
        <v>823</v>
      </c>
      <c r="G826">
        <f ca="1">_xlfn.NORM.INV(RAND(),$M$7,$M$8)</f>
        <v>6.8169538066344495E-4</v>
      </c>
    </row>
    <row r="827" spans="6:7" x14ac:dyDescent="0.25">
      <c r="F827">
        <v>824</v>
      </c>
      <c r="G827">
        <f ca="1">_xlfn.NORM.INV(RAND(),$M$7,$M$8)</f>
        <v>6.1023217561351675E-3</v>
      </c>
    </row>
    <row r="828" spans="6:7" x14ac:dyDescent="0.25">
      <c r="F828">
        <v>825</v>
      </c>
      <c r="G828">
        <f ca="1">_xlfn.NORM.INV(RAND(),$M$7,$M$8)</f>
        <v>-2.5340330231142079E-2</v>
      </c>
    </row>
    <row r="829" spans="6:7" x14ac:dyDescent="0.25">
      <c r="F829">
        <v>826</v>
      </c>
      <c r="G829">
        <f ca="1">_xlfn.NORM.INV(RAND(),$M$7,$M$8)</f>
        <v>-1.2738952518619976E-3</v>
      </c>
    </row>
    <row r="830" spans="6:7" x14ac:dyDescent="0.25">
      <c r="F830">
        <v>827</v>
      </c>
      <c r="G830">
        <f ca="1">_xlfn.NORM.INV(RAND(),$M$7,$M$8)</f>
        <v>1.8993059247920704E-2</v>
      </c>
    </row>
    <row r="831" spans="6:7" x14ac:dyDescent="0.25">
      <c r="F831">
        <v>828</v>
      </c>
      <c r="G831">
        <f ca="1">_xlfn.NORM.INV(RAND(),$M$7,$M$8)</f>
        <v>3.6325192890419356E-2</v>
      </c>
    </row>
    <row r="832" spans="6:7" x14ac:dyDescent="0.25">
      <c r="F832">
        <v>829</v>
      </c>
      <c r="G832">
        <f ca="1">_xlfn.NORM.INV(RAND(),$M$7,$M$8)</f>
        <v>3.5526856113601603E-2</v>
      </c>
    </row>
    <row r="833" spans="6:7" x14ac:dyDescent="0.25">
      <c r="F833">
        <v>830</v>
      </c>
      <c r="G833">
        <f ca="1">_xlfn.NORM.INV(RAND(),$M$7,$M$8)</f>
        <v>-1.7527576124390602E-2</v>
      </c>
    </row>
    <row r="834" spans="6:7" x14ac:dyDescent="0.25">
      <c r="F834">
        <v>831</v>
      </c>
      <c r="G834">
        <f ca="1">_xlfn.NORM.INV(RAND(),$M$7,$M$8)</f>
        <v>9.1367346750015257E-3</v>
      </c>
    </row>
    <row r="835" spans="6:7" x14ac:dyDescent="0.25">
      <c r="F835">
        <v>832</v>
      </c>
      <c r="G835">
        <f ca="1">_xlfn.NORM.INV(RAND(),$M$7,$M$8)</f>
        <v>-2.1747174177408103E-2</v>
      </c>
    </row>
    <row r="836" spans="6:7" x14ac:dyDescent="0.25">
      <c r="F836">
        <v>833</v>
      </c>
      <c r="G836">
        <f ca="1">_xlfn.NORM.INV(RAND(),$M$7,$M$8)</f>
        <v>2.839237323987697E-3</v>
      </c>
    </row>
    <row r="837" spans="6:7" x14ac:dyDescent="0.25">
      <c r="F837">
        <v>834</v>
      </c>
      <c r="G837">
        <f ca="1">_xlfn.NORM.INV(RAND(),$M$7,$M$8)</f>
        <v>3.706685872260241E-2</v>
      </c>
    </row>
    <row r="838" spans="6:7" x14ac:dyDescent="0.25">
      <c r="F838">
        <v>835</v>
      </c>
      <c r="G838">
        <f ca="1">_xlfn.NORM.INV(RAND(),$M$7,$M$8)</f>
        <v>-2.6815007506359768E-2</v>
      </c>
    </row>
    <row r="839" spans="6:7" x14ac:dyDescent="0.25">
      <c r="F839">
        <v>836</v>
      </c>
      <c r="G839">
        <f ca="1">_xlfn.NORM.INV(RAND(),$M$7,$M$8)</f>
        <v>4.4635443181392204E-2</v>
      </c>
    </row>
    <row r="840" spans="6:7" x14ac:dyDescent="0.25">
      <c r="F840">
        <v>837</v>
      </c>
      <c r="G840">
        <f ca="1">_xlfn.NORM.INV(RAND(),$M$7,$M$8)</f>
        <v>1.8783032741917571E-2</v>
      </c>
    </row>
    <row r="841" spans="6:7" x14ac:dyDescent="0.25">
      <c r="F841">
        <v>838</v>
      </c>
      <c r="G841">
        <f ca="1">_xlfn.NORM.INV(RAND(),$M$7,$M$8)</f>
        <v>3.5456580444952037E-3</v>
      </c>
    </row>
    <row r="842" spans="6:7" x14ac:dyDescent="0.25">
      <c r="F842">
        <v>839</v>
      </c>
      <c r="G842">
        <f ca="1">_xlfn.NORM.INV(RAND(),$M$7,$M$8)</f>
        <v>2.6389586650375021E-2</v>
      </c>
    </row>
    <row r="843" spans="6:7" x14ac:dyDescent="0.25">
      <c r="F843">
        <v>840</v>
      </c>
      <c r="G843">
        <f ca="1">_xlfn.NORM.INV(RAND(),$M$7,$M$8)</f>
        <v>2.1996414497734703E-2</v>
      </c>
    </row>
    <row r="844" spans="6:7" x14ac:dyDescent="0.25">
      <c r="F844">
        <v>841</v>
      </c>
      <c r="G844">
        <f ca="1">_xlfn.NORM.INV(RAND(),$M$7,$M$8)</f>
        <v>-7.8905360532785379E-3</v>
      </c>
    </row>
    <row r="845" spans="6:7" x14ac:dyDescent="0.25">
      <c r="F845">
        <v>842</v>
      </c>
      <c r="G845">
        <f ca="1">_xlfn.NORM.INV(RAND(),$M$7,$M$8)</f>
        <v>-6.2685590309373325E-3</v>
      </c>
    </row>
    <row r="846" spans="6:7" x14ac:dyDescent="0.25">
      <c r="F846">
        <v>843</v>
      </c>
      <c r="G846">
        <f ca="1">_xlfn.NORM.INV(RAND(),$M$7,$M$8)</f>
        <v>-2.6098259765311416E-3</v>
      </c>
    </row>
    <row r="847" spans="6:7" x14ac:dyDescent="0.25">
      <c r="F847">
        <v>844</v>
      </c>
      <c r="G847">
        <f ca="1">_xlfn.NORM.INV(RAND(),$M$7,$M$8)</f>
        <v>3.9175928832419653E-2</v>
      </c>
    </row>
    <row r="848" spans="6:7" x14ac:dyDescent="0.25">
      <c r="F848">
        <v>845</v>
      </c>
      <c r="G848">
        <f ca="1">_xlfn.NORM.INV(RAND(),$M$7,$M$8)</f>
        <v>-1.5187297690247584E-2</v>
      </c>
    </row>
    <row r="849" spans="6:7" x14ac:dyDescent="0.25">
      <c r="F849">
        <v>846</v>
      </c>
      <c r="G849">
        <f ca="1">_xlfn.NORM.INV(RAND(),$M$7,$M$8)</f>
        <v>4.9691749511181806E-3</v>
      </c>
    </row>
    <row r="850" spans="6:7" x14ac:dyDescent="0.25">
      <c r="F850">
        <v>847</v>
      </c>
      <c r="G850">
        <f ca="1">_xlfn.NORM.INV(RAND(),$M$7,$M$8)</f>
        <v>1.0023630108805479E-2</v>
      </c>
    </row>
    <row r="851" spans="6:7" x14ac:dyDescent="0.25">
      <c r="F851">
        <v>848</v>
      </c>
      <c r="G851">
        <f ca="1">_xlfn.NORM.INV(RAND(),$M$7,$M$8)</f>
        <v>1.4543475642171599E-3</v>
      </c>
    </row>
    <row r="852" spans="6:7" x14ac:dyDescent="0.25">
      <c r="F852">
        <v>849</v>
      </c>
      <c r="G852">
        <f ca="1">_xlfn.NORM.INV(RAND(),$M$7,$M$8)</f>
        <v>-3.18311978845916E-2</v>
      </c>
    </row>
    <row r="853" spans="6:7" x14ac:dyDescent="0.25">
      <c r="F853">
        <v>850</v>
      </c>
      <c r="G853">
        <f ca="1">_xlfn.NORM.INV(RAND(),$M$7,$M$8)</f>
        <v>2.8311182620755347E-2</v>
      </c>
    </row>
    <row r="854" spans="6:7" x14ac:dyDescent="0.25">
      <c r="F854">
        <v>851</v>
      </c>
      <c r="G854">
        <f ca="1">_xlfn.NORM.INV(RAND(),$M$7,$M$8)</f>
        <v>-2.1698079415639063E-2</v>
      </c>
    </row>
    <row r="855" spans="6:7" x14ac:dyDescent="0.25">
      <c r="F855">
        <v>852</v>
      </c>
      <c r="G855">
        <f ca="1">_xlfn.NORM.INV(RAND(),$M$7,$M$8)</f>
        <v>-3.2713821431470995E-2</v>
      </c>
    </row>
    <row r="856" spans="6:7" x14ac:dyDescent="0.25">
      <c r="F856">
        <v>853</v>
      </c>
      <c r="G856">
        <f ca="1">_xlfn.NORM.INV(RAND(),$M$7,$M$8)</f>
        <v>3.6682265050669099E-3</v>
      </c>
    </row>
    <row r="857" spans="6:7" x14ac:dyDescent="0.25">
      <c r="F857">
        <v>854</v>
      </c>
      <c r="G857">
        <f ca="1">_xlfn.NORM.INV(RAND(),$M$7,$M$8)</f>
        <v>-1.5363193555297833E-2</v>
      </c>
    </row>
    <row r="858" spans="6:7" x14ac:dyDescent="0.25">
      <c r="F858">
        <v>855</v>
      </c>
      <c r="G858">
        <f ca="1">_xlfn.NORM.INV(RAND(),$M$7,$M$8)</f>
        <v>3.3011734461473249E-2</v>
      </c>
    </row>
    <row r="859" spans="6:7" x14ac:dyDescent="0.25">
      <c r="F859">
        <v>856</v>
      </c>
      <c r="G859">
        <f ca="1">_xlfn.NORM.INV(RAND(),$M$7,$M$8)</f>
        <v>1.9885114670932569E-2</v>
      </c>
    </row>
    <row r="860" spans="6:7" x14ac:dyDescent="0.25">
      <c r="F860">
        <v>857</v>
      </c>
      <c r="G860">
        <f ca="1">_xlfn.NORM.INV(RAND(),$M$7,$M$8)</f>
        <v>-5.7112002080296556E-2</v>
      </c>
    </row>
    <row r="861" spans="6:7" x14ac:dyDescent="0.25">
      <c r="F861">
        <v>858</v>
      </c>
      <c r="G861">
        <f ca="1">_xlfn.NORM.INV(RAND(),$M$7,$M$8)</f>
        <v>1.5844602496384981E-2</v>
      </c>
    </row>
    <row r="862" spans="6:7" x14ac:dyDescent="0.25">
      <c r="F862">
        <v>859</v>
      </c>
      <c r="G862">
        <f ca="1">_xlfn.NORM.INV(RAND(),$M$7,$M$8)</f>
        <v>3.6239940601119772E-3</v>
      </c>
    </row>
    <row r="863" spans="6:7" x14ac:dyDescent="0.25">
      <c r="F863">
        <v>860</v>
      </c>
      <c r="G863">
        <f ca="1">_xlfn.NORM.INV(RAND(),$M$7,$M$8)</f>
        <v>-2.827676765257991E-4</v>
      </c>
    </row>
    <row r="864" spans="6:7" x14ac:dyDescent="0.25">
      <c r="F864">
        <v>861</v>
      </c>
      <c r="G864">
        <f ca="1">_xlfn.NORM.INV(RAND(),$M$7,$M$8)</f>
        <v>1.7636544185715849E-3</v>
      </c>
    </row>
    <row r="865" spans="6:7" x14ac:dyDescent="0.25">
      <c r="F865">
        <v>862</v>
      </c>
      <c r="G865">
        <f ca="1">_xlfn.NORM.INV(RAND(),$M$7,$M$8)</f>
        <v>3.6976647876563939E-3</v>
      </c>
    </row>
    <row r="866" spans="6:7" x14ac:dyDescent="0.25">
      <c r="F866">
        <v>863</v>
      </c>
      <c r="G866">
        <f ca="1">_xlfn.NORM.INV(RAND(),$M$7,$M$8)</f>
        <v>3.8656441986220738E-3</v>
      </c>
    </row>
    <row r="867" spans="6:7" x14ac:dyDescent="0.25">
      <c r="F867">
        <v>864</v>
      </c>
      <c r="G867">
        <f ca="1">_xlfn.NORM.INV(RAND(),$M$7,$M$8)</f>
        <v>-3.1015495205342417E-2</v>
      </c>
    </row>
    <row r="868" spans="6:7" x14ac:dyDescent="0.25">
      <c r="F868">
        <v>865</v>
      </c>
      <c r="G868">
        <f ca="1">_xlfn.NORM.INV(RAND(),$M$7,$M$8)</f>
        <v>2.4542508241299473E-3</v>
      </c>
    </row>
    <row r="869" spans="6:7" x14ac:dyDescent="0.25">
      <c r="F869">
        <v>866</v>
      </c>
      <c r="G869">
        <f ca="1">_xlfn.NORM.INV(RAND(),$M$7,$M$8)</f>
        <v>1.0869592738574501E-2</v>
      </c>
    </row>
    <row r="870" spans="6:7" x14ac:dyDescent="0.25">
      <c r="F870">
        <v>867</v>
      </c>
      <c r="G870">
        <f ca="1">_xlfn.NORM.INV(RAND(),$M$7,$M$8)</f>
        <v>-1.4583359953650352E-2</v>
      </c>
    </row>
    <row r="871" spans="6:7" x14ac:dyDescent="0.25">
      <c r="F871">
        <v>868</v>
      </c>
      <c r="G871">
        <f ca="1">_xlfn.NORM.INV(RAND(),$M$7,$M$8)</f>
        <v>2.352553088627414E-2</v>
      </c>
    </row>
    <row r="872" spans="6:7" x14ac:dyDescent="0.25">
      <c r="F872">
        <v>869</v>
      </c>
      <c r="G872">
        <f ca="1">_xlfn.NORM.INV(RAND(),$M$7,$M$8)</f>
        <v>-7.834753346313355E-4</v>
      </c>
    </row>
    <row r="873" spans="6:7" x14ac:dyDescent="0.25">
      <c r="F873">
        <v>870</v>
      </c>
      <c r="G873">
        <f ca="1">_xlfn.NORM.INV(RAND(),$M$7,$M$8)</f>
        <v>1.5709740210385403E-2</v>
      </c>
    </row>
    <row r="874" spans="6:7" x14ac:dyDescent="0.25">
      <c r="F874">
        <v>871</v>
      </c>
      <c r="G874">
        <f ca="1">_xlfn.NORM.INV(RAND(),$M$7,$M$8)</f>
        <v>-1.7936327098612623E-2</v>
      </c>
    </row>
    <row r="875" spans="6:7" x14ac:dyDescent="0.25">
      <c r="F875">
        <v>872</v>
      </c>
      <c r="G875">
        <f ca="1">_xlfn.NORM.INV(RAND(),$M$7,$M$8)</f>
        <v>8.8406357180433118E-3</v>
      </c>
    </row>
    <row r="876" spans="6:7" x14ac:dyDescent="0.25">
      <c r="F876">
        <v>873</v>
      </c>
      <c r="G876">
        <f ca="1">_xlfn.NORM.INV(RAND(),$M$7,$M$8)</f>
        <v>2.3789412151611899E-2</v>
      </c>
    </row>
    <row r="877" spans="6:7" x14ac:dyDescent="0.25">
      <c r="F877">
        <v>874</v>
      </c>
      <c r="G877">
        <f ca="1">_xlfn.NORM.INV(RAND(),$M$7,$M$8)</f>
        <v>1.2727376433400351E-2</v>
      </c>
    </row>
    <row r="878" spans="6:7" x14ac:dyDescent="0.25">
      <c r="F878">
        <v>875</v>
      </c>
      <c r="G878">
        <f ca="1">_xlfn.NORM.INV(RAND(),$M$7,$M$8)</f>
        <v>1.8113918980476339E-2</v>
      </c>
    </row>
    <row r="879" spans="6:7" x14ac:dyDescent="0.25">
      <c r="F879">
        <v>876</v>
      </c>
      <c r="G879">
        <f ca="1">_xlfn.NORM.INV(RAND(),$M$7,$M$8)</f>
        <v>-7.8796106643554964E-3</v>
      </c>
    </row>
    <row r="880" spans="6:7" x14ac:dyDescent="0.25">
      <c r="F880">
        <v>877</v>
      </c>
      <c r="G880">
        <f ca="1">_xlfn.NORM.INV(RAND(),$M$7,$M$8)</f>
        <v>1.5954727190402883E-2</v>
      </c>
    </row>
    <row r="881" spans="6:7" x14ac:dyDescent="0.25">
      <c r="F881">
        <v>878</v>
      </c>
      <c r="G881">
        <f ca="1">_xlfn.NORM.INV(RAND(),$M$7,$M$8)</f>
        <v>1.2780623536937928E-2</v>
      </c>
    </row>
    <row r="882" spans="6:7" x14ac:dyDescent="0.25">
      <c r="F882">
        <v>879</v>
      </c>
      <c r="G882">
        <f ca="1">_xlfn.NORM.INV(RAND(),$M$7,$M$8)</f>
        <v>-4.2577034103073563E-2</v>
      </c>
    </row>
    <row r="883" spans="6:7" x14ac:dyDescent="0.25">
      <c r="F883">
        <v>880</v>
      </c>
      <c r="G883">
        <f ca="1">_xlfn.NORM.INV(RAND(),$M$7,$M$8)</f>
        <v>-1.8609004877550551E-2</v>
      </c>
    </row>
    <row r="884" spans="6:7" x14ac:dyDescent="0.25">
      <c r="F884">
        <v>881</v>
      </c>
      <c r="G884">
        <f ca="1">_xlfn.NORM.INV(RAND(),$M$7,$M$8)</f>
        <v>-8.2134503268423628E-3</v>
      </c>
    </row>
    <row r="885" spans="6:7" x14ac:dyDescent="0.25">
      <c r="F885">
        <v>882</v>
      </c>
      <c r="G885">
        <f ca="1">_xlfn.NORM.INV(RAND(),$M$7,$M$8)</f>
        <v>2.2607990484988485E-2</v>
      </c>
    </row>
    <row r="886" spans="6:7" x14ac:dyDescent="0.25">
      <c r="F886">
        <v>883</v>
      </c>
      <c r="G886">
        <f ca="1">_xlfn.NORM.INV(RAND(),$M$7,$M$8)</f>
        <v>-2.2343330226665077E-2</v>
      </c>
    </row>
    <row r="887" spans="6:7" x14ac:dyDescent="0.25">
      <c r="F887">
        <v>884</v>
      </c>
      <c r="G887">
        <f ca="1">_xlfn.NORM.INV(RAND(),$M$7,$M$8)</f>
        <v>9.9563118473010633E-3</v>
      </c>
    </row>
    <row r="888" spans="6:7" x14ac:dyDescent="0.25">
      <c r="F888">
        <v>885</v>
      </c>
      <c r="G888">
        <f ca="1">_xlfn.NORM.INV(RAND(),$M$7,$M$8)</f>
        <v>-2.9961036727566689E-3</v>
      </c>
    </row>
    <row r="889" spans="6:7" x14ac:dyDescent="0.25">
      <c r="F889">
        <v>886</v>
      </c>
      <c r="G889">
        <f ca="1">_xlfn.NORM.INV(RAND(),$M$7,$M$8)</f>
        <v>-2.2154604635017314E-2</v>
      </c>
    </row>
    <row r="890" spans="6:7" x14ac:dyDescent="0.25">
      <c r="F890">
        <v>887</v>
      </c>
      <c r="G890">
        <f ca="1">_xlfn.NORM.INV(RAND(),$M$7,$M$8)</f>
        <v>4.9944772342587748E-2</v>
      </c>
    </row>
    <row r="891" spans="6:7" x14ac:dyDescent="0.25">
      <c r="F891">
        <v>888</v>
      </c>
      <c r="G891">
        <f ca="1">_xlfn.NORM.INV(RAND(),$M$7,$M$8)</f>
        <v>3.0526305462852963E-3</v>
      </c>
    </row>
    <row r="892" spans="6:7" x14ac:dyDescent="0.25">
      <c r="F892">
        <v>889</v>
      </c>
      <c r="G892">
        <f ca="1">_xlfn.NORM.INV(RAND(),$M$7,$M$8)</f>
        <v>4.8446743977481437E-2</v>
      </c>
    </row>
    <row r="893" spans="6:7" x14ac:dyDescent="0.25">
      <c r="F893">
        <v>890</v>
      </c>
      <c r="G893">
        <f ca="1">_xlfn.NORM.INV(RAND(),$M$7,$M$8)</f>
        <v>1.3186413363840865E-2</v>
      </c>
    </row>
    <row r="894" spans="6:7" x14ac:dyDescent="0.25">
      <c r="F894">
        <v>891</v>
      </c>
      <c r="G894">
        <f ca="1">_xlfn.NORM.INV(RAND(),$M$7,$M$8)</f>
        <v>-2.1746686423687444E-2</v>
      </c>
    </row>
    <row r="895" spans="6:7" x14ac:dyDescent="0.25">
      <c r="F895">
        <v>892</v>
      </c>
      <c r="G895">
        <f ca="1">_xlfn.NORM.INV(RAND(),$M$7,$M$8)</f>
        <v>2.2572453969991083E-2</v>
      </c>
    </row>
    <row r="896" spans="6:7" x14ac:dyDescent="0.25">
      <c r="F896">
        <v>893</v>
      </c>
      <c r="G896">
        <f ca="1">_xlfn.NORM.INV(RAND(),$M$7,$M$8)</f>
        <v>-2.6456933331344062E-2</v>
      </c>
    </row>
    <row r="897" spans="6:7" x14ac:dyDescent="0.25">
      <c r="F897">
        <v>894</v>
      </c>
      <c r="G897">
        <f ca="1">_xlfn.NORM.INV(RAND(),$M$7,$M$8)</f>
        <v>-1.4601880693576498E-2</v>
      </c>
    </row>
    <row r="898" spans="6:7" x14ac:dyDescent="0.25">
      <c r="F898">
        <v>895</v>
      </c>
      <c r="G898">
        <f ca="1">_xlfn.NORM.INV(RAND(),$M$7,$M$8)</f>
        <v>-4.3360721897846063E-3</v>
      </c>
    </row>
    <row r="899" spans="6:7" x14ac:dyDescent="0.25">
      <c r="F899">
        <v>896</v>
      </c>
      <c r="G899">
        <f ca="1">_xlfn.NORM.INV(RAND(),$M$7,$M$8)</f>
        <v>-5.1869110724093656E-3</v>
      </c>
    </row>
    <row r="900" spans="6:7" x14ac:dyDescent="0.25">
      <c r="F900">
        <v>897</v>
      </c>
      <c r="G900">
        <f ca="1">_xlfn.NORM.INV(RAND(),$M$7,$M$8)</f>
        <v>2.722474404706147E-3</v>
      </c>
    </row>
    <row r="901" spans="6:7" x14ac:dyDescent="0.25">
      <c r="F901">
        <v>898</v>
      </c>
      <c r="G901">
        <f ca="1">_xlfn.NORM.INV(RAND(),$M$7,$M$8)</f>
        <v>-2.1491569135888771E-2</v>
      </c>
    </row>
    <row r="902" spans="6:7" x14ac:dyDescent="0.25">
      <c r="F902">
        <v>899</v>
      </c>
      <c r="G902">
        <f ca="1">_xlfn.NORM.INV(RAND(),$M$7,$M$8)</f>
        <v>1.727161084432538E-2</v>
      </c>
    </row>
    <row r="903" spans="6:7" x14ac:dyDescent="0.25">
      <c r="F903">
        <v>900</v>
      </c>
      <c r="G903">
        <f ca="1">_xlfn.NORM.INV(RAND(),$M$7,$M$8)</f>
        <v>1.8597662924399665E-2</v>
      </c>
    </row>
    <row r="904" spans="6:7" x14ac:dyDescent="0.25">
      <c r="F904">
        <v>901</v>
      </c>
      <c r="G904">
        <f ca="1">_xlfn.NORM.INV(RAND(),$M$7,$M$8)</f>
        <v>5.781270217491332E-4</v>
      </c>
    </row>
    <row r="905" spans="6:7" x14ac:dyDescent="0.25">
      <c r="F905">
        <v>902</v>
      </c>
      <c r="G905">
        <f ca="1">_xlfn.NORM.INV(RAND(),$M$7,$M$8)</f>
        <v>-1.9759790833856095E-2</v>
      </c>
    </row>
    <row r="906" spans="6:7" x14ac:dyDescent="0.25">
      <c r="F906">
        <v>903</v>
      </c>
      <c r="G906">
        <f ca="1">_xlfn.NORM.INV(RAND(),$M$7,$M$8)</f>
        <v>-1.5536270353047214E-2</v>
      </c>
    </row>
    <row r="907" spans="6:7" x14ac:dyDescent="0.25">
      <c r="F907">
        <v>904</v>
      </c>
      <c r="G907">
        <f ca="1">_xlfn.NORM.INV(RAND(),$M$7,$M$8)</f>
        <v>-2.439430822240931E-2</v>
      </c>
    </row>
    <row r="908" spans="6:7" x14ac:dyDescent="0.25">
      <c r="F908">
        <v>905</v>
      </c>
      <c r="G908">
        <f ca="1">_xlfn.NORM.INV(RAND(),$M$7,$M$8)</f>
        <v>3.3376120478245806E-2</v>
      </c>
    </row>
    <row r="909" spans="6:7" x14ac:dyDescent="0.25">
      <c r="F909">
        <v>906</v>
      </c>
      <c r="G909">
        <f ca="1">_xlfn.NORM.INV(RAND(),$M$7,$M$8)</f>
        <v>3.2620169761487694E-3</v>
      </c>
    </row>
    <row r="910" spans="6:7" x14ac:dyDescent="0.25">
      <c r="F910">
        <v>907</v>
      </c>
      <c r="G910">
        <f ca="1">_xlfn.NORM.INV(RAND(),$M$7,$M$8)</f>
        <v>-1.2096943283041553E-2</v>
      </c>
    </row>
    <row r="911" spans="6:7" x14ac:dyDescent="0.25">
      <c r="F911">
        <v>908</v>
      </c>
      <c r="G911">
        <f ca="1">_xlfn.NORM.INV(RAND(),$M$7,$M$8)</f>
        <v>6.614028200456902E-3</v>
      </c>
    </row>
    <row r="912" spans="6:7" x14ac:dyDescent="0.25">
      <c r="F912">
        <v>909</v>
      </c>
      <c r="G912">
        <f ca="1">_xlfn.NORM.INV(RAND(),$M$7,$M$8)</f>
        <v>-2.1224455651815913E-2</v>
      </c>
    </row>
    <row r="913" spans="6:7" x14ac:dyDescent="0.25">
      <c r="F913">
        <v>910</v>
      </c>
      <c r="G913">
        <f ca="1">_xlfn.NORM.INV(RAND(),$M$7,$M$8)</f>
        <v>2.7503716722256873E-2</v>
      </c>
    </row>
    <row r="914" spans="6:7" x14ac:dyDescent="0.25">
      <c r="F914">
        <v>911</v>
      </c>
      <c r="G914">
        <f ca="1">_xlfn.NORM.INV(RAND(),$M$7,$M$8)</f>
        <v>1.8654356981317641E-3</v>
      </c>
    </row>
    <row r="915" spans="6:7" x14ac:dyDescent="0.25">
      <c r="F915">
        <v>912</v>
      </c>
      <c r="G915">
        <f ca="1">_xlfn.NORM.INV(RAND(),$M$7,$M$8)</f>
        <v>1.5185696962467474E-2</v>
      </c>
    </row>
    <row r="916" spans="6:7" x14ac:dyDescent="0.25">
      <c r="F916">
        <v>913</v>
      </c>
      <c r="G916">
        <f ca="1">_xlfn.NORM.INV(RAND(),$M$7,$M$8)</f>
        <v>4.0323834627958029E-2</v>
      </c>
    </row>
    <row r="917" spans="6:7" x14ac:dyDescent="0.25">
      <c r="F917">
        <v>914</v>
      </c>
      <c r="G917">
        <f ca="1">_xlfn.NORM.INV(RAND(),$M$7,$M$8)</f>
        <v>1.1329154011520371E-3</v>
      </c>
    </row>
    <row r="918" spans="6:7" x14ac:dyDescent="0.25">
      <c r="F918">
        <v>915</v>
      </c>
      <c r="G918">
        <f ca="1">_xlfn.NORM.INV(RAND(),$M$7,$M$8)</f>
        <v>-1.3510712467635024E-2</v>
      </c>
    </row>
    <row r="919" spans="6:7" x14ac:dyDescent="0.25">
      <c r="F919">
        <v>916</v>
      </c>
      <c r="G919">
        <f ca="1">_xlfn.NORM.INV(RAND(),$M$7,$M$8)</f>
        <v>3.3729690792604204E-2</v>
      </c>
    </row>
    <row r="920" spans="6:7" x14ac:dyDescent="0.25">
      <c r="F920">
        <v>917</v>
      </c>
      <c r="G920">
        <f ca="1">_xlfn.NORM.INV(RAND(),$M$7,$M$8)</f>
        <v>1.0024042890967604E-2</v>
      </c>
    </row>
    <row r="921" spans="6:7" x14ac:dyDescent="0.25">
      <c r="F921">
        <v>918</v>
      </c>
      <c r="G921">
        <f ca="1">_xlfn.NORM.INV(RAND(),$M$7,$M$8)</f>
        <v>1.4946935264621316E-2</v>
      </c>
    </row>
    <row r="922" spans="6:7" x14ac:dyDescent="0.25">
      <c r="F922">
        <v>919</v>
      </c>
      <c r="G922">
        <f ca="1">_xlfn.NORM.INV(RAND(),$M$7,$M$8)</f>
        <v>-3.7630035095280435E-2</v>
      </c>
    </row>
    <row r="923" spans="6:7" x14ac:dyDescent="0.25">
      <c r="F923">
        <v>920</v>
      </c>
      <c r="G923">
        <f ca="1">_xlfn.NORM.INV(RAND(),$M$7,$M$8)</f>
        <v>-8.9096192881024071E-3</v>
      </c>
    </row>
    <row r="924" spans="6:7" x14ac:dyDescent="0.25">
      <c r="F924">
        <v>921</v>
      </c>
      <c r="G924">
        <f ca="1">_xlfn.NORM.INV(RAND(),$M$7,$M$8)</f>
        <v>-1.6424899818463647E-2</v>
      </c>
    </row>
    <row r="925" spans="6:7" x14ac:dyDescent="0.25">
      <c r="F925">
        <v>922</v>
      </c>
      <c r="G925">
        <f ca="1">_xlfn.NORM.INV(RAND(),$M$7,$M$8)</f>
        <v>-9.3008497824615156E-3</v>
      </c>
    </row>
    <row r="926" spans="6:7" x14ac:dyDescent="0.25">
      <c r="F926">
        <v>923</v>
      </c>
      <c r="G926">
        <f ca="1">_xlfn.NORM.INV(RAND(),$M$7,$M$8)</f>
        <v>8.3780016864364992E-3</v>
      </c>
    </row>
    <row r="927" spans="6:7" x14ac:dyDescent="0.25">
      <c r="F927">
        <v>924</v>
      </c>
      <c r="G927">
        <f ca="1">_xlfn.NORM.INV(RAND(),$M$7,$M$8)</f>
        <v>1.4691905737364336E-3</v>
      </c>
    </row>
    <row r="928" spans="6:7" x14ac:dyDescent="0.25">
      <c r="F928">
        <v>925</v>
      </c>
      <c r="G928">
        <f ca="1">_xlfn.NORM.INV(RAND(),$M$7,$M$8)</f>
        <v>-5.2585072815225335E-2</v>
      </c>
    </row>
    <row r="929" spans="6:7" x14ac:dyDescent="0.25">
      <c r="F929">
        <v>926</v>
      </c>
      <c r="G929">
        <f ca="1">_xlfn.NORM.INV(RAND(),$M$7,$M$8)</f>
        <v>4.3870614548359608E-3</v>
      </c>
    </row>
    <row r="930" spans="6:7" x14ac:dyDescent="0.25">
      <c r="F930">
        <v>927</v>
      </c>
      <c r="G930">
        <f ca="1">_xlfn.NORM.INV(RAND(),$M$7,$M$8)</f>
        <v>1.9486752448441811E-2</v>
      </c>
    </row>
    <row r="931" spans="6:7" x14ac:dyDescent="0.25">
      <c r="F931">
        <v>928</v>
      </c>
      <c r="G931">
        <f ca="1">_xlfn.NORM.INV(RAND(),$M$7,$M$8)</f>
        <v>2.2451000558206924E-2</v>
      </c>
    </row>
    <row r="932" spans="6:7" x14ac:dyDescent="0.25">
      <c r="F932">
        <v>929</v>
      </c>
      <c r="G932">
        <f ca="1">_xlfn.NORM.INV(RAND(),$M$7,$M$8)</f>
        <v>5.5231528284765898E-4</v>
      </c>
    </row>
    <row r="933" spans="6:7" x14ac:dyDescent="0.25">
      <c r="F933">
        <v>930</v>
      </c>
      <c r="G933">
        <f ca="1">_xlfn.NORM.INV(RAND(),$M$7,$M$8)</f>
        <v>-2.0344859954750414E-2</v>
      </c>
    </row>
    <row r="934" spans="6:7" x14ac:dyDescent="0.25">
      <c r="F934">
        <v>931</v>
      </c>
      <c r="G934">
        <f ca="1">_xlfn.NORM.INV(RAND(),$M$7,$M$8)</f>
        <v>1.1407610278629564E-2</v>
      </c>
    </row>
    <row r="935" spans="6:7" x14ac:dyDescent="0.25">
      <c r="F935">
        <v>932</v>
      </c>
      <c r="G935">
        <f ca="1">_xlfn.NORM.INV(RAND(),$M$7,$M$8)</f>
        <v>2.6005809543041339E-3</v>
      </c>
    </row>
    <row r="936" spans="6:7" x14ac:dyDescent="0.25">
      <c r="F936">
        <v>933</v>
      </c>
      <c r="G936">
        <f ca="1">_xlfn.NORM.INV(RAND(),$M$7,$M$8)</f>
        <v>-2.5332871954307421E-2</v>
      </c>
    </row>
    <row r="937" spans="6:7" x14ac:dyDescent="0.25">
      <c r="F937">
        <v>934</v>
      </c>
      <c r="G937">
        <f ca="1">_xlfn.NORM.INV(RAND(),$M$7,$M$8)</f>
        <v>-1.7400699717347794E-3</v>
      </c>
    </row>
    <row r="938" spans="6:7" x14ac:dyDescent="0.25">
      <c r="F938">
        <v>935</v>
      </c>
      <c r="G938">
        <f ca="1">_xlfn.NORM.INV(RAND(),$M$7,$M$8)</f>
        <v>-1.7762276241293597E-2</v>
      </c>
    </row>
    <row r="939" spans="6:7" x14ac:dyDescent="0.25">
      <c r="F939">
        <v>936</v>
      </c>
      <c r="G939">
        <f ca="1">_xlfn.NORM.INV(RAND(),$M$7,$M$8)</f>
        <v>2.4697259784600745E-2</v>
      </c>
    </row>
    <row r="940" spans="6:7" x14ac:dyDescent="0.25">
      <c r="F940">
        <v>937</v>
      </c>
      <c r="G940">
        <f ca="1">_xlfn.NORM.INV(RAND(),$M$7,$M$8)</f>
        <v>1.2072916581966894E-2</v>
      </c>
    </row>
    <row r="941" spans="6:7" x14ac:dyDescent="0.25">
      <c r="F941">
        <v>938</v>
      </c>
      <c r="G941">
        <f ca="1">_xlfn.NORM.INV(RAND(),$M$7,$M$8)</f>
        <v>8.7265801110840042E-3</v>
      </c>
    </row>
    <row r="942" spans="6:7" x14ac:dyDescent="0.25">
      <c r="F942">
        <v>939</v>
      </c>
      <c r="G942">
        <f ca="1">_xlfn.NORM.INV(RAND(),$M$7,$M$8)</f>
        <v>-1.082852645533762E-2</v>
      </c>
    </row>
    <row r="943" spans="6:7" x14ac:dyDescent="0.25">
      <c r="F943">
        <v>940</v>
      </c>
      <c r="G943">
        <f ca="1">_xlfn.NORM.INV(RAND(),$M$7,$M$8)</f>
        <v>-9.0929321488711218E-3</v>
      </c>
    </row>
    <row r="944" spans="6:7" x14ac:dyDescent="0.25">
      <c r="F944">
        <v>941</v>
      </c>
      <c r="G944">
        <f ca="1">_xlfn.NORM.INV(RAND(),$M$7,$M$8)</f>
        <v>4.4794244275981679E-2</v>
      </c>
    </row>
    <row r="945" spans="6:7" x14ac:dyDescent="0.25">
      <c r="F945">
        <v>942</v>
      </c>
      <c r="G945">
        <f ca="1">_xlfn.NORM.INV(RAND(),$M$7,$M$8)</f>
        <v>-2.4010360935314431E-2</v>
      </c>
    </row>
    <row r="946" spans="6:7" x14ac:dyDescent="0.25">
      <c r="F946">
        <v>943</v>
      </c>
      <c r="G946">
        <f ca="1">_xlfn.NORM.INV(RAND(),$M$7,$M$8)</f>
        <v>1.1462227719305501E-2</v>
      </c>
    </row>
    <row r="947" spans="6:7" x14ac:dyDescent="0.25">
      <c r="F947">
        <v>944</v>
      </c>
      <c r="G947">
        <f ca="1">_xlfn.NORM.INV(RAND(),$M$7,$M$8)</f>
        <v>1.9167214696521037E-2</v>
      </c>
    </row>
    <row r="948" spans="6:7" x14ac:dyDescent="0.25">
      <c r="F948">
        <v>945</v>
      </c>
      <c r="G948">
        <f ca="1">_xlfn.NORM.INV(RAND(),$M$7,$M$8)</f>
        <v>2.9309520853557522E-2</v>
      </c>
    </row>
    <row r="949" spans="6:7" x14ac:dyDescent="0.25">
      <c r="F949">
        <v>946</v>
      </c>
      <c r="G949">
        <f ca="1">_xlfn.NORM.INV(RAND(),$M$7,$M$8)</f>
        <v>-1.9799166840049523E-2</v>
      </c>
    </row>
    <row r="950" spans="6:7" x14ac:dyDescent="0.25">
      <c r="F950">
        <v>947</v>
      </c>
      <c r="G950">
        <f ca="1">_xlfn.NORM.INV(RAND(),$M$7,$M$8)</f>
        <v>-5.760668347821938E-3</v>
      </c>
    </row>
    <row r="951" spans="6:7" x14ac:dyDescent="0.25">
      <c r="F951">
        <v>948</v>
      </c>
      <c r="G951">
        <f ca="1">_xlfn.NORM.INV(RAND(),$M$7,$M$8)</f>
        <v>-2.6308670730672726E-2</v>
      </c>
    </row>
    <row r="952" spans="6:7" x14ac:dyDescent="0.25">
      <c r="F952">
        <v>949</v>
      </c>
      <c r="G952">
        <f ca="1">_xlfn.NORM.INV(RAND(),$M$7,$M$8)</f>
        <v>-2.8425126249845462E-2</v>
      </c>
    </row>
    <row r="953" spans="6:7" x14ac:dyDescent="0.25">
      <c r="F953">
        <v>950</v>
      </c>
      <c r="G953">
        <f ca="1">_xlfn.NORM.INV(RAND(),$M$7,$M$8)</f>
        <v>-3.2876788200227416E-3</v>
      </c>
    </row>
    <row r="954" spans="6:7" x14ac:dyDescent="0.25">
      <c r="F954">
        <v>951</v>
      </c>
      <c r="G954">
        <f ca="1">_xlfn.NORM.INV(RAND(),$M$7,$M$8)</f>
        <v>3.7138342287422821E-3</v>
      </c>
    </row>
    <row r="955" spans="6:7" x14ac:dyDescent="0.25">
      <c r="F955">
        <v>952</v>
      </c>
      <c r="G955">
        <f ca="1">_xlfn.NORM.INV(RAND(),$M$7,$M$8)</f>
        <v>1.283545660741733E-2</v>
      </c>
    </row>
    <row r="956" spans="6:7" x14ac:dyDescent="0.25">
      <c r="F956">
        <v>953</v>
      </c>
      <c r="G956">
        <f ca="1">_xlfn.NORM.INV(RAND(),$M$7,$M$8)</f>
        <v>1.3312258612968867E-2</v>
      </c>
    </row>
    <row r="957" spans="6:7" x14ac:dyDescent="0.25">
      <c r="F957">
        <v>954</v>
      </c>
      <c r="G957">
        <f ca="1">_xlfn.NORM.INV(RAND(),$M$7,$M$8)</f>
        <v>9.4312943666623947E-3</v>
      </c>
    </row>
    <row r="958" spans="6:7" x14ac:dyDescent="0.25">
      <c r="F958">
        <v>955</v>
      </c>
      <c r="G958">
        <f ca="1">_xlfn.NORM.INV(RAND(),$M$7,$M$8)</f>
        <v>1.9371510001270839E-2</v>
      </c>
    </row>
    <row r="959" spans="6:7" x14ac:dyDescent="0.25">
      <c r="F959">
        <v>956</v>
      </c>
      <c r="G959">
        <f ca="1">_xlfn.NORM.INV(RAND(),$M$7,$M$8)</f>
        <v>-1.9238810120976311E-2</v>
      </c>
    </row>
    <row r="960" spans="6:7" x14ac:dyDescent="0.25">
      <c r="F960">
        <v>957</v>
      </c>
      <c r="G960">
        <f ca="1">_xlfn.NORM.INV(RAND(),$M$7,$M$8)</f>
        <v>5.6960802323988834E-2</v>
      </c>
    </row>
    <row r="961" spans="6:7" x14ac:dyDescent="0.25">
      <c r="F961">
        <v>958</v>
      </c>
      <c r="G961">
        <f ca="1">_xlfn.NORM.INV(RAND(),$M$7,$M$8)</f>
        <v>-2.4612096242673662E-2</v>
      </c>
    </row>
    <row r="962" spans="6:7" x14ac:dyDescent="0.25">
      <c r="F962">
        <v>959</v>
      </c>
      <c r="G962">
        <f ca="1">_xlfn.NORM.INV(RAND(),$M$7,$M$8)</f>
        <v>-2.72301637773989E-2</v>
      </c>
    </row>
    <row r="963" spans="6:7" x14ac:dyDescent="0.25">
      <c r="F963">
        <v>960</v>
      </c>
      <c r="G963">
        <f ca="1">_xlfn.NORM.INV(RAND(),$M$7,$M$8)</f>
        <v>-5.7716079608563422E-3</v>
      </c>
    </row>
    <row r="964" spans="6:7" x14ac:dyDescent="0.25">
      <c r="F964">
        <v>961</v>
      </c>
      <c r="G964">
        <f ca="1">_xlfn.NORM.INV(RAND(),$M$7,$M$8)</f>
        <v>2.1598999714898606E-2</v>
      </c>
    </row>
    <row r="965" spans="6:7" x14ac:dyDescent="0.25">
      <c r="F965">
        <v>962</v>
      </c>
      <c r="G965">
        <f ca="1">_xlfn.NORM.INV(RAND(),$M$7,$M$8)</f>
        <v>-2.5485376038431439E-2</v>
      </c>
    </row>
    <row r="966" spans="6:7" x14ac:dyDescent="0.25">
      <c r="F966">
        <v>963</v>
      </c>
      <c r="G966">
        <f ca="1">_xlfn.NORM.INV(RAND(),$M$7,$M$8)</f>
        <v>-1.8891932392345472E-2</v>
      </c>
    </row>
    <row r="967" spans="6:7" x14ac:dyDescent="0.25">
      <c r="F967">
        <v>964</v>
      </c>
      <c r="G967">
        <f ca="1">_xlfn.NORM.INV(RAND(),$M$7,$M$8)</f>
        <v>1.5648416720319271E-2</v>
      </c>
    </row>
    <row r="968" spans="6:7" x14ac:dyDescent="0.25">
      <c r="F968">
        <v>965</v>
      </c>
      <c r="G968">
        <f ca="1">_xlfn.NORM.INV(RAND(),$M$7,$M$8)</f>
        <v>3.442777934229628E-2</v>
      </c>
    </row>
    <row r="969" spans="6:7" x14ac:dyDescent="0.25">
      <c r="F969">
        <v>966</v>
      </c>
      <c r="G969">
        <f ca="1">_xlfn.NORM.INV(RAND(),$M$7,$M$8)</f>
        <v>-3.6289018993822697E-2</v>
      </c>
    </row>
    <row r="970" spans="6:7" x14ac:dyDescent="0.25">
      <c r="F970">
        <v>967</v>
      </c>
      <c r="G970">
        <f ca="1">_xlfn.NORM.INV(RAND(),$M$7,$M$8)</f>
        <v>3.9908005839500221E-3</v>
      </c>
    </row>
    <row r="971" spans="6:7" x14ac:dyDescent="0.25">
      <c r="F971">
        <v>968</v>
      </c>
      <c r="G971">
        <f ca="1">_xlfn.NORM.INV(RAND(),$M$7,$M$8)</f>
        <v>-2.2746324354898546E-2</v>
      </c>
    </row>
    <row r="972" spans="6:7" x14ac:dyDescent="0.25">
      <c r="F972">
        <v>969</v>
      </c>
      <c r="G972">
        <f ca="1">_xlfn.NORM.INV(RAND(),$M$7,$M$8)</f>
        <v>1.7034986821702392E-2</v>
      </c>
    </row>
    <row r="973" spans="6:7" x14ac:dyDescent="0.25">
      <c r="F973">
        <v>970</v>
      </c>
      <c r="G973">
        <f ca="1">_xlfn.NORM.INV(RAND(),$M$7,$M$8)</f>
        <v>4.5935399056570474E-3</v>
      </c>
    </row>
    <row r="974" spans="6:7" x14ac:dyDescent="0.25">
      <c r="F974">
        <v>971</v>
      </c>
      <c r="G974">
        <f ca="1">_xlfn.NORM.INV(RAND(),$M$7,$M$8)</f>
        <v>-8.9017364036047819E-3</v>
      </c>
    </row>
    <row r="975" spans="6:7" x14ac:dyDescent="0.25">
      <c r="F975">
        <v>972</v>
      </c>
      <c r="G975">
        <f ca="1">_xlfn.NORM.INV(RAND(),$M$7,$M$8)</f>
        <v>2.4313440366335239E-2</v>
      </c>
    </row>
    <row r="976" spans="6:7" x14ac:dyDescent="0.25">
      <c r="F976">
        <v>973</v>
      </c>
      <c r="G976">
        <f ca="1">_xlfn.NORM.INV(RAND(),$M$7,$M$8)</f>
        <v>2.0930997830339287E-3</v>
      </c>
    </row>
    <row r="977" spans="6:7" x14ac:dyDescent="0.25">
      <c r="F977">
        <v>974</v>
      </c>
      <c r="G977">
        <f ca="1">_xlfn.NORM.INV(RAND(),$M$7,$M$8)</f>
        <v>1.5238843218820398E-2</v>
      </c>
    </row>
    <row r="978" spans="6:7" x14ac:dyDescent="0.25">
      <c r="F978">
        <v>975</v>
      </c>
      <c r="G978">
        <f ca="1">_xlfn.NORM.INV(RAND(),$M$7,$M$8)</f>
        <v>-3.5902417384438882E-3</v>
      </c>
    </row>
    <row r="979" spans="6:7" x14ac:dyDescent="0.25">
      <c r="F979">
        <v>976</v>
      </c>
      <c r="G979">
        <f ca="1">_xlfn.NORM.INV(RAND(),$M$7,$M$8)</f>
        <v>1.5794598325776562E-2</v>
      </c>
    </row>
    <row r="980" spans="6:7" x14ac:dyDescent="0.25">
      <c r="F980">
        <v>977</v>
      </c>
      <c r="G980">
        <f ca="1">_xlfn.NORM.INV(RAND(),$M$7,$M$8)</f>
        <v>2.7503699059659936E-2</v>
      </c>
    </row>
    <row r="981" spans="6:7" x14ac:dyDescent="0.25">
      <c r="F981">
        <v>978</v>
      </c>
      <c r="G981">
        <f ca="1">_xlfn.NORM.INV(RAND(),$M$7,$M$8)</f>
        <v>2.6980793907433687E-2</v>
      </c>
    </row>
    <row r="982" spans="6:7" x14ac:dyDescent="0.25">
      <c r="F982">
        <v>979</v>
      </c>
      <c r="G982">
        <f ca="1">_xlfn.NORM.INV(RAND(),$M$7,$M$8)</f>
        <v>-8.4619910136410938E-3</v>
      </c>
    </row>
    <row r="983" spans="6:7" x14ac:dyDescent="0.25">
      <c r="F983">
        <v>980</v>
      </c>
      <c r="G983">
        <f ca="1">_xlfn.NORM.INV(RAND(),$M$7,$M$8)</f>
        <v>1.4149947281668312E-3</v>
      </c>
    </row>
    <row r="984" spans="6:7" x14ac:dyDescent="0.25">
      <c r="F984">
        <v>981</v>
      </c>
      <c r="G984">
        <f ca="1">_xlfn.NORM.INV(RAND(),$M$7,$M$8)</f>
        <v>2.2120022647015989E-2</v>
      </c>
    </row>
    <row r="985" spans="6:7" x14ac:dyDescent="0.25">
      <c r="F985">
        <v>982</v>
      </c>
      <c r="G985">
        <f ca="1">_xlfn.NORM.INV(RAND(),$M$7,$M$8)</f>
        <v>-3.537594801111419E-2</v>
      </c>
    </row>
    <row r="986" spans="6:7" x14ac:dyDescent="0.25">
      <c r="F986">
        <v>983</v>
      </c>
      <c r="G986">
        <f ca="1">_xlfn.NORM.INV(RAND(),$M$7,$M$8)</f>
        <v>-1.9561228700060462E-3</v>
      </c>
    </row>
    <row r="987" spans="6:7" x14ac:dyDescent="0.25">
      <c r="F987">
        <v>984</v>
      </c>
      <c r="G987">
        <f ca="1">_xlfn.NORM.INV(RAND(),$M$7,$M$8)</f>
        <v>-4.5482734409735784E-2</v>
      </c>
    </row>
    <row r="988" spans="6:7" x14ac:dyDescent="0.25">
      <c r="F988">
        <v>985</v>
      </c>
      <c r="G988">
        <f ca="1">_xlfn.NORM.INV(RAND(),$M$7,$M$8)</f>
        <v>-2.5010566076159341E-2</v>
      </c>
    </row>
    <row r="989" spans="6:7" x14ac:dyDescent="0.25">
      <c r="F989">
        <v>986</v>
      </c>
      <c r="G989">
        <f ca="1">_xlfn.NORM.INV(RAND(),$M$7,$M$8)</f>
        <v>-2.3697564804779102E-2</v>
      </c>
    </row>
    <row r="990" spans="6:7" x14ac:dyDescent="0.25">
      <c r="F990">
        <v>987</v>
      </c>
      <c r="G990">
        <f ca="1">_xlfn.NORM.INV(RAND(),$M$7,$M$8)</f>
        <v>-9.0257280098664811E-3</v>
      </c>
    </row>
    <row r="991" spans="6:7" x14ac:dyDescent="0.25">
      <c r="F991">
        <v>988</v>
      </c>
      <c r="G991">
        <f ca="1">_xlfn.NORM.INV(RAND(),$M$7,$M$8)</f>
        <v>8.0326418309676888E-3</v>
      </c>
    </row>
    <row r="992" spans="6:7" x14ac:dyDescent="0.25">
      <c r="F992">
        <v>989</v>
      </c>
      <c r="G992">
        <f ca="1">_xlfn.NORM.INV(RAND(),$M$7,$M$8)</f>
        <v>-4.2562489544752655E-2</v>
      </c>
    </row>
    <row r="993" spans="6:7" x14ac:dyDescent="0.25">
      <c r="F993">
        <v>990</v>
      </c>
      <c r="G993">
        <f ca="1">_xlfn.NORM.INV(RAND(),$M$7,$M$8)</f>
        <v>-1.1997700170505958E-2</v>
      </c>
    </row>
    <row r="994" spans="6:7" x14ac:dyDescent="0.25">
      <c r="F994">
        <v>991</v>
      </c>
      <c r="G994">
        <f ca="1">_xlfn.NORM.INV(RAND(),$M$7,$M$8)</f>
        <v>-2.6665252256839318E-2</v>
      </c>
    </row>
    <row r="995" spans="6:7" x14ac:dyDescent="0.25">
      <c r="F995">
        <v>992</v>
      </c>
      <c r="G995">
        <f ca="1">_xlfn.NORM.INV(RAND(),$M$7,$M$8)</f>
        <v>4.0820984436668845E-2</v>
      </c>
    </row>
    <row r="996" spans="6:7" x14ac:dyDescent="0.25">
      <c r="F996">
        <v>993</v>
      </c>
      <c r="G996">
        <f ca="1">_xlfn.NORM.INV(RAND(),$M$7,$M$8)</f>
        <v>2.0230473414615369E-2</v>
      </c>
    </row>
    <row r="997" spans="6:7" x14ac:dyDescent="0.25">
      <c r="F997">
        <v>994</v>
      </c>
      <c r="G997">
        <f ca="1">_xlfn.NORM.INV(RAND(),$M$7,$M$8)</f>
        <v>-1.3191738421970221E-3</v>
      </c>
    </row>
    <row r="998" spans="6:7" x14ac:dyDescent="0.25">
      <c r="F998">
        <v>995</v>
      </c>
      <c r="G998">
        <f ca="1">_xlfn.NORM.INV(RAND(),$M$7,$M$8)</f>
        <v>2.2005256620593897E-2</v>
      </c>
    </row>
    <row r="999" spans="6:7" x14ac:dyDescent="0.25">
      <c r="F999">
        <v>996</v>
      </c>
      <c r="G999">
        <f ca="1">_xlfn.NORM.INV(RAND(),$M$7,$M$8)</f>
        <v>-3.3263858420807015E-2</v>
      </c>
    </row>
    <row r="1000" spans="6:7" x14ac:dyDescent="0.25">
      <c r="F1000">
        <v>997</v>
      </c>
      <c r="G1000">
        <f ca="1">_xlfn.NORM.INV(RAND(),$M$7,$M$8)</f>
        <v>1.0635997158776991E-2</v>
      </c>
    </row>
    <row r="1001" spans="6:7" x14ac:dyDescent="0.25">
      <c r="F1001">
        <v>998</v>
      </c>
      <c r="G1001">
        <f ca="1">_xlfn.NORM.INV(RAND(),$M$7,$M$8)</f>
        <v>1.1586077243489866E-2</v>
      </c>
    </row>
    <row r="1002" spans="6:7" x14ac:dyDescent="0.25">
      <c r="F1002">
        <v>999</v>
      </c>
      <c r="G1002">
        <f ca="1">_xlfn.NORM.INV(RAND(),$M$7,$M$8)</f>
        <v>1.3763654334100383E-2</v>
      </c>
    </row>
    <row r="1003" spans="6:7" x14ac:dyDescent="0.25">
      <c r="F1003">
        <v>1000</v>
      </c>
      <c r="G1003">
        <f ca="1">_xlfn.NORM.INV(RAND(),$M$7,$M$8)</f>
        <v>3.6136562994992405E-2</v>
      </c>
    </row>
    <row r="1004" spans="6:7" x14ac:dyDescent="0.25">
      <c r="F1004">
        <v>1001</v>
      </c>
      <c r="G1004">
        <f ca="1">_xlfn.NORM.INV(RAND(),$M$7,$M$8)</f>
        <v>8.4133524426825961E-3</v>
      </c>
    </row>
    <row r="1005" spans="6:7" x14ac:dyDescent="0.25">
      <c r="F1005">
        <v>1002</v>
      </c>
      <c r="G1005">
        <f ca="1">_xlfn.NORM.INV(RAND(),$M$7,$M$8)</f>
        <v>-2.6074155776043832E-3</v>
      </c>
    </row>
    <row r="1006" spans="6:7" x14ac:dyDescent="0.25">
      <c r="F1006">
        <v>1003</v>
      </c>
      <c r="G1006">
        <f ca="1">_xlfn.NORM.INV(RAND(),$M$7,$M$8)</f>
        <v>2.3158690721946512E-2</v>
      </c>
    </row>
    <row r="1007" spans="6:7" x14ac:dyDescent="0.25">
      <c r="F1007">
        <v>1004</v>
      </c>
      <c r="G1007">
        <f ca="1">_xlfn.NORM.INV(RAND(),$M$7,$M$8)</f>
        <v>2.068546037348782E-2</v>
      </c>
    </row>
    <row r="1008" spans="6:7" x14ac:dyDescent="0.25">
      <c r="F1008">
        <v>1005</v>
      </c>
      <c r="G1008">
        <f ca="1">_xlfn.NORM.INV(RAND(),$M$7,$M$8)</f>
        <v>3.5623589067504097E-2</v>
      </c>
    </row>
    <row r="1009" spans="6:7" x14ac:dyDescent="0.25">
      <c r="F1009">
        <v>1006</v>
      </c>
      <c r="G1009">
        <f ca="1">_xlfn.NORM.INV(RAND(),$M$7,$M$8)</f>
        <v>2.2053020870987705E-2</v>
      </c>
    </row>
    <row r="1010" spans="6:7" x14ac:dyDescent="0.25">
      <c r="F1010">
        <v>1007</v>
      </c>
      <c r="G1010">
        <f ca="1">_xlfn.NORM.INV(RAND(),$M$7,$M$8)</f>
        <v>1.4713667027687227E-2</v>
      </c>
    </row>
    <row r="1011" spans="6:7" x14ac:dyDescent="0.25">
      <c r="F1011">
        <v>1008</v>
      </c>
      <c r="G1011">
        <f ca="1">_xlfn.NORM.INV(RAND(),$M$7,$M$8)</f>
        <v>6.9424134686968744E-3</v>
      </c>
    </row>
    <row r="1012" spans="6:7" x14ac:dyDescent="0.25">
      <c r="F1012">
        <v>1009</v>
      </c>
      <c r="G1012">
        <f ca="1">_xlfn.NORM.INV(RAND(),$M$7,$M$8)</f>
        <v>4.2549106848921653E-3</v>
      </c>
    </row>
    <row r="1013" spans="6:7" x14ac:dyDescent="0.25">
      <c r="F1013">
        <v>1010</v>
      </c>
      <c r="G1013">
        <f ca="1">_xlfn.NORM.INV(RAND(),$M$7,$M$8)</f>
        <v>3.7911113094656239E-3</v>
      </c>
    </row>
    <row r="1014" spans="6:7" x14ac:dyDescent="0.25">
      <c r="F1014">
        <v>1011</v>
      </c>
      <c r="G1014">
        <f ca="1">_xlfn.NORM.INV(RAND(),$M$7,$M$8)</f>
        <v>2.8622969884177653E-2</v>
      </c>
    </row>
    <row r="1015" spans="6:7" x14ac:dyDescent="0.25">
      <c r="F1015">
        <v>1012</v>
      </c>
      <c r="G1015">
        <f ca="1">_xlfn.NORM.INV(RAND(),$M$7,$M$8)</f>
        <v>-7.7964666344150831E-3</v>
      </c>
    </row>
    <row r="1016" spans="6:7" x14ac:dyDescent="0.25">
      <c r="F1016">
        <v>1013</v>
      </c>
      <c r="G1016">
        <f ca="1">_xlfn.NORM.INV(RAND(),$M$7,$M$8)</f>
        <v>7.0444431960755925E-3</v>
      </c>
    </row>
    <row r="1017" spans="6:7" x14ac:dyDescent="0.25">
      <c r="F1017">
        <v>1014</v>
      </c>
      <c r="G1017">
        <f ca="1">_xlfn.NORM.INV(RAND(),$M$7,$M$8)</f>
        <v>2.2640135507618366E-2</v>
      </c>
    </row>
    <row r="1018" spans="6:7" x14ac:dyDescent="0.25">
      <c r="F1018">
        <v>1015</v>
      </c>
      <c r="G1018">
        <f ca="1">_xlfn.NORM.INV(RAND(),$M$7,$M$8)</f>
        <v>-1.65905607101423E-3</v>
      </c>
    </row>
    <row r="1019" spans="6:7" x14ac:dyDescent="0.25">
      <c r="F1019">
        <v>1016</v>
      </c>
      <c r="G1019">
        <f ca="1">_xlfn.NORM.INV(RAND(),$M$7,$M$8)</f>
        <v>-5.1113560787325648E-3</v>
      </c>
    </row>
    <row r="1020" spans="6:7" x14ac:dyDescent="0.25">
      <c r="F1020">
        <v>1017</v>
      </c>
      <c r="G1020">
        <f ca="1">_xlfn.NORM.INV(RAND(),$M$7,$M$8)</f>
        <v>1.9506719993620544E-4</v>
      </c>
    </row>
    <row r="1021" spans="6:7" x14ac:dyDescent="0.25">
      <c r="F1021">
        <v>1018</v>
      </c>
      <c r="G1021">
        <f ca="1">_xlfn.NORM.INV(RAND(),$M$7,$M$8)</f>
        <v>3.5643328833259449E-2</v>
      </c>
    </row>
    <row r="1022" spans="6:7" x14ac:dyDescent="0.25">
      <c r="F1022">
        <v>1019</v>
      </c>
      <c r="G1022">
        <f ca="1">_xlfn.NORM.INV(RAND(),$M$7,$M$8)</f>
        <v>-1.3306982375583446E-2</v>
      </c>
    </row>
    <row r="1023" spans="6:7" x14ac:dyDescent="0.25">
      <c r="F1023">
        <v>1020</v>
      </c>
      <c r="G1023">
        <f ca="1">_xlfn.NORM.INV(RAND(),$M$7,$M$8)</f>
        <v>-4.3890315497105363E-2</v>
      </c>
    </row>
    <row r="1024" spans="6:7" x14ac:dyDescent="0.25">
      <c r="F1024">
        <v>1021</v>
      </c>
      <c r="G1024">
        <f ca="1">_xlfn.NORM.INV(RAND(),$M$7,$M$8)</f>
        <v>7.240729799642567E-3</v>
      </c>
    </row>
    <row r="1025" spans="6:7" x14ac:dyDescent="0.25">
      <c r="F1025">
        <v>1022</v>
      </c>
      <c r="G1025">
        <f ca="1">_xlfn.NORM.INV(RAND(),$M$7,$M$8)</f>
        <v>-1.8058188834079226E-3</v>
      </c>
    </row>
    <row r="1026" spans="6:7" x14ac:dyDescent="0.25">
      <c r="F1026">
        <v>1023</v>
      </c>
      <c r="G1026">
        <f ca="1">_xlfn.NORM.INV(RAND(),$M$7,$M$8)</f>
        <v>-1.9262920729149938E-2</v>
      </c>
    </row>
    <row r="1027" spans="6:7" x14ac:dyDescent="0.25">
      <c r="F1027">
        <v>1024</v>
      </c>
      <c r="G1027">
        <f ca="1">_xlfn.NORM.INV(RAND(),$M$7,$M$8)</f>
        <v>-9.2652059354976727E-3</v>
      </c>
    </row>
    <row r="1028" spans="6:7" x14ac:dyDescent="0.25">
      <c r="F1028">
        <v>1025</v>
      </c>
      <c r="G1028">
        <f ca="1">_xlfn.NORM.INV(RAND(),$M$7,$M$8)</f>
        <v>-4.1053643789895934E-2</v>
      </c>
    </row>
    <row r="1029" spans="6:7" x14ac:dyDescent="0.25">
      <c r="F1029">
        <v>1026</v>
      </c>
      <c r="G1029">
        <f ca="1">_xlfn.NORM.INV(RAND(),$M$7,$M$8)</f>
        <v>-2.5193803072788751E-2</v>
      </c>
    </row>
    <row r="1030" spans="6:7" x14ac:dyDescent="0.25">
      <c r="F1030">
        <v>1027</v>
      </c>
      <c r="G1030">
        <f ca="1">_xlfn.NORM.INV(RAND(),$M$7,$M$8)</f>
        <v>-6.6645452282431517E-2</v>
      </c>
    </row>
    <row r="1031" spans="6:7" x14ac:dyDescent="0.25">
      <c r="F1031">
        <v>1028</v>
      </c>
      <c r="G1031">
        <f ca="1">_xlfn.NORM.INV(RAND(),$M$7,$M$8)</f>
        <v>5.6095828659598491E-3</v>
      </c>
    </row>
    <row r="1032" spans="6:7" x14ac:dyDescent="0.25">
      <c r="F1032">
        <v>1029</v>
      </c>
      <c r="G1032">
        <f ca="1">_xlfn.NORM.INV(RAND(),$M$7,$M$8)</f>
        <v>2.6179921900066514E-3</v>
      </c>
    </row>
    <row r="1033" spans="6:7" x14ac:dyDescent="0.25">
      <c r="F1033">
        <v>1030</v>
      </c>
      <c r="G1033">
        <f ca="1">_xlfn.NORM.INV(RAND(),$M$7,$M$8)</f>
        <v>3.0470905779592154E-2</v>
      </c>
    </row>
    <row r="1034" spans="6:7" x14ac:dyDescent="0.25">
      <c r="F1034">
        <v>1031</v>
      </c>
      <c r="G1034">
        <f ca="1">_xlfn.NORM.INV(RAND(),$M$7,$M$8)</f>
        <v>2.331680390636854E-2</v>
      </c>
    </row>
    <row r="1035" spans="6:7" x14ac:dyDescent="0.25">
      <c r="F1035">
        <v>1032</v>
      </c>
      <c r="G1035">
        <f ca="1">_xlfn.NORM.INV(RAND(),$M$7,$M$8)</f>
        <v>-3.4754394548659244E-2</v>
      </c>
    </row>
    <row r="1036" spans="6:7" x14ac:dyDescent="0.25">
      <c r="F1036">
        <v>1033</v>
      </c>
      <c r="G1036">
        <f ca="1">_xlfn.NORM.INV(RAND(),$M$7,$M$8)</f>
        <v>3.6315585800875891E-2</v>
      </c>
    </row>
    <row r="1037" spans="6:7" x14ac:dyDescent="0.25">
      <c r="F1037">
        <v>1034</v>
      </c>
      <c r="G1037">
        <f ca="1">_xlfn.NORM.INV(RAND(),$M$7,$M$8)</f>
        <v>3.1510338777256189E-2</v>
      </c>
    </row>
    <row r="1038" spans="6:7" x14ac:dyDescent="0.25">
      <c r="F1038">
        <v>1035</v>
      </c>
      <c r="G1038">
        <f ca="1">_xlfn.NORM.INV(RAND(),$M$7,$M$8)</f>
        <v>-1.1612322976697731E-2</v>
      </c>
    </row>
    <row r="1039" spans="6:7" x14ac:dyDescent="0.25">
      <c r="F1039">
        <v>1036</v>
      </c>
      <c r="G1039">
        <f ca="1">_xlfn.NORM.INV(RAND(),$M$7,$M$8)</f>
        <v>-1.9039832628171268E-2</v>
      </c>
    </row>
    <row r="1040" spans="6:7" x14ac:dyDescent="0.25">
      <c r="F1040">
        <v>1037</v>
      </c>
      <c r="G1040">
        <f ca="1">_xlfn.NORM.INV(RAND(),$M$7,$M$8)</f>
        <v>-4.8551083128051484E-3</v>
      </c>
    </row>
    <row r="1041" spans="6:7" x14ac:dyDescent="0.25">
      <c r="F1041">
        <v>1038</v>
      </c>
      <c r="G1041">
        <f ca="1">_xlfn.NORM.INV(RAND(),$M$7,$M$8)</f>
        <v>8.9519773042880876E-3</v>
      </c>
    </row>
    <row r="1042" spans="6:7" x14ac:dyDescent="0.25">
      <c r="F1042">
        <v>1039</v>
      </c>
      <c r="G1042">
        <f ca="1">_xlfn.NORM.INV(RAND(),$M$7,$M$8)</f>
        <v>-3.3460007725129637E-2</v>
      </c>
    </row>
    <row r="1043" spans="6:7" x14ac:dyDescent="0.25">
      <c r="F1043">
        <v>1040</v>
      </c>
      <c r="G1043">
        <f ca="1">_xlfn.NORM.INV(RAND(),$M$7,$M$8)</f>
        <v>5.7473038872150987E-3</v>
      </c>
    </row>
    <row r="1044" spans="6:7" x14ac:dyDescent="0.25">
      <c r="F1044">
        <v>1041</v>
      </c>
      <c r="G1044">
        <f ca="1">_xlfn.NORM.INV(RAND(),$M$7,$M$8)</f>
        <v>-2.6023735332490104E-2</v>
      </c>
    </row>
    <row r="1045" spans="6:7" x14ac:dyDescent="0.25">
      <c r="F1045">
        <v>1042</v>
      </c>
      <c r="G1045">
        <f ca="1">_xlfn.NORM.INV(RAND(),$M$7,$M$8)</f>
        <v>3.0530911354053572E-2</v>
      </c>
    </row>
    <row r="1046" spans="6:7" x14ac:dyDescent="0.25">
      <c r="F1046">
        <v>1043</v>
      </c>
      <c r="G1046">
        <f ca="1">_xlfn.NORM.INV(RAND(),$M$7,$M$8)</f>
        <v>-1.1105019529178872E-2</v>
      </c>
    </row>
    <row r="1047" spans="6:7" x14ac:dyDescent="0.25">
      <c r="F1047">
        <v>1044</v>
      </c>
      <c r="G1047">
        <f ca="1">_xlfn.NORM.INV(RAND(),$M$7,$M$8)</f>
        <v>-4.2310516729380382E-3</v>
      </c>
    </row>
    <row r="1048" spans="6:7" x14ac:dyDescent="0.25">
      <c r="F1048">
        <v>1045</v>
      </c>
      <c r="G1048">
        <f ca="1">_xlfn.NORM.INV(RAND(),$M$7,$M$8)</f>
        <v>8.7571175077532232E-3</v>
      </c>
    </row>
    <row r="1049" spans="6:7" x14ac:dyDescent="0.25">
      <c r="F1049">
        <v>1046</v>
      </c>
      <c r="G1049">
        <f ca="1">_xlfn.NORM.INV(RAND(),$M$7,$M$8)</f>
        <v>1.2117819614541756E-2</v>
      </c>
    </row>
    <row r="1050" spans="6:7" x14ac:dyDescent="0.25">
      <c r="F1050">
        <v>1047</v>
      </c>
      <c r="G1050">
        <f ca="1">_xlfn.NORM.INV(RAND(),$M$7,$M$8)</f>
        <v>2.1207312030373932E-2</v>
      </c>
    </row>
    <row r="1051" spans="6:7" x14ac:dyDescent="0.25">
      <c r="F1051">
        <v>1048</v>
      </c>
      <c r="G1051">
        <f ca="1">_xlfn.NORM.INV(RAND(),$M$7,$M$8)</f>
        <v>-6.2535700582150994E-2</v>
      </c>
    </row>
    <row r="1052" spans="6:7" x14ac:dyDescent="0.25">
      <c r="F1052">
        <v>1049</v>
      </c>
      <c r="G1052">
        <f ca="1">_xlfn.NORM.INV(RAND(),$M$7,$M$8)</f>
        <v>4.9703429540768947E-3</v>
      </c>
    </row>
    <row r="1053" spans="6:7" x14ac:dyDescent="0.25">
      <c r="F1053">
        <v>1050</v>
      </c>
      <c r="G1053">
        <f ca="1">_xlfn.NORM.INV(RAND(),$M$7,$M$8)</f>
        <v>-1.0213516461612809E-3</v>
      </c>
    </row>
    <row r="1054" spans="6:7" x14ac:dyDescent="0.25">
      <c r="F1054">
        <v>1051</v>
      </c>
      <c r="G1054">
        <f ca="1">_xlfn.NORM.INV(RAND(),$M$7,$M$8)</f>
        <v>5.1109818245726156E-3</v>
      </c>
    </row>
    <row r="1055" spans="6:7" x14ac:dyDescent="0.25">
      <c r="F1055">
        <v>1052</v>
      </c>
      <c r="G1055">
        <f ca="1">_xlfn.NORM.INV(RAND(),$M$7,$M$8)</f>
        <v>-2.7980461075920501E-3</v>
      </c>
    </row>
    <row r="1056" spans="6:7" x14ac:dyDescent="0.25">
      <c r="F1056">
        <v>1053</v>
      </c>
      <c r="G1056">
        <f ca="1">_xlfn.NORM.INV(RAND(),$M$7,$M$8)</f>
        <v>-9.627045606772423E-3</v>
      </c>
    </row>
    <row r="1057" spans="6:7" x14ac:dyDescent="0.25">
      <c r="F1057">
        <v>1054</v>
      </c>
      <c r="G1057">
        <f ca="1">_xlfn.NORM.INV(RAND(),$M$7,$M$8)</f>
        <v>7.1783183332657669E-3</v>
      </c>
    </row>
    <row r="1058" spans="6:7" x14ac:dyDescent="0.25">
      <c r="F1058">
        <v>1055</v>
      </c>
      <c r="G1058">
        <f ca="1">_xlfn.NORM.INV(RAND(),$M$7,$M$8)</f>
        <v>1.8481987344969E-2</v>
      </c>
    </row>
    <row r="1059" spans="6:7" x14ac:dyDescent="0.25">
      <c r="F1059">
        <v>1056</v>
      </c>
      <c r="G1059">
        <f ca="1">_xlfn.NORM.INV(RAND(),$M$7,$M$8)</f>
        <v>-1.9151222491156808E-3</v>
      </c>
    </row>
    <row r="1060" spans="6:7" x14ac:dyDescent="0.25">
      <c r="F1060">
        <v>1057</v>
      </c>
      <c r="G1060">
        <f ca="1">_xlfn.NORM.INV(RAND(),$M$7,$M$8)</f>
        <v>-2.2648348360120078E-2</v>
      </c>
    </row>
    <row r="1061" spans="6:7" x14ac:dyDescent="0.25">
      <c r="F1061">
        <v>1058</v>
      </c>
      <c r="G1061">
        <f ca="1">_xlfn.NORM.INV(RAND(),$M$7,$M$8)</f>
        <v>-4.3054489492186394E-3</v>
      </c>
    </row>
    <row r="1062" spans="6:7" x14ac:dyDescent="0.25">
      <c r="F1062">
        <v>1059</v>
      </c>
      <c r="G1062">
        <f ca="1">_xlfn.NORM.INV(RAND(),$M$7,$M$8)</f>
        <v>-3.6411894338902275E-2</v>
      </c>
    </row>
    <row r="1063" spans="6:7" x14ac:dyDescent="0.25">
      <c r="F1063">
        <v>1060</v>
      </c>
      <c r="G1063">
        <f ca="1">_xlfn.NORM.INV(RAND(),$M$7,$M$8)</f>
        <v>5.8608793519538561E-3</v>
      </c>
    </row>
    <row r="1064" spans="6:7" x14ac:dyDescent="0.25">
      <c r="F1064">
        <v>1061</v>
      </c>
      <c r="G1064">
        <f ca="1">_xlfn.NORM.INV(RAND(),$M$7,$M$8)</f>
        <v>-2.5351834561845171E-3</v>
      </c>
    </row>
    <row r="1065" spans="6:7" x14ac:dyDescent="0.25">
      <c r="F1065">
        <v>1062</v>
      </c>
      <c r="G1065">
        <f ca="1">_xlfn.NORM.INV(RAND(),$M$7,$M$8)</f>
        <v>7.3017746415509864E-3</v>
      </c>
    </row>
    <row r="1066" spans="6:7" x14ac:dyDescent="0.25">
      <c r="F1066">
        <v>1063</v>
      </c>
      <c r="G1066">
        <f ca="1">_xlfn.NORM.INV(RAND(),$M$7,$M$8)</f>
        <v>1.9104265597769322E-2</v>
      </c>
    </row>
    <row r="1067" spans="6:7" x14ac:dyDescent="0.25">
      <c r="F1067">
        <v>1064</v>
      </c>
      <c r="G1067">
        <f ca="1">_xlfn.NORM.INV(RAND(),$M$7,$M$8)</f>
        <v>2.3207668479768729E-3</v>
      </c>
    </row>
    <row r="1068" spans="6:7" x14ac:dyDescent="0.25">
      <c r="F1068">
        <v>1065</v>
      </c>
      <c r="G1068">
        <f ca="1">_xlfn.NORM.INV(RAND(),$M$7,$M$8)</f>
        <v>-3.1757750683482924E-2</v>
      </c>
    </row>
    <row r="1069" spans="6:7" x14ac:dyDescent="0.25">
      <c r="F1069">
        <v>1066</v>
      </c>
      <c r="G1069">
        <f ca="1">_xlfn.NORM.INV(RAND(),$M$7,$M$8)</f>
        <v>9.5555205398991875E-3</v>
      </c>
    </row>
    <row r="1070" spans="6:7" x14ac:dyDescent="0.25">
      <c r="F1070">
        <v>1067</v>
      </c>
      <c r="G1070">
        <f ca="1">_xlfn.NORM.INV(RAND(),$M$7,$M$8)</f>
        <v>-1.0304849727966177E-2</v>
      </c>
    </row>
    <row r="1071" spans="6:7" x14ac:dyDescent="0.25">
      <c r="F1071">
        <v>1068</v>
      </c>
      <c r="G1071">
        <f ca="1">_xlfn.NORM.INV(RAND(),$M$7,$M$8)</f>
        <v>2.3958436693346921E-2</v>
      </c>
    </row>
    <row r="1072" spans="6:7" x14ac:dyDescent="0.25">
      <c r="F1072">
        <v>1069</v>
      </c>
      <c r="G1072">
        <f ca="1">_xlfn.NORM.INV(RAND(),$M$7,$M$8)</f>
        <v>-9.7156283787465467E-3</v>
      </c>
    </row>
    <row r="1073" spans="6:7" x14ac:dyDescent="0.25">
      <c r="F1073">
        <v>1070</v>
      </c>
      <c r="G1073">
        <f ca="1">_xlfn.NORM.INV(RAND(),$M$7,$M$8)</f>
        <v>-2.713660064860205E-3</v>
      </c>
    </row>
    <row r="1074" spans="6:7" x14ac:dyDescent="0.25">
      <c r="F1074">
        <v>1071</v>
      </c>
      <c r="G1074">
        <f ca="1">_xlfn.NORM.INV(RAND(),$M$7,$M$8)</f>
        <v>-1.2168531108762978E-2</v>
      </c>
    </row>
    <row r="1075" spans="6:7" x14ac:dyDescent="0.25">
      <c r="F1075">
        <v>1072</v>
      </c>
      <c r="G1075">
        <f ca="1">_xlfn.NORM.INV(RAND(),$M$7,$M$8)</f>
        <v>8.2529418963525579E-3</v>
      </c>
    </row>
    <row r="1076" spans="6:7" x14ac:dyDescent="0.25">
      <c r="F1076">
        <v>1073</v>
      </c>
      <c r="G1076">
        <f ca="1">_xlfn.NORM.INV(RAND(),$M$7,$M$8)</f>
        <v>1.716462137120061E-2</v>
      </c>
    </row>
    <row r="1077" spans="6:7" x14ac:dyDescent="0.25">
      <c r="F1077">
        <v>1074</v>
      </c>
      <c r="G1077">
        <f ca="1">_xlfn.NORM.INV(RAND(),$M$7,$M$8)</f>
        <v>2.224491050967391E-2</v>
      </c>
    </row>
    <row r="1078" spans="6:7" x14ac:dyDescent="0.25">
      <c r="F1078">
        <v>1075</v>
      </c>
      <c r="G1078">
        <f ca="1">_xlfn.NORM.INV(RAND(),$M$7,$M$8)</f>
        <v>-1.8914192043002691E-2</v>
      </c>
    </row>
    <row r="1079" spans="6:7" x14ac:dyDescent="0.25">
      <c r="F1079">
        <v>1076</v>
      </c>
      <c r="G1079">
        <f ca="1">_xlfn.NORM.INV(RAND(),$M$7,$M$8)</f>
        <v>-1.9623398592675187E-2</v>
      </c>
    </row>
    <row r="1080" spans="6:7" x14ac:dyDescent="0.25">
      <c r="F1080">
        <v>1077</v>
      </c>
      <c r="G1080">
        <f ca="1">_xlfn.NORM.INV(RAND(),$M$7,$M$8)</f>
        <v>-3.3843962681928443E-2</v>
      </c>
    </row>
    <row r="1081" spans="6:7" x14ac:dyDescent="0.25">
      <c r="F1081">
        <v>1078</v>
      </c>
      <c r="G1081">
        <f ca="1">_xlfn.NORM.INV(RAND(),$M$7,$M$8)</f>
        <v>2.2716451663021567E-2</v>
      </c>
    </row>
    <row r="1082" spans="6:7" x14ac:dyDescent="0.25">
      <c r="F1082">
        <v>1079</v>
      </c>
      <c r="G1082">
        <f ca="1">_xlfn.NORM.INV(RAND(),$M$7,$M$8)</f>
        <v>3.5568573324509627E-2</v>
      </c>
    </row>
    <row r="1083" spans="6:7" x14ac:dyDescent="0.25">
      <c r="F1083">
        <v>1080</v>
      </c>
      <c r="G1083">
        <f ca="1">_xlfn.NORM.INV(RAND(),$M$7,$M$8)</f>
        <v>6.2394717546930493E-3</v>
      </c>
    </row>
    <row r="1084" spans="6:7" x14ac:dyDescent="0.25">
      <c r="F1084">
        <v>1081</v>
      </c>
      <c r="G1084">
        <f ca="1">_xlfn.NORM.INV(RAND(),$M$7,$M$8)</f>
        <v>-1.3183931235334873E-2</v>
      </c>
    </row>
    <row r="1085" spans="6:7" x14ac:dyDescent="0.25">
      <c r="F1085">
        <v>1082</v>
      </c>
      <c r="G1085">
        <f ca="1">_xlfn.NORM.INV(RAND(),$M$7,$M$8)</f>
        <v>-2.5492930688272106E-2</v>
      </c>
    </row>
    <row r="1086" spans="6:7" x14ac:dyDescent="0.25">
      <c r="F1086">
        <v>1083</v>
      </c>
      <c r="G1086">
        <f ca="1">_xlfn.NORM.INV(RAND(),$M$7,$M$8)</f>
        <v>-1.260689537075071E-2</v>
      </c>
    </row>
    <row r="1087" spans="6:7" x14ac:dyDescent="0.25">
      <c r="F1087">
        <v>1084</v>
      </c>
      <c r="G1087">
        <f ca="1">_xlfn.NORM.INV(RAND(),$M$7,$M$8)</f>
        <v>1.7653907332392277E-2</v>
      </c>
    </row>
    <row r="1088" spans="6:7" x14ac:dyDescent="0.25">
      <c r="F1088">
        <v>1085</v>
      </c>
      <c r="G1088">
        <f ca="1">_xlfn.NORM.INV(RAND(),$M$7,$M$8)</f>
        <v>1.4282227739076064E-2</v>
      </c>
    </row>
    <row r="1089" spans="6:7" x14ac:dyDescent="0.25">
      <c r="F1089">
        <v>1086</v>
      </c>
      <c r="G1089">
        <f ca="1">_xlfn.NORM.INV(RAND(),$M$7,$M$8)</f>
        <v>2.1624213736831429E-3</v>
      </c>
    </row>
    <row r="1090" spans="6:7" x14ac:dyDescent="0.25">
      <c r="F1090">
        <v>1087</v>
      </c>
      <c r="G1090">
        <f ca="1">_xlfn.NORM.INV(RAND(),$M$7,$M$8)</f>
        <v>1.4572359004239272E-2</v>
      </c>
    </row>
    <row r="1091" spans="6:7" x14ac:dyDescent="0.25">
      <c r="F1091">
        <v>1088</v>
      </c>
      <c r="G1091">
        <f ca="1">_xlfn.NORM.INV(RAND(),$M$7,$M$8)</f>
        <v>-2.0546268952457886E-2</v>
      </c>
    </row>
    <row r="1092" spans="6:7" x14ac:dyDescent="0.25">
      <c r="F1092">
        <v>1089</v>
      </c>
      <c r="G1092">
        <f ca="1">_xlfn.NORM.INV(RAND(),$M$7,$M$8)</f>
        <v>-5.7031719337178315E-2</v>
      </c>
    </row>
    <row r="1093" spans="6:7" x14ac:dyDescent="0.25">
      <c r="F1093">
        <v>1090</v>
      </c>
      <c r="G1093">
        <f ca="1">_xlfn.NORM.INV(RAND(),$M$7,$M$8)</f>
        <v>-9.6847737094043346E-3</v>
      </c>
    </row>
    <row r="1094" spans="6:7" x14ac:dyDescent="0.25">
      <c r="F1094">
        <v>1091</v>
      </c>
      <c r="G1094">
        <f ca="1">_xlfn.NORM.INV(RAND(),$M$7,$M$8)</f>
        <v>-2.0925870358843066E-2</v>
      </c>
    </row>
    <row r="1095" spans="6:7" x14ac:dyDescent="0.25">
      <c r="F1095">
        <v>1092</v>
      </c>
      <c r="G1095">
        <f ca="1">_xlfn.NORM.INV(RAND(),$M$7,$M$8)</f>
        <v>4.2617350889885219E-2</v>
      </c>
    </row>
    <row r="1096" spans="6:7" x14ac:dyDescent="0.25">
      <c r="F1096">
        <v>1093</v>
      </c>
      <c r="G1096">
        <f ca="1">_xlfn.NORM.INV(RAND(),$M$7,$M$8)</f>
        <v>2.25223343679624E-3</v>
      </c>
    </row>
    <row r="1097" spans="6:7" x14ac:dyDescent="0.25">
      <c r="F1097">
        <v>1094</v>
      </c>
      <c r="G1097">
        <f ca="1">_xlfn.NORM.INV(RAND(),$M$7,$M$8)</f>
        <v>-1.0210367477746746E-2</v>
      </c>
    </row>
    <row r="1098" spans="6:7" x14ac:dyDescent="0.25">
      <c r="F1098">
        <v>1095</v>
      </c>
      <c r="G1098">
        <f ca="1">_xlfn.NORM.INV(RAND(),$M$7,$M$8)</f>
        <v>1.8570599997663906E-2</v>
      </c>
    </row>
    <row r="1099" spans="6:7" x14ac:dyDescent="0.25">
      <c r="F1099">
        <v>1096</v>
      </c>
      <c r="G1099">
        <f ca="1">_xlfn.NORM.INV(RAND(),$M$7,$M$8)</f>
        <v>6.2711665580760714E-3</v>
      </c>
    </row>
    <row r="1100" spans="6:7" x14ac:dyDescent="0.25">
      <c r="F1100">
        <v>1097</v>
      </c>
      <c r="G1100">
        <f ca="1">_xlfn.NORM.INV(RAND(),$M$7,$M$8)</f>
        <v>-2.4322346219180255E-2</v>
      </c>
    </row>
    <row r="1101" spans="6:7" x14ac:dyDescent="0.25">
      <c r="F1101">
        <v>1098</v>
      </c>
      <c r="G1101">
        <f ca="1">_xlfn.NORM.INV(RAND(),$M$7,$M$8)</f>
        <v>1.302559997287854E-2</v>
      </c>
    </row>
    <row r="1102" spans="6:7" x14ac:dyDescent="0.25">
      <c r="F1102">
        <v>1099</v>
      </c>
      <c r="G1102">
        <f ca="1">_xlfn.NORM.INV(RAND(),$M$7,$M$8)</f>
        <v>-8.0300076480859257E-3</v>
      </c>
    </row>
    <row r="1103" spans="6:7" x14ac:dyDescent="0.25">
      <c r="F1103">
        <v>1100</v>
      </c>
      <c r="G1103">
        <f ca="1">_xlfn.NORM.INV(RAND(),$M$7,$M$8)</f>
        <v>1.0068824720823677E-3</v>
      </c>
    </row>
    <row r="1104" spans="6:7" x14ac:dyDescent="0.25">
      <c r="F1104">
        <v>1101</v>
      </c>
      <c r="G1104">
        <f ca="1">_xlfn.NORM.INV(RAND(),$M$7,$M$8)</f>
        <v>-6.8934031046440341E-3</v>
      </c>
    </row>
    <row r="1105" spans="6:7" x14ac:dyDescent="0.25">
      <c r="F1105">
        <v>1102</v>
      </c>
      <c r="G1105">
        <f ca="1">_xlfn.NORM.INV(RAND(),$M$7,$M$8)</f>
        <v>1.4218348220605219E-2</v>
      </c>
    </row>
    <row r="1106" spans="6:7" x14ac:dyDescent="0.25">
      <c r="F1106">
        <v>1103</v>
      </c>
      <c r="G1106">
        <f ca="1">_xlfn.NORM.INV(RAND(),$M$7,$M$8)</f>
        <v>5.9438973384098835E-3</v>
      </c>
    </row>
    <row r="1107" spans="6:7" x14ac:dyDescent="0.25">
      <c r="F1107">
        <v>1104</v>
      </c>
      <c r="G1107">
        <f ca="1">_xlfn.NORM.INV(RAND(),$M$7,$M$8)</f>
        <v>1.9373223827405493E-2</v>
      </c>
    </row>
    <row r="1108" spans="6:7" x14ac:dyDescent="0.25">
      <c r="F1108">
        <v>1105</v>
      </c>
      <c r="G1108">
        <f ca="1">_xlfn.NORM.INV(RAND(),$M$7,$M$8)</f>
        <v>2.5189340304395319E-2</v>
      </c>
    </row>
    <row r="1109" spans="6:7" x14ac:dyDescent="0.25">
      <c r="F1109">
        <v>1106</v>
      </c>
      <c r="G1109">
        <f ca="1">_xlfn.NORM.INV(RAND(),$M$7,$M$8)</f>
        <v>2.2628735902934322E-2</v>
      </c>
    </row>
    <row r="1110" spans="6:7" x14ac:dyDescent="0.25">
      <c r="F1110">
        <v>1107</v>
      </c>
      <c r="G1110">
        <f ca="1">_xlfn.NORM.INV(RAND(),$M$7,$M$8)</f>
        <v>-3.1351560428061781E-2</v>
      </c>
    </row>
    <row r="1111" spans="6:7" x14ac:dyDescent="0.25">
      <c r="F1111">
        <v>1108</v>
      </c>
      <c r="G1111">
        <f ca="1">_xlfn.NORM.INV(RAND(),$M$7,$M$8)</f>
        <v>3.4366639702434587E-2</v>
      </c>
    </row>
    <row r="1112" spans="6:7" x14ac:dyDescent="0.25">
      <c r="F1112">
        <v>1109</v>
      </c>
      <c r="G1112">
        <f ca="1">_xlfn.NORM.INV(RAND(),$M$7,$M$8)</f>
        <v>1.5104195423234979E-2</v>
      </c>
    </row>
    <row r="1113" spans="6:7" x14ac:dyDescent="0.25">
      <c r="F1113">
        <v>1110</v>
      </c>
      <c r="G1113">
        <f ca="1">_xlfn.NORM.INV(RAND(),$M$7,$M$8)</f>
        <v>1.4401135779919368E-2</v>
      </c>
    </row>
    <row r="1114" spans="6:7" x14ac:dyDescent="0.25">
      <c r="F1114">
        <v>1111</v>
      </c>
      <c r="G1114">
        <f ca="1">_xlfn.NORM.INV(RAND(),$M$7,$M$8)</f>
        <v>-1.2098066962627772E-2</v>
      </c>
    </row>
    <row r="1115" spans="6:7" x14ac:dyDescent="0.25">
      <c r="F1115">
        <v>1112</v>
      </c>
      <c r="G1115">
        <f ca="1">_xlfn.NORM.INV(RAND(),$M$7,$M$8)</f>
        <v>1.8531457781346967E-2</v>
      </c>
    </row>
    <row r="1116" spans="6:7" x14ac:dyDescent="0.25">
      <c r="F1116">
        <v>1113</v>
      </c>
      <c r="G1116">
        <f ca="1">_xlfn.NORM.INV(RAND(),$M$7,$M$8)</f>
        <v>7.4621400273620301E-3</v>
      </c>
    </row>
    <row r="1117" spans="6:7" x14ac:dyDescent="0.25">
      <c r="F1117">
        <v>1114</v>
      </c>
      <c r="G1117">
        <f ca="1">_xlfn.NORM.INV(RAND(),$M$7,$M$8)</f>
        <v>2.1080645526961324E-2</v>
      </c>
    </row>
    <row r="1118" spans="6:7" x14ac:dyDescent="0.25">
      <c r="F1118">
        <v>1115</v>
      </c>
      <c r="G1118">
        <f ca="1">_xlfn.NORM.INV(RAND(),$M$7,$M$8)</f>
        <v>8.261696991279344E-3</v>
      </c>
    </row>
    <row r="1119" spans="6:7" x14ac:dyDescent="0.25">
      <c r="F1119">
        <v>1116</v>
      </c>
      <c r="G1119">
        <f ca="1">_xlfn.NORM.INV(RAND(),$M$7,$M$8)</f>
        <v>3.3889263542271196E-2</v>
      </c>
    </row>
    <row r="1120" spans="6:7" x14ac:dyDescent="0.25">
      <c r="F1120">
        <v>1117</v>
      </c>
      <c r="G1120">
        <f ca="1">_xlfn.NORM.INV(RAND(),$M$7,$M$8)</f>
        <v>3.1636485737875017E-2</v>
      </c>
    </row>
    <row r="1121" spans="6:7" x14ac:dyDescent="0.25">
      <c r="F1121">
        <v>1118</v>
      </c>
      <c r="G1121">
        <f ca="1">_xlfn.NORM.INV(RAND(),$M$7,$M$8)</f>
        <v>2.9867627518275253E-2</v>
      </c>
    </row>
    <row r="1122" spans="6:7" x14ac:dyDescent="0.25">
      <c r="F1122">
        <v>1119</v>
      </c>
      <c r="G1122">
        <f ca="1">_xlfn.NORM.INV(RAND(),$M$7,$M$8)</f>
        <v>3.9040203097393755E-2</v>
      </c>
    </row>
    <row r="1123" spans="6:7" x14ac:dyDescent="0.25">
      <c r="F1123">
        <v>1120</v>
      </c>
      <c r="G1123">
        <f ca="1">_xlfn.NORM.INV(RAND(),$M$7,$M$8)</f>
        <v>4.1206845466706249E-3</v>
      </c>
    </row>
    <row r="1124" spans="6:7" x14ac:dyDescent="0.25">
      <c r="F1124">
        <v>1121</v>
      </c>
      <c r="G1124">
        <f ca="1">_xlfn.NORM.INV(RAND(),$M$7,$M$8)</f>
        <v>-3.3426445609059829E-2</v>
      </c>
    </row>
    <row r="1125" spans="6:7" x14ac:dyDescent="0.25">
      <c r="F1125">
        <v>1122</v>
      </c>
      <c r="G1125">
        <f ca="1">_xlfn.NORM.INV(RAND(),$M$7,$M$8)</f>
        <v>3.7835416711077624E-2</v>
      </c>
    </row>
    <row r="1126" spans="6:7" x14ac:dyDescent="0.25">
      <c r="F1126">
        <v>1123</v>
      </c>
      <c r="G1126">
        <f ca="1">_xlfn.NORM.INV(RAND(),$M$7,$M$8)</f>
        <v>1.6089528487310918E-3</v>
      </c>
    </row>
    <row r="1127" spans="6:7" x14ac:dyDescent="0.25">
      <c r="F1127">
        <v>1124</v>
      </c>
      <c r="G1127">
        <f ca="1">_xlfn.NORM.INV(RAND(),$M$7,$M$8)</f>
        <v>-7.7808036832904687E-3</v>
      </c>
    </row>
    <row r="1128" spans="6:7" x14ac:dyDescent="0.25">
      <c r="F1128">
        <v>1125</v>
      </c>
      <c r="G1128">
        <f ca="1">_xlfn.NORM.INV(RAND(),$M$7,$M$8)</f>
        <v>8.0966506965818082E-3</v>
      </c>
    </row>
    <row r="1129" spans="6:7" x14ac:dyDescent="0.25">
      <c r="F1129">
        <v>1126</v>
      </c>
      <c r="G1129">
        <f ca="1">_xlfn.NORM.INV(RAND(),$M$7,$M$8)</f>
        <v>5.6609965001003532E-3</v>
      </c>
    </row>
    <row r="1130" spans="6:7" x14ac:dyDescent="0.25">
      <c r="F1130">
        <v>1127</v>
      </c>
      <c r="G1130">
        <f ca="1">_xlfn.NORM.INV(RAND(),$M$7,$M$8)</f>
        <v>3.0369114839761634E-2</v>
      </c>
    </row>
    <row r="1131" spans="6:7" x14ac:dyDescent="0.25">
      <c r="F1131">
        <v>1128</v>
      </c>
      <c r="G1131">
        <f ca="1">_xlfn.NORM.INV(RAND(),$M$7,$M$8)</f>
        <v>-1.3511554001434561E-2</v>
      </c>
    </row>
    <row r="1132" spans="6:7" x14ac:dyDescent="0.25">
      <c r="F1132">
        <v>1129</v>
      </c>
      <c r="G1132">
        <f ca="1">_xlfn.NORM.INV(RAND(),$M$7,$M$8)</f>
        <v>4.6896612341752464E-2</v>
      </c>
    </row>
    <row r="1133" spans="6:7" x14ac:dyDescent="0.25">
      <c r="F1133">
        <v>1130</v>
      </c>
      <c r="G1133">
        <f ca="1">_xlfn.NORM.INV(RAND(),$M$7,$M$8)</f>
        <v>-1.4790571044213548E-2</v>
      </c>
    </row>
    <row r="1134" spans="6:7" x14ac:dyDescent="0.25">
      <c r="F1134">
        <v>1131</v>
      </c>
      <c r="G1134">
        <f ca="1">_xlfn.NORM.INV(RAND(),$M$7,$M$8)</f>
        <v>3.673924721975054E-2</v>
      </c>
    </row>
    <row r="1135" spans="6:7" x14ac:dyDescent="0.25">
      <c r="F1135">
        <v>1132</v>
      </c>
      <c r="G1135">
        <f ca="1">_xlfn.NORM.INV(RAND(),$M$7,$M$8)</f>
        <v>-5.1238361671760671E-2</v>
      </c>
    </row>
    <row r="1136" spans="6:7" x14ac:dyDescent="0.25">
      <c r="F1136">
        <v>1133</v>
      </c>
      <c r="G1136">
        <f ca="1">_xlfn.NORM.INV(RAND(),$M$7,$M$8)</f>
        <v>4.8506351437593923E-3</v>
      </c>
    </row>
    <row r="1137" spans="6:7" x14ac:dyDescent="0.25">
      <c r="F1137">
        <v>1134</v>
      </c>
      <c r="G1137">
        <f ca="1">_xlfn.NORM.INV(RAND(),$M$7,$M$8)</f>
        <v>-9.7593526833011576E-3</v>
      </c>
    </row>
    <row r="1138" spans="6:7" x14ac:dyDescent="0.25">
      <c r="F1138">
        <v>1135</v>
      </c>
      <c r="G1138">
        <f ca="1">_xlfn.NORM.INV(RAND(),$M$7,$M$8)</f>
        <v>2.5091316266885304E-3</v>
      </c>
    </row>
    <row r="1139" spans="6:7" x14ac:dyDescent="0.25">
      <c r="F1139">
        <v>1136</v>
      </c>
      <c r="G1139">
        <f ca="1">_xlfn.NORM.INV(RAND(),$M$7,$M$8)</f>
        <v>-3.4368728593250956E-2</v>
      </c>
    </row>
    <row r="1140" spans="6:7" x14ac:dyDescent="0.25">
      <c r="F1140">
        <v>1137</v>
      </c>
      <c r="G1140">
        <f ca="1">_xlfn.NORM.INV(RAND(),$M$7,$M$8)</f>
        <v>4.6929912367420319E-3</v>
      </c>
    </row>
    <row r="1141" spans="6:7" x14ac:dyDescent="0.25">
      <c r="F1141">
        <v>1138</v>
      </c>
      <c r="G1141">
        <f ca="1">_xlfn.NORM.INV(RAND(),$M$7,$M$8)</f>
        <v>1.7065908159662121E-2</v>
      </c>
    </row>
    <row r="1142" spans="6:7" x14ac:dyDescent="0.25">
      <c r="F1142">
        <v>1139</v>
      </c>
      <c r="G1142">
        <f ca="1">_xlfn.NORM.INV(RAND(),$M$7,$M$8)</f>
        <v>-4.1715329680140321E-3</v>
      </c>
    </row>
    <row r="1143" spans="6:7" x14ac:dyDescent="0.25">
      <c r="F1143">
        <v>1140</v>
      </c>
      <c r="G1143">
        <f ca="1">_xlfn.NORM.INV(RAND(),$M$7,$M$8)</f>
        <v>-1.3942048677934405E-2</v>
      </c>
    </row>
    <row r="1144" spans="6:7" x14ac:dyDescent="0.25">
      <c r="F1144">
        <v>1141</v>
      </c>
      <c r="G1144">
        <f ca="1">_xlfn.NORM.INV(RAND(),$M$7,$M$8)</f>
        <v>1.6067492335932375E-2</v>
      </c>
    </row>
    <row r="1145" spans="6:7" x14ac:dyDescent="0.25">
      <c r="F1145">
        <v>1142</v>
      </c>
      <c r="G1145">
        <f ca="1">_xlfn.NORM.INV(RAND(),$M$7,$M$8)</f>
        <v>-5.0315567630824978E-3</v>
      </c>
    </row>
    <row r="1146" spans="6:7" x14ac:dyDescent="0.25">
      <c r="F1146">
        <v>1143</v>
      </c>
      <c r="G1146">
        <f ca="1">_xlfn.NORM.INV(RAND(),$M$7,$M$8)</f>
        <v>-5.9379379261128035E-3</v>
      </c>
    </row>
    <row r="1147" spans="6:7" x14ac:dyDescent="0.25">
      <c r="F1147">
        <v>1144</v>
      </c>
      <c r="G1147">
        <f ca="1">_xlfn.NORM.INV(RAND(),$M$7,$M$8)</f>
        <v>1.3670924886726051E-3</v>
      </c>
    </row>
    <row r="1148" spans="6:7" x14ac:dyDescent="0.25">
      <c r="F1148">
        <v>1145</v>
      </c>
      <c r="G1148">
        <f ca="1">_xlfn.NORM.INV(RAND(),$M$7,$M$8)</f>
        <v>1.1104864848911987E-2</v>
      </c>
    </row>
    <row r="1149" spans="6:7" x14ac:dyDescent="0.25">
      <c r="F1149">
        <v>1146</v>
      </c>
      <c r="G1149">
        <f ca="1">_xlfn.NORM.INV(RAND(),$M$7,$M$8)</f>
        <v>5.1307089143271013E-2</v>
      </c>
    </row>
    <row r="1150" spans="6:7" x14ac:dyDescent="0.25">
      <c r="F1150">
        <v>1147</v>
      </c>
      <c r="G1150">
        <f ca="1">_xlfn.NORM.INV(RAND(),$M$7,$M$8)</f>
        <v>-1.6052425384951798E-2</v>
      </c>
    </row>
    <row r="1151" spans="6:7" x14ac:dyDescent="0.25">
      <c r="F1151">
        <v>1148</v>
      </c>
      <c r="G1151">
        <f ca="1">_xlfn.NORM.INV(RAND(),$M$7,$M$8)</f>
        <v>4.6636938215954535E-2</v>
      </c>
    </row>
    <row r="1152" spans="6:7" x14ac:dyDescent="0.25">
      <c r="F1152">
        <v>1149</v>
      </c>
      <c r="G1152">
        <f ca="1">_xlfn.NORM.INV(RAND(),$M$7,$M$8)</f>
        <v>-7.3602034771792189E-3</v>
      </c>
    </row>
    <row r="1153" spans="6:7" x14ac:dyDescent="0.25">
      <c r="F1153">
        <v>1150</v>
      </c>
      <c r="G1153">
        <f ca="1">_xlfn.NORM.INV(RAND(),$M$7,$M$8)</f>
        <v>5.2977403508678838E-3</v>
      </c>
    </row>
    <row r="1154" spans="6:7" x14ac:dyDescent="0.25">
      <c r="F1154">
        <v>1151</v>
      </c>
      <c r="G1154">
        <f ca="1">_xlfn.NORM.INV(RAND(),$M$7,$M$8)</f>
        <v>-2.0184079506784743E-2</v>
      </c>
    </row>
    <row r="1155" spans="6:7" x14ac:dyDescent="0.25">
      <c r="F1155">
        <v>1152</v>
      </c>
      <c r="G1155">
        <f ca="1">_xlfn.NORM.INV(RAND(),$M$7,$M$8)</f>
        <v>-2.3090416763689333E-2</v>
      </c>
    </row>
    <row r="1156" spans="6:7" x14ac:dyDescent="0.25">
      <c r="F1156">
        <v>1153</v>
      </c>
      <c r="G1156">
        <f ca="1">_xlfn.NORM.INV(RAND(),$M$7,$M$8)</f>
        <v>-2.3370808767614829E-2</v>
      </c>
    </row>
    <row r="1157" spans="6:7" x14ac:dyDescent="0.25">
      <c r="F1157">
        <v>1154</v>
      </c>
      <c r="G1157">
        <f ca="1">_xlfn.NORM.INV(RAND(),$M$7,$M$8)</f>
        <v>-1.5361986859183697E-2</v>
      </c>
    </row>
    <row r="1158" spans="6:7" x14ac:dyDescent="0.25">
      <c r="F1158">
        <v>1155</v>
      </c>
      <c r="G1158">
        <f ca="1">_xlfn.NORM.INV(RAND(),$M$7,$M$8)</f>
        <v>-2.1011002553772747E-3</v>
      </c>
    </row>
    <row r="1159" spans="6:7" x14ac:dyDescent="0.25">
      <c r="F1159">
        <v>1156</v>
      </c>
      <c r="G1159">
        <f ca="1">_xlfn.NORM.INV(RAND(),$M$7,$M$8)</f>
        <v>-2.3193830040276316E-2</v>
      </c>
    </row>
    <row r="1160" spans="6:7" x14ac:dyDescent="0.25">
      <c r="F1160">
        <v>1157</v>
      </c>
      <c r="G1160">
        <f ca="1">_xlfn.NORM.INV(RAND(),$M$7,$M$8)</f>
        <v>6.2634894407547589E-2</v>
      </c>
    </row>
    <row r="1161" spans="6:7" x14ac:dyDescent="0.25">
      <c r="F1161">
        <v>1158</v>
      </c>
      <c r="G1161">
        <f ca="1">_xlfn.NORM.INV(RAND(),$M$7,$M$8)</f>
        <v>-1.5554821928503246E-3</v>
      </c>
    </row>
    <row r="1162" spans="6:7" x14ac:dyDescent="0.25">
      <c r="F1162">
        <v>1159</v>
      </c>
      <c r="G1162">
        <f ca="1">_xlfn.NORM.INV(RAND(),$M$7,$M$8)</f>
        <v>-3.1295874390636351E-2</v>
      </c>
    </row>
    <row r="1163" spans="6:7" x14ac:dyDescent="0.25">
      <c r="F1163">
        <v>1160</v>
      </c>
      <c r="G1163">
        <f ca="1">_xlfn.NORM.INV(RAND(),$M$7,$M$8)</f>
        <v>6.0308246406895194E-3</v>
      </c>
    </row>
    <row r="1164" spans="6:7" x14ac:dyDescent="0.25">
      <c r="F1164">
        <v>1161</v>
      </c>
      <c r="G1164">
        <f ca="1">_xlfn.NORM.INV(RAND(),$M$7,$M$8)</f>
        <v>-1.5778812234472597E-2</v>
      </c>
    </row>
    <row r="1165" spans="6:7" x14ac:dyDescent="0.25">
      <c r="F1165">
        <v>1162</v>
      </c>
      <c r="G1165">
        <f ca="1">_xlfn.NORM.INV(RAND(),$M$7,$M$8)</f>
        <v>-3.6646092599925402E-3</v>
      </c>
    </row>
    <row r="1166" spans="6:7" x14ac:dyDescent="0.25">
      <c r="F1166">
        <v>1163</v>
      </c>
      <c r="G1166">
        <f ca="1">_xlfn.NORM.INV(RAND(),$M$7,$M$8)</f>
        <v>7.9262774373125053E-2</v>
      </c>
    </row>
    <row r="1167" spans="6:7" x14ac:dyDescent="0.25">
      <c r="F1167">
        <v>1164</v>
      </c>
      <c r="G1167">
        <f ca="1">_xlfn.NORM.INV(RAND(),$M$7,$M$8)</f>
        <v>1.6363505904681597E-2</v>
      </c>
    </row>
    <row r="1168" spans="6:7" x14ac:dyDescent="0.25">
      <c r="F1168">
        <v>1165</v>
      </c>
      <c r="G1168">
        <f ca="1">_xlfn.NORM.INV(RAND(),$M$7,$M$8)</f>
        <v>1.4016342917473838E-2</v>
      </c>
    </row>
    <row r="1169" spans="6:7" x14ac:dyDescent="0.25">
      <c r="F1169">
        <v>1166</v>
      </c>
      <c r="G1169">
        <f ca="1">_xlfn.NORM.INV(RAND(),$M$7,$M$8)</f>
        <v>1.5671245705654743E-2</v>
      </c>
    </row>
    <row r="1170" spans="6:7" x14ac:dyDescent="0.25">
      <c r="F1170">
        <v>1167</v>
      </c>
      <c r="G1170">
        <f ca="1">_xlfn.NORM.INV(RAND(),$M$7,$M$8)</f>
        <v>-9.6504290022069467E-3</v>
      </c>
    </row>
    <row r="1171" spans="6:7" x14ac:dyDescent="0.25">
      <c r="F1171">
        <v>1168</v>
      </c>
      <c r="G1171">
        <f ca="1">_xlfn.NORM.INV(RAND(),$M$7,$M$8)</f>
        <v>-2.355769002083884E-2</v>
      </c>
    </row>
    <row r="1172" spans="6:7" x14ac:dyDescent="0.25">
      <c r="F1172">
        <v>1169</v>
      </c>
      <c r="G1172">
        <f ca="1">_xlfn.NORM.INV(RAND(),$M$7,$M$8)</f>
        <v>1.537714000596355E-2</v>
      </c>
    </row>
    <row r="1173" spans="6:7" x14ac:dyDescent="0.25">
      <c r="F1173">
        <v>1170</v>
      </c>
      <c r="G1173">
        <f ca="1">_xlfn.NORM.INV(RAND(),$M$7,$M$8)</f>
        <v>-1.9869270210694984E-2</v>
      </c>
    </row>
    <row r="1174" spans="6:7" x14ac:dyDescent="0.25">
      <c r="F1174">
        <v>1171</v>
      </c>
      <c r="G1174">
        <f ca="1">_xlfn.NORM.INV(RAND(),$M$7,$M$8)</f>
        <v>4.6950320060021852E-2</v>
      </c>
    </row>
    <row r="1175" spans="6:7" x14ac:dyDescent="0.25">
      <c r="F1175">
        <v>1172</v>
      </c>
      <c r="G1175">
        <f ca="1">_xlfn.NORM.INV(RAND(),$M$7,$M$8)</f>
        <v>2.9339602031135417E-2</v>
      </c>
    </row>
    <row r="1176" spans="6:7" x14ac:dyDescent="0.25">
      <c r="F1176">
        <v>1173</v>
      </c>
      <c r="G1176">
        <f ca="1">_xlfn.NORM.INV(RAND(),$M$7,$M$8)</f>
        <v>-3.7762781787733804E-2</v>
      </c>
    </row>
    <row r="1177" spans="6:7" x14ac:dyDescent="0.25">
      <c r="F1177">
        <v>1174</v>
      </c>
      <c r="G1177">
        <f ca="1">_xlfn.NORM.INV(RAND(),$M$7,$M$8)</f>
        <v>4.4640971123399056E-2</v>
      </c>
    </row>
    <row r="1178" spans="6:7" x14ac:dyDescent="0.25">
      <c r="F1178">
        <v>1175</v>
      </c>
      <c r="G1178">
        <f ca="1">_xlfn.NORM.INV(RAND(),$M$7,$M$8)</f>
        <v>-3.7315237116120364E-2</v>
      </c>
    </row>
    <row r="1179" spans="6:7" x14ac:dyDescent="0.25">
      <c r="F1179">
        <v>1176</v>
      </c>
      <c r="G1179">
        <f ca="1">_xlfn.NORM.INV(RAND(),$M$7,$M$8)</f>
        <v>1.9492626621279756E-2</v>
      </c>
    </row>
    <row r="1180" spans="6:7" x14ac:dyDescent="0.25">
      <c r="F1180">
        <v>1177</v>
      </c>
      <c r="G1180">
        <f ca="1">_xlfn.NORM.INV(RAND(),$M$7,$M$8)</f>
        <v>7.117826157508042E-3</v>
      </c>
    </row>
    <row r="1181" spans="6:7" x14ac:dyDescent="0.25">
      <c r="F1181">
        <v>1178</v>
      </c>
      <c r="G1181">
        <f ca="1">_xlfn.NORM.INV(RAND(),$M$7,$M$8)</f>
        <v>6.140573715779158E-3</v>
      </c>
    </row>
    <row r="1182" spans="6:7" x14ac:dyDescent="0.25">
      <c r="F1182">
        <v>1179</v>
      </c>
      <c r="G1182">
        <f ca="1">_xlfn.NORM.INV(RAND(),$M$7,$M$8)</f>
        <v>8.9109283235363212E-3</v>
      </c>
    </row>
    <row r="1183" spans="6:7" x14ac:dyDescent="0.25">
      <c r="F1183">
        <v>1180</v>
      </c>
      <c r="G1183">
        <f ca="1">_xlfn.NORM.INV(RAND(),$M$7,$M$8)</f>
        <v>3.377590501486592E-3</v>
      </c>
    </row>
    <row r="1184" spans="6:7" x14ac:dyDescent="0.25">
      <c r="F1184">
        <v>1181</v>
      </c>
      <c r="G1184">
        <f ca="1">_xlfn.NORM.INV(RAND(),$M$7,$M$8)</f>
        <v>-5.3844946422696958E-2</v>
      </c>
    </row>
    <row r="1185" spans="6:7" x14ac:dyDescent="0.25">
      <c r="F1185">
        <v>1182</v>
      </c>
      <c r="G1185">
        <f ca="1">_xlfn.NORM.INV(RAND(),$M$7,$M$8)</f>
        <v>-2.5928644985201744E-2</v>
      </c>
    </row>
    <row r="1186" spans="6:7" x14ac:dyDescent="0.25">
      <c r="F1186">
        <v>1183</v>
      </c>
      <c r="G1186">
        <f ca="1">_xlfn.NORM.INV(RAND(),$M$7,$M$8)</f>
        <v>2.5946682598145691E-2</v>
      </c>
    </row>
    <row r="1187" spans="6:7" x14ac:dyDescent="0.25">
      <c r="F1187">
        <v>1184</v>
      </c>
      <c r="G1187">
        <f ca="1">_xlfn.NORM.INV(RAND(),$M$7,$M$8)</f>
        <v>-1.6421243812947212E-2</v>
      </c>
    </row>
    <row r="1188" spans="6:7" x14ac:dyDescent="0.25">
      <c r="F1188">
        <v>1185</v>
      </c>
      <c r="G1188">
        <f ca="1">_xlfn.NORM.INV(RAND(),$M$7,$M$8)</f>
        <v>-1.6528815283711598E-2</v>
      </c>
    </row>
    <row r="1189" spans="6:7" x14ac:dyDescent="0.25">
      <c r="F1189">
        <v>1186</v>
      </c>
      <c r="G1189">
        <f ca="1">_xlfn.NORM.INV(RAND(),$M$7,$M$8)</f>
        <v>-7.0877782079307554E-3</v>
      </c>
    </row>
    <row r="1190" spans="6:7" x14ac:dyDescent="0.25">
      <c r="F1190">
        <v>1187</v>
      </c>
      <c r="G1190">
        <f ca="1">_xlfn.NORM.INV(RAND(),$M$7,$M$8)</f>
        <v>-1.0972847247348571E-2</v>
      </c>
    </row>
    <row r="1191" spans="6:7" x14ac:dyDescent="0.25">
      <c r="F1191">
        <v>1188</v>
      </c>
      <c r="G1191">
        <f ca="1">_xlfn.NORM.INV(RAND(),$M$7,$M$8)</f>
        <v>-7.477797633930406E-3</v>
      </c>
    </row>
    <row r="1192" spans="6:7" x14ac:dyDescent="0.25">
      <c r="F1192">
        <v>1189</v>
      </c>
      <c r="G1192">
        <f ca="1">_xlfn.NORM.INV(RAND(),$M$7,$M$8)</f>
        <v>5.7488372918576121E-2</v>
      </c>
    </row>
    <row r="1193" spans="6:7" x14ac:dyDescent="0.25">
      <c r="F1193">
        <v>1190</v>
      </c>
      <c r="G1193">
        <f ca="1">_xlfn.NORM.INV(RAND(),$M$7,$M$8)</f>
        <v>-1.2445984444158129E-2</v>
      </c>
    </row>
    <row r="1194" spans="6:7" x14ac:dyDescent="0.25">
      <c r="F1194">
        <v>1191</v>
      </c>
      <c r="G1194">
        <f ca="1">_xlfn.NORM.INV(RAND(),$M$7,$M$8)</f>
        <v>1.1743621541598158E-2</v>
      </c>
    </row>
    <row r="1195" spans="6:7" x14ac:dyDescent="0.25">
      <c r="F1195">
        <v>1192</v>
      </c>
      <c r="G1195">
        <f ca="1">_xlfn.NORM.INV(RAND(),$M$7,$M$8)</f>
        <v>1.3793503670254739E-3</v>
      </c>
    </row>
    <row r="1196" spans="6:7" x14ac:dyDescent="0.25">
      <c r="F1196">
        <v>1193</v>
      </c>
      <c r="G1196">
        <f ca="1">_xlfn.NORM.INV(RAND(),$M$7,$M$8)</f>
        <v>-3.6623413516852527E-2</v>
      </c>
    </row>
    <row r="1197" spans="6:7" x14ac:dyDescent="0.25">
      <c r="F1197">
        <v>1194</v>
      </c>
      <c r="G1197">
        <f ca="1">_xlfn.NORM.INV(RAND(),$M$7,$M$8)</f>
        <v>3.9618671933521503E-3</v>
      </c>
    </row>
    <row r="1198" spans="6:7" x14ac:dyDescent="0.25">
      <c r="F1198">
        <v>1195</v>
      </c>
      <c r="G1198">
        <f ca="1">_xlfn.NORM.INV(RAND(),$M$7,$M$8)</f>
        <v>2.3304002899985285E-2</v>
      </c>
    </row>
    <row r="1199" spans="6:7" x14ac:dyDescent="0.25">
      <c r="F1199">
        <v>1196</v>
      </c>
      <c r="G1199">
        <f ca="1">_xlfn.NORM.INV(RAND(),$M$7,$M$8)</f>
        <v>4.7026140687903631E-3</v>
      </c>
    </row>
    <row r="1200" spans="6:7" x14ac:dyDescent="0.25">
      <c r="F1200">
        <v>1197</v>
      </c>
      <c r="G1200">
        <f ca="1">_xlfn.NORM.INV(RAND(),$M$7,$M$8)</f>
        <v>2.1717514276587881E-2</v>
      </c>
    </row>
    <row r="1201" spans="6:7" x14ac:dyDescent="0.25">
      <c r="F1201">
        <v>1198</v>
      </c>
      <c r="G1201">
        <f ca="1">_xlfn.NORM.INV(RAND(),$M$7,$M$8)</f>
        <v>5.4118186984034866E-3</v>
      </c>
    </row>
    <row r="1202" spans="6:7" x14ac:dyDescent="0.25">
      <c r="F1202">
        <v>1199</v>
      </c>
      <c r="G1202">
        <f ca="1">_xlfn.NORM.INV(RAND(),$M$7,$M$8)</f>
        <v>3.7654284781164049E-3</v>
      </c>
    </row>
    <row r="1203" spans="6:7" x14ac:dyDescent="0.25">
      <c r="F1203">
        <v>1200</v>
      </c>
      <c r="G1203">
        <f ca="1">_xlfn.NORM.INV(RAND(),$M$7,$M$8)</f>
        <v>-7.7753717798651149E-3</v>
      </c>
    </row>
    <row r="1204" spans="6:7" x14ac:dyDescent="0.25">
      <c r="F1204">
        <v>1201</v>
      </c>
      <c r="G1204">
        <f ca="1">_xlfn.NORM.INV(RAND(),$M$7,$M$8)</f>
        <v>1.3887225110301262E-2</v>
      </c>
    </row>
    <row r="1205" spans="6:7" x14ac:dyDescent="0.25">
      <c r="F1205">
        <v>1202</v>
      </c>
      <c r="G1205">
        <f ca="1">_xlfn.NORM.INV(RAND(),$M$7,$M$8)</f>
        <v>-2.8666373259034372E-2</v>
      </c>
    </row>
    <row r="1206" spans="6:7" x14ac:dyDescent="0.25">
      <c r="F1206">
        <v>1203</v>
      </c>
      <c r="G1206">
        <f ca="1">_xlfn.NORM.INV(RAND(),$M$7,$M$8)</f>
        <v>-3.4268276584073804E-2</v>
      </c>
    </row>
    <row r="1207" spans="6:7" x14ac:dyDescent="0.25">
      <c r="F1207">
        <v>1204</v>
      </c>
      <c r="G1207">
        <f ca="1">_xlfn.NORM.INV(RAND(),$M$7,$M$8)</f>
        <v>2.6479849182493943E-2</v>
      </c>
    </row>
    <row r="1208" spans="6:7" x14ac:dyDescent="0.25">
      <c r="F1208">
        <v>1205</v>
      </c>
      <c r="G1208">
        <f ca="1">_xlfn.NORM.INV(RAND(),$M$7,$M$8)</f>
        <v>-6.5468667372766496E-3</v>
      </c>
    </row>
    <row r="1209" spans="6:7" x14ac:dyDescent="0.25">
      <c r="F1209">
        <v>1206</v>
      </c>
      <c r="G1209">
        <f ca="1">_xlfn.NORM.INV(RAND(),$M$7,$M$8)</f>
        <v>-5.5016130752656239E-2</v>
      </c>
    </row>
    <row r="1210" spans="6:7" x14ac:dyDescent="0.25">
      <c r="F1210">
        <v>1207</v>
      </c>
      <c r="G1210">
        <f ca="1">_xlfn.NORM.INV(RAND(),$M$7,$M$8)</f>
        <v>9.1042406237991837E-3</v>
      </c>
    </row>
    <row r="1211" spans="6:7" x14ac:dyDescent="0.25">
      <c r="F1211">
        <v>1208</v>
      </c>
      <c r="G1211">
        <f ca="1">_xlfn.NORM.INV(RAND(),$M$7,$M$8)</f>
        <v>6.1209966912918257E-4</v>
      </c>
    </row>
    <row r="1212" spans="6:7" x14ac:dyDescent="0.25">
      <c r="F1212">
        <v>1209</v>
      </c>
      <c r="G1212">
        <f ca="1">_xlfn.NORM.INV(RAND(),$M$7,$M$8)</f>
        <v>1.061714329064219E-2</v>
      </c>
    </row>
    <row r="1213" spans="6:7" x14ac:dyDescent="0.25">
      <c r="F1213">
        <v>1210</v>
      </c>
      <c r="G1213">
        <f ca="1">_xlfn.NORM.INV(RAND(),$M$7,$M$8)</f>
        <v>-3.436555085561057E-2</v>
      </c>
    </row>
    <row r="1214" spans="6:7" x14ac:dyDescent="0.25">
      <c r="F1214">
        <v>1211</v>
      </c>
      <c r="G1214">
        <f ca="1">_xlfn.NORM.INV(RAND(),$M$7,$M$8)</f>
        <v>-7.1147574254721933E-3</v>
      </c>
    </row>
    <row r="1215" spans="6:7" x14ac:dyDescent="0.25">
      <c r="F1215">
        <v>1212</v>
      </c>
      <c r="G1215">
        <f ca="1">_xlfn.NORM.INV(RAND(),$M$7,$M$8)</f>
        <v>-3.9428231058271486E-2</v>
      </c>
    </row>
    <row r="1216" spans="6:7" x14ac:dyDescent="0.25">
      <c r="F1216">
        <v>1213</v>
      </c>
      <c r="G1216">
        <f ca="1">_xlfn.NORM.INV(RAND(),$M$7,$M$8)</f>
        <v>-1.7714418124646488E-3</v>
      </c>
    </row>
    <row r="1217" spans="6:7" x14ac:dyDescent="0.25">
      <c r="F1217">
        <v>1214</v>
      </c>
      <c r="G1217">
        <f ca="1">_xlfn.NORM.INV(RAND(),$M$7,$M$8)</f>
        <v>2.8679754999661462E-3</v>
      </c>
    </row>
    <row r="1218" spans="6:7" x14ac:dyDescent="0.25">
      <c r="F1218">
        <v>1215</v>
      </c>
      <c r="G1218">
        <f ca="1">_xlfn.NORM.INV(RAND(),$M$7,$M$8)</f>
        <v>3.1596337906639578E-2</v>
      </c>
    </row>
    <row r="1219" spans="6:7" x14ac:dyDescent="0.25">
      <c r="F1219">
        <v>1216</v>
      </c>
      <c r="G1219">
        <f ca="1">_xlfn.NORM.INV(RAND(),$M$7,$M$8)</f>
        <v>2.7355126577729278E-2</v>
      </c>
    </row>
    <row r="1220" spans="6:7" x14ac:dyDescent="0.25">
      <c r="F1220">
        <v>1217</v>
      </c>
      <c r="G1220">
        <f ca="1">_xlfn.NORM.INV(RAND(),$M$7,$M$8)</f>
        <v>-1.234435260253813E-2</v>
      </c>
    </row>
    <row r="1221" spans="6:7" x14ac:dyDescent="0.25">
      <c r="F1221">
        <v>1218</v>
      </c>
      <c r="G1221">
        <f ca="1">_xlfn.NORM.INV(RAND(),$M$7,$M$8)</f>
        <v>-3.4228741876223247E-2</v>
      </c>
    </row>
    <row r="1222" spans="6:7" x14ac:dyDescent="0.25">
      <c r="F1222">
        <v>1219</v>
      </c>
      <c r="G1222">
        <f ca="1">_xlfn.NORM.INV(RAND(),$M$7,$M$8)</f>
        <v>5.1298634892148181E-3</v>
      </c>
    </row>
    <row r="1223" spans="6:7" x14ac:dyDescent="0.25">
      <c r="F1223">
        <v>1220</v>
      </c>
      <c r="G1223">
        <f ca="1">_xlfn.NORM.INV(RAND(),$M$7,$M$8)</f>
        <v>2.6964943347242865E-2</v>
      </c>
    </row>
    <row r="1224" spans="6:7" x14ac:dyDescent="0.25">
      <c r="F1224">
        <v>1221</v>
      </c>
      <c r="G1224">
        <f ca="1">_xlfn.NORM.INV(RAND(),$M$7,$M$8)</f>
        <v>-2.7073975233414531E-2</v>
      </c>
    </row>
    <row r="1225" spans="6:7" x14ac:dyDescent="0.25">
      <c r="F1225">
        <v>1222</v>
      </c>
      <c r="G1225">
        <f ca="1">_xlfn.NORM.INV(RAND(),$M$7,$M$8)</f>
        <v>1.2417969213911768E-2</v>
      </c>
    </row>
    <row r="1226" spans="6:7" x14ac:dyDescent="0.25">
      <c r="F1226">
        <v>1223</v>
      </c>
      <c r="G1226">
        <f ca="1">_xlfn.NORM.INV(RAND(),$M$7,$M$8)</f>
        <v>4.5117369193084352E-2</v>
      </c>
    </row>
    <row r="1227" spans="6:7" x14ac:dyDescent="0.25">
      <c r="F1227">
        <v>1224</v>
      </c>
      <c r="G1227">
        <f ca="1">_xlfn.NORM.INV(RAND(),$M$7,$M$8)</f>
        <v>1.6040451076252647E-2</v>
      </c>
    </row>
    <row r="1228" spans="6:7" x14ac:dyDescent="0.25">
      <c r="F1228">
        <v>1225</v>
      </c>
      <c r="G1228">
        <f ca="1">_xlfn.NORM.INV(RAND(),$M$7,$M$8)</f>
        <v>-1.5575729839681627E-3</v>
      </c>
    </row>
    <row r="1229" spans="6:7" x14ac:dyDescent="0.25">
      <c r="F1229">
        <v>1226</v>
      </c>
      <c r="G1229">
        <f ca="1">_xlfn.NORM.INV(RAND(),$M$7,$M$8)</f>
        <v>-3.0812012358142032E-3</v>
      </c>
    </row>
    <row r="1230" spans="6:7" x14ac:dyDescent="0.25">
      <c r="F1230">
        <v>1227</v>
      </c>
      <c r="G1230">
        <f ca="1">_xlfn.NORM.INV(RAND(),$M$7,$M$8)</f>
        <v>5.062411392708098E-3</v>
      </c>
    </row>
    <row r="1231" spans="6:7" x14ac:dyDescent="0.25">
      <c r="F1231">
        <v>1228</v>
      </c>
      <c r="G1231">
        <f ca="1">_xlfn.NORM.INV(RAND(),$M$7,$M$8)</f>
        <v>-2.3516474863357829E-2</v>
      </c>
    </row>
    <row r="1232" spans="6:7" x14ac:dyDescent="0.25">
      <c r="F1232">
        <v>1229</v>
      </c>
      <c r="G1232">
        <f ca="1">_xlfn.NORM.INV(RAND(),$M$7,$M$8)</f>
        <v>4.1647897338421926E-2</v>
      </c>
    </row>
    <row r="1233" spans="6:7" x14ac:dyDescent="0.25">
      <c r="F1233">
        <v>1230</v>
      </c>
      <c r="G1233">
        <f ca="1">_xlfn.NORM.INV(RAND(),$M$7,$M$8)</f>
        <v>1.3475899222066627E-2</v>
      </c>
    </row>
    <row r="1234" spans="6:7" x14ac:dyDescent="0.25">
      <c r="F1234">
        <v>1231</v>
      </c>
      <c r="G1234">
        <f ca="1">_xlfn.NORM.INV(RAND(),$M$7,$M$8)</f>
        <v>-3.5258467628376151E-2</v>
      </c>
    </row>
    <row r="1235" spans="6:7" x14ac:dyDescent="0.25">
      <c r="F1235">
        <v>1232</v>
      </c>
      <c r="G1235">
        <f ca="1">_xlfn.NORM.INV(RAND(),$M$7,$M$8)</f>
        <v>-1.8091425690549792E-2</v>
      </c>
    </row>
    <row r="1236" spans="6:7" x14ac:dyDescent="0.25">
      <c r="F1236">
        <v>1233</v>
      </c>
      <c r="G1236">
        <f ca="1">_xlfn.NORM.INV(RAND(),$M$7,$M$8)</f>
        <v>-1.8603933992998423E-2</v>
      </c>
    </row>
    <row r="1237" spans="6:7" x14ac:dyDescent="0.25">
      <c r="F1237">
        <v>1234</v>
      </c>
      <c r="G1237">
        <f ca="1">_xlfn.NORM.INV(RAND(),$M$7,$M$8)</f>
        <v>-1.6412179027552903E-2</v>
      </c>
    </row>
    <row r="1238" spans="6:7" x14ac:dyDescent="0.25">
      <c r="F1238">
        <v>1235</v>
      </c>
      <c r="G1238">
        <f ca="1">_xlfn.NORM.INV(RAND(),$M$7,$M$8)</f>
        <v>4.0657997830537612E-2</v>
      </c>
    </row>
    <row r="1239" spans="6:7" x14ac:dyDescent="0.25">
      <c r="F1239">
        <v>1236</v>
      </c>
      <c r="G1239">
        <f ca="1">_xlfn.NORM.INV(RAND(),$M$7,$M$8)</f>
        <v>-8.1628661033082035E-3</v>
      </c>
    </row>
    <row r="1240" spans="6:7" x14ac:dyDescent="0.25">
      <c r="F1240">
        <v>1237</v>
      </c>
      <c r="G1240">
        <f ca="1">_xlfn.NORM.INV(RAND(),$M$7,$M$8)</f>
        <v>-7.7455270015257521E-3</v>
      </c>
    </row>
    <row r="1241" spans="6:7" x14ac:dyDescent="0.25">
      <c r="F1241">
        <v>1238</v>
      </c>
      <c r="G1241">
        <f ca="1">_xlfn.NORM.INV(RAND(),$M$7,$M$8)</f>
        <v>-2.7236335272573235E-2</v>
      </c>
    </row>
    <row r="1242" spans="6:7" x14ac:dyDescent="0.25">
      <c r="F1242">
        <v>1239</v>
      </c>
      <c r="G1242">
        <f ca="1">_xlfn.NORM.INV(RAND(),$M$7,$M$8)</f>
        <v>3.1400832561972332E-3</v>
      </c>
    </row>
    <row r="1243" spans="6:7" x14ac:dyDescent="0.25">
      <c r="F1243">
        <v>1240</v>
      </c>
      <c r="G1243">
        <f ca="1">_xlfn.NORM.INV(RAND(),$M$7,$M$8)</f>
        <v>6.3923988930040549E-3</v>
      </c>
    </row>
    <row r="1244" spans="6:7" x14ac:dyDescent="0.25">
      <c r="F1244">
        <v>1241</v>
      </c>
      <c r="G1244">
        <f ca="1">_xlfn.NORM.INV(RAND(),$M$7,$M$8)</f>
        <v>3.1083339123419557E-2</v>
      </c>
    </row>
    <row r="1245" spans="6:7" x14ac:dyDescent="0.25">
      <c r="F1245">
        <v>1242</v>
      </c>
      <c r="G1245">
        <f ca="1">_xlfn.NORM.INV(RAND(),$M$7,$M$8)</f>
        <v>-7.8350377190720064E-3</v>
      </c>
    </row>
    <row r="1246" spans="6:7" x14ac:dyDescent="0.25">
      <c r="F1246">
        <v>1243</v>
      </c>
      <c r="G1246">
        <f ca="1">_xlfn.NORM.INV(RAND(),$M$7,$M$8)</f>
        <v>1.4984032949109471E-2</v>
      </c>
    </row>
    <row r="1247" spans="6:7" x14ac:dyDescent="0.25">
      <c r="F1247">
        <v>1244</v>
      </c>
      <c r="G1247">
        <f ca="1">_xlfn.NORM.INV(RAND(),$M$7,$M$8)</f>
        <v>2.101997131589602E-2</v>
      </c>
    </row>
    <row r="1248" spans="6:7" x14ac:dyDescent="0.25">
      <c r="F1248">
        <v>1245</v>
      </c>
      <c r="G1248">
        <f ca="1">_xlfn.NORM.INV(RAND(),$M$7,$M$8)</f>
        <v>2.0274009383898961E-3</v>
      </c>
    </row>
    <row r="1249" spans="6:7" x14ac:dyDescent="0.25">
      <c r="F1249">
        <v>1246</v>
      </c>
      <c r="G1249">
        <f ca="1">_xlfn.NORM.INV(RAND(),$M$7,$M$8)</f>
        <v>1.2303707786282134E-2</v>
      </c>
    </row>
    <row r="1250" spans="6:7" x14ac:dyDescent="0.25">
      <c r="F1250">
        <v>1247</v>
      </c>
      <c r="G1250">
        <f ca="1">_xlfn.NORM.INV(RAND(),$M$7,$M$8)</f>
        <v>2.9889708401737588E-3</v>
      </c>
    </row>
    <row r="1251" spans="6:7" x14ac:dyDescent="0.25">
      <c r="F1251">
        <v>1248</v>
      </c>
      <c r="G1251">
        <f ca="1">_xlfn.NORM.INV(RAND(),$M$7,$M$8)</f>
        <v>3.2823418166712866E-2</v>
      </c>
    </row>
    <row r="1252" spans="6:7" x14ac:dyDescent="0.25">
      <c r="F1252">
        <v>1249</v>
      </c>
      <c r="G1252">
        <f ca="1">_xlfn.NORM.INV(RAND(),$M$7,$M$8)</f>
        <v>3.0329848304599543E-2</v>
      </c>
    </row>
    <row r="1253" spans="6:7" x14ac:dyDescent="0.25">
      <c r="F1253">
        <v>1250</v>
      </c>
      <c r="G1253">
        <f ca="1">_xlfn.NORM.INV(RAND(),$M$7,$M$8)</f>
        <v>-5.6717180668334807E-3</v>
      </c>
    </row>
    <row r="1254" spans="6:7" x14ac:dyDescent="0.25">
      <c r="F1254">
        <v>1251</v>
      </c>
      <c r="G1254">
        <f ca="1">_xlfn.NORM.INV(RAND(),$M$7,$M$8)</f>
        <v>-2.416450781248148E-2</v>
      </c>
    </row>
    <row r="1255" spans="6:7" x14ac:dyDescent="0.25">
      <c r="F1255">
        <v>1252</v>
      </c>
      <c r="G1255">
        <f ca="1">_xlfn.NORM.INV(RAND(),$M$7,$M$8)</f>
        <v>-3.5478499430419731E-2</v>
      </c>
    </row>
    <row r="1256" spans="6:7" x14ac:dyDescent="0.25">
      <c r="F1256">
        <v>1253</v>
      </c>
      <c r="G1256">
        <f ca="1">_xlfn.NORM.INV(RAND(),$M$7,$M$8)</f>
        <v>-3.9947930693271048E-3</v>
      </c>
    </row>
    <row r="1257" spans="6:7" x14ac:dyDescent="0.25">
      <c r="F1257">
        <v>1254</v>
      </c>
      <c r="G1257">
        <f ca="1">_xlfn.NORM.INV(RAND(),$M$7,$M$8)</f>
        <v>-9.1189815949070142E-3</v>
      </c>
    </row>
    <row r="1258" spans="6:7" x14ac:dyDescent="0.25">
      <c r="F1258">
        <v>1255</v>
      </c>
      <c r="G1258">
        <f ca="1">_xlfn.NORM.INV(RAND(),$M$7,$M$8)</f>
        <v>6.8097623414161354E-3</v>
      </c>
    </row>
    <row r="1259" spans="6:7" x14ac:dyDescent="0.25">
      <c r="F1259">
        <v>1256</v>
      </c>
      <c r="G1259">
        <f ca="1">_xlfn.NORM.INV(RAND(),$M$7,$M$8)</f>
        <v>8.5266285973295778E-3</v>
      </c>
    </row>
    <row r="1260" spans="6:7" x14ac:dyDescent="0.25">
      <c r="F1260">
        <v>1257</v>
      </c>
      <c r="G1260">
        <f ca="1">_xlfn.NORM.INV(RAND(),$M$7,$M$8)</f>
        <v>6.0395817720692246E-5</v>
      </c>
    </row>
    <row r="1261" spans="6:7" x14ac:dyDescent="0.25">
      <c r="F1261">
        <v>1258</v>
      </c>
      <c r="G1261">
        <f ca="1">_xlfn.NORM.INV(RAND(),$M$7,$M$8)</f>
        <v>5.088840805692741E-2</v>
      </c>
    </row>
    <row r="1262" spans="6:7" x14ac:dyDescent="0.25">
      <c r="F1262">
        <v>1259</v>
      </c>
      <c r="G1262">
        <f ca="1">_xlfn.NORM.INV(RAND(),$M$7,$M$8)</f>
        <v>-1.0826323210060926E-2</v>
      </c>
    </row>
    <row r="1263" spans="6:7" x14ac:dyDescent="0.25">
      <c r="F1263">
        <v>1260</v>
      </c>
      <c r="G1263">
        <f ca="1">_xlfn.NORM.INV(RAND(),$M$7,$M$8)</f>
        <v>-3.7304250539202728E-2</v>
      </c>
    </row>
    <row r="1264" spans="6:7" x14ac:dyDescent="0.25">
      <c r="F1264">
        <v>1261</v>
      </c>
      <c r="G1264">
        <f ca="1">_xlfn.NORM.INV(RAND(),$M$7,$M$8)</f>
        <v>-1.7681483299086347E-2</v>
      </c>
    </row>
    <row r="1265" spans="6:7" x14ac:dyDescent="0.25">
      <c r="F1265">
        <v>1262</v>
      </c>
      <c r="G1265">
        <f ca="1">_xlfn.NORM.INV(RAND(),$M$7,$M$8)</f>
        <v>-1.2335103645503822E-3</v>
      </c>
    </row>
    <row r="1266" spans="6:7" x14ac:dyDescent="0.25">
      <c r="F1266">
        <v>1263</v>
      </c>
      <c r="G1266">
        <f ca="1">_xlfn.NORM.INV(RAND(),$M$7,$M$8)</f>
        <v>6.5662559005605567E-3</v>
      </c>
    </row>
    <row r="1267" spans="6:7" x14ac:dyDescent="0.25">
      <c r="F1267">
        <v>1264</v>
      </c>
      <c r="G1267">
        <f ca="1">_xlfn.NORM.INV(RAND(),$M$7,$M$8)</f>
        <v>9.2212264024768402E-4</v>
      </c>
    </row>
    <row r="1268" spans="6:7" x14ac:dyDescent="0.25">
      <c r="F1268">
        <v>1265</v>
      </c>
      <c r="G1268">
        <f ca="1">_xlfn.NORM.INV(RAND(),$M$7,$M$8)</f>
        <v>3.0208961580694201E-2</v>
      </c>
    </row>
    <row r="1269" spans="6:7" x14ac:dyDescent="0.25">
      <c r="F1269">
        <v>1266</v>
      </c>
      <c r="G1269">
        <f ca="1">_xlfn.NORM.INV(RAND(),$M$7,$M$8)</f>
        <v>-2.2438216784566131E-2</v>
      </c>
    </row>
    <row r="1270" spans="6:7" x14ac:dyDescent="0.25">
      <c r="F1270">
        <v>1267</v>
      </c>
      <c r="G1270">
        <f ca="1">_xlfn.NORM.INV(RAND(),$M$7,$M$8)</f>
        <v>-7.291032413640262E-3</v>
      </c>
    </row>
    <row r="1271" spans="6:7" x14ac:dyDescent="0.25">
      <c r="F1271">
        <v>1268</v>
      </c>
      <c r="G1271">
        <f ca="1">_xlfn.NORM.INV(RAND(),$M$7,$M$8)</f>
        <v>-1.7777246990886837E-3</v>
      </c>
    </row>
    <row r="1272" spans="6:7" x14ac:dyDescent="0.25">
      <c r="F1272">
        <v>1269</v>
      </c>
      <c r="G1272">
        <f ca="1">_xlfn.NORM.INV(RAND(),$M$7,$M$8)</f>
        <v>-1.1669453181569377E-2</v>
      </c>
    </row>
    <row r="1273" spans="6:7" x14ac:dyDescent="0.25">
      <c r="F1273">
        <v>1270</v>
      </c>
      <c r="G1273">
        <f ca="1">_xlfn.NORM.INV(RAND(),$M$7,$M$8)</f>
        <v>2.178979259179804E-2</v>
      </c>
    </row>
    <row r="1274" spans="6:7" x14ac:dyDescent="0.25">
      <c r="F1274">
        <v>1271</v>
      </c>
      <c r="G1274">
        <f ca="1">_xlfn.NORM.INV(RAND(),$M$7,$M$8)</f>
        <v>-8.6676139922782554E-3</v>
      </c>
    </row>
    <row r="1275" spans="6:7" x14ac:dyDescent="0.25">
      <c r="F1275">
        <v>1272</v>
      </c>
      <c r="G1275">
        <f ca="1">_xlfn.NORM.INV(RAND(),$M$7,$M$8)</f>
        <v>1.4404983766437209E-2</v>
      </c>
    </row>
    <row r="1276" spans="6:7" x14ac:dyDescent="0.25">
      <c r="F1276">
        <v>1273</v>
      </c>
      <c r="G1276">
        <f ca="1">_xlfn.NORM.INV(RAND(),$M$7,$M$8)</f>
        <v>-1.2377608331656026E-2</v>
      </c>
    </row>
    <row r="1277" spans="6:7" x14ac:dyDescent="0.25">
      <c r="F1277">
        <v>1274</v>
      </c>
      <c r="G1277">
        <f ca="1">_xlfn.NORM.INV(RAND(),$M$7,$M$8)</f>
        <v>3.294744095912247E-2</v>
      </c>
    </row>
    <row r="1278" spans="6:7" x14ac:dyDescent="0.25">
      <c r="F1278">
        <v>1275</v>
      </c>
      <c r="G1278">
        <f ca="1">_xlfn.NORM.INV(RAND(),$M$7,$M$8)</f>
        <v>1.7730712581232409E-2</v>
      </c>
    </row>
    <row r="1279" spans="6:7" x14ac:dyDescent="0.25">
      <c r="F1279">
        <v>1276</v>
      </c>
      <c r="G1279">
        <f ca="1">_xlfn.NORM.INV(RAND(),$M$7,$M$8)</f>
        <v>1.9600021572244181E-3</v>
      </c>
    </row>
    <row r="1280" spans="6:7" x14ac:dyDescent="0.25">
      <c r="F1280">
        <v>1277</v>
      </c>
      <c r="G1280">
        <f ca="1">_xlfn.NORM.INV(RAND(),$M$7,$M$8)</f>
        <v>1.1823378515312679E-4</v>
      </c>
    </row>
    <row r="1281" spans="6:7" x14ac:dyDescent="0.25">
      <c r="F1281">
        <v>1278</v>
      </c>
      <c r="G1281">
        <f ca="1">_xlfn.NORM.INV(RAND(),$M$7,$M$8)</f>
        <v>-7.8245676783642304E-3</v>
      </c>
    </row>
    <row r="1282" spans="6:7" x14ac:dyDescent="0.25">
      <c r="F1282">
        <v>1279</v>
      </c>
      <c r="G1282">
        <f ca="1">_xlfn.NORM.INV(RAND(),$M$7,$M$8)</f>
        <v>-1.7042385266850597E-2</v>
      </c>
    </row>
    <row r="1283" spans="6:7" x14ac:dyDescent="0.25">
      <c r="F1283">
        <v>1280</v>
      </c>
      <c r="G1283">
        <f ca="1">_xlfn.NORM.INV(RAND(),$M$7,$M$8)</f>
        <v>2.4445152108157349E-2</v>
      </c>
    </row>
    <row r="1284" spans="6:7" x14ac:dyDescent="0.25">
      <c r="F1284">
        <v>1281</v>
      </c>
      <c r="G1284">
        <f ca="1">_xlfn.NORM.INV(RAND(),$M$7,$M$8)</f>
        <v>-3.3280254124035623E-3</v>
      </c>
    </row>
    <row r="1285" spans="6:7" x14ac:dyDescent="0.25">
      <c r="F1285">
        <v>1282</v>
      </c>
      <c r="G1285">
        <f ca="1">_xlfn.NORM.INV(RAND(),$M$7,$M$8)</f>
        <v>-5.4536089789865051E-3</v>
      </c>
    </row>
    <row r="1286" spans="6:7" x14ac:dyDescent="0.25">
      <c r="F1286">
        <v>1283</v>
      </c>
      <c r="G1286">
        <f ca="1">_xlfn.NORM.INV(RAND(),$M$7,$M$8)</f>
        <v>-1.6800592447114671E-2</v>
      </c>
    </row>
    <row r="1287" spans="6:7" x14ac:dyDescent="0.25">
      <c r="F1287">
        <v>1284</v>
      </c>
      <c r="G1287">
        <f ca="1">_xlfn.NORM.INV(RAND(),$M$7,$M$8)</f>
        <v>-1.8810073809333951E-2</v>
      </c>
    </row>
    <row r="1288" spans="6:7" x14ac:dyDescent="0.25">
      <c r="F1288">
        <v>1285</v>
      </c>
      <c r="G1288">
        <f ca="1">_xlfn.NORM.INV(RAND(),$M$7,$M$8)</f>
        <v>1.1239542743514824E-2</v>
      </c>
    </row>
    <row r="1289" spans="6:7" x14ac:dyDescent="0.25">
      <c r="F1289">
        <v>1286</v>
      </c>
      <c r="G1289">
        <f ca="1">_xlfn.NORM.INV(RAND(),$M$7,$M$8)</f>
        <v>2.5273738353704295E-2</v>
      </c>
    </row>
    <row r="1290" spans="6:7" x14ac:dyDescent="0.25">
      <c r="F1290">
        <v>1287</v>
      </c>
      <c r="G1290">
        <f ca="1">_xlfn.NORM.INV(RAND(),$M$7,$M$8)</f>
        <v>3.9710253894229081E-2</v>
      </c>
    </row>
    <row r="1291" spans="6:7" x14ac:dyDescent="0.25">
      <c r="F1291">
        <v>1288</v>
      </c>
      <c r="G1291">
        <f ca="1">_xlfn.NORM.INV(RAND(),$M$7,$M$8)</f>
        <v>-2.3732993673203921E-2</v>
      </c>
    </row>
    <row r="1292" spans="6:7" x14ac:dyDescent="0.25">
      <c r="F1292">
        <v>1289</v>
      </c>
      <c r="G1292">
        <f ca="1">_xlfn.NORM.INV(RAND(),$M$7,$M$8)</f>
        <v>2.1279663070352006E-2</v>
      </c>
    </row>
    <row r="1293" spans="6:7" x14ac:dyDescent="0.25">
      <c r="F1293">
        <v>1290</v>
      </c>
      <c r="G1293">
        <f ca="1">_xlfn.NORM.INV(RAND(),$M$7,$M$8)</f>
        <v>-2.7777938674332647E-2</v>
      </c>
    </row>
    <row r="1294" spans="6:7" x14ac:dyDescent="0.25">
      <c r="F1294">
        <v>1291</v>
      </c>
      <c r="G1294">
        <f ca="1">_xlfn.NORM.INV(RAND(),$M$7,$M$8)</f>
        <v>-2.0841020141515541E-2</v>
      </c>
    </row>
    <row r="1295" spans="6:7" x14ac:dyDescent="0.25">
      <c r="F1295">
        <v>1292</v>
      </c>
      <c r="G1295">
        <f ca="1">_xlfn.NORM.INV(RAND(),$M$7,$M$8)</f>
        <v>-3.9211954584853718E-3</v>
      </c>
    </row>
    <row r="1296" spans="6:7" x14ac:dyDescent="0.25">
      <c r="F1296">
        <v>1293</v>
      </c>
      <c r="G1296">
        <f ca="1">_xlfn.NORM.INV(RAND(),$M$7,$M$8)</f>
        <v>-1.3007440800754548E-2</v>
      </c>
    </row>
    <row r="1297" spans="6:7" x14ac:dyDescent="0.25">
      <c r="F1297">
        <v>1294</v>
      </c>
      <c r="G1297">
        <f ca="1">_xlfn.NORM.INV(RAND(),$M$7,$M$8)</f>
        <v>1.9151832082840319E-2</v>
      </c>
    </row>
    <row r="1298" spans="6:7" x14ac:dyDescent="0.25">
      <c r="F1298">
        <v>1295</v>
      </c>
      <c r="G1298">
        <f ca="1">_xlfn.NORM.INV(RAND(),$M$7,$M$8)</f>
        <v>6.1465043338170065E-2</v>
      </c>
    </row>
    <row r="1299" spans="6:7" x14ac:dyDescent="0.25">
      <c r="F1299">
        <v>1296</v>
      </c>
      <c r="G1299">
        <f ca="1">_xlfn.NORM.INV(RAND(),$M$7,$M$8)</f>
        <v>-4.3810627111995071E-3</v>
      </c>
    </row>
    <row r="1300" spans="6:7" x14ac:dyDescent="0.25">
      <c r="F1300">
        <v>1297</v>
      </c>
      <c r="G1300">
        <f ca="1">_xlfn.NORM.INV(RAND(),$M$7,$M$8)</f>
        <v>1.1270748542156973E-2</v>
      </c>
    </row>
    <row r="1301" spans="6:7" x14ac:dyDescent="0.25">
      <c r="F1301">
        <v>1298</v>
      </c>
      <c r="G1301">
        <f ca="1">_xlfn.NORM.INV(RAND(),$M$7,$M$8)</f>
        <v>-1.5723321477930499E-2</v>
      </c>
    </row>
    <row r="1302" spans="6:7" x14ac:dyDescent="0.25">
      <c r="F1302">
        <v>1299</v>
      </c>
      <c r="G1302">
        <f ca="1">_xlfn.NORM.INV(RAND(),$M$7,$M$8)</f>
        <v>1.6148530099040813E-3</v>
      </c>
    </row>
    <row r="1303" spans="6:7" x14ac:dyDescent="0.25">
      <c r="F1303">
        <v>1300</v>
      </c>
      <c r="G1303">
        <f ca="1">_xlfn.NORM.INV(RAND(),$M$7,$M$8)</f>
        <v>-4.1084311748791902E-3</v>
      </c>
    </row>
    <row r="1304" spans="6:7" x14ac:dyDescent="0.25">
      <c r="F1304">
        <v>1301</v>
      </c>
      <c r="G1304">
        <f ca="1">_xlfn.NORM.INV(RAND(),$M$7,$M$8)</f>
        <v>-1.5901697895719217E-2</v>
      </c>
    </row>
    <row r="1305" spans="6:7" x14ac:dyDescent="0.25">
      <c r="F1305">
        <v>1302</v>
      </c>
      <c r="G1305">
        <f ca="1">_xlfn.NORM.INV(RAND(),$M$7,$M$8)</f>
        <v>-1.8432176159268159E-2</v>
      </c>
    </row>
    <row r="1306" spans="6:7" x14ac:dyDescent="0.25">
      <c r="F1306">
        <v>1303</v>
      </c>
      <c r="G1306">
        <f ca="1">_xlfn.NORM.INV(RAND(),$M$7,$M$8)</f>
        <v>-9.7974496583243687E-3</v>
      </c>
    </row>
    <row r="1307" spans="6:7" x14ac:dyDescent="0.25">
      <c r="F1307">
        <v>1304</v>
      </c>
      <c r="G1307">
        <f ca="1">_xlfn.NORM.INV(RAND(),$M$7,$M$8)</f>
        <v>4.4848656210444961E-2</v>
      </c>
    </row>
    <row r="1308" spans="6:7" x14ac:dyDescent="0.25">
      <c r="F1308">
        <v>1305</v>
      </c>
      <c r="G1308">
        <f ca="1">_xlfn.NORM.INV(RAND(),$M$7,$M$8)</f>
        <v>-1.4790161061372271E-2</v>
      </c>
    </row>
    <row r="1309" spans="6:7" x14ac:dyDescent="0.25">
      <c r="F1309">
        <v>1306</v>
      </c>
      <c r="G1309">
        <f ca="1">_xlfn.NORM.INV(RAND(),$M$7,$M$8)</f>
        <v>2.6687438731721806E-2</v>
      </c>
    </row>
    <row r="1310" spans="6:7" x14ac:dyDescent="0.25">
      <c r="F1310">
        <v>1307</v>
      </c>
      <c r="G1310">
        <f ca="1">_xlfn.NORM.INV(RAND(),$M$7,$M$8)</f>
        <v>3.6070629716180677E-2</v>
      </c>
    </row>
    <row r="1311" spans="6:7" x14ac:dyDescent="0.25">
      <c r="F1311">
        <v>1308</v>
      </c>
      <c r="G1311">
        <f ca="1">_xlfn.NORM.INV(RAND(),$M$7,$M$8)</f>
        <v>2.959792968377056E-4</v>
      </c>
    </row>
    <row r="1312" spans="6:7" x14ac:dyDescent="0.25">
      <c r="F1312">
        <v>1309</v>
      </c>
      <c r="G1312">
        <f ca="1">_xlfn.NORM.INV(RAND(),$M$7,$M$8)</f>
        <v>6.3831200114931416E-2</v>
      </c>
    </row>
    <row r="1313" spans="6:7" x14ac:dyDescent="0.25">
      <c r="F1313">
        <v>1310</v>
      </c>
      <c r="G1313">
        <f ca="1">_xlfn.NORM.INV(RAND(),$M$7,$M$8)</f>
        <v>-2.7575812980595786E-3</v>
      </c>
    </row>
    <row r="1314" spans="6:7" x14ac:dyDescent="0.25">
      <c r="F1314">
        <v>1311</v>
      </c>
      <c r="G1314">
        <f ca="1">_xlfn.NORM.INV(RAND(),$M$7,$M$8)</f>
        <v>1.3564514959440237E-2</v>
      </c>
    </row>
    <row r="1315" spans="6:7" x14ac:dyDescent="0.25">
      <c r="F1315">
        <v>1312</v>
      </c>
      <c r="G1315">
        <f ca="1">_xlfn.NORM.INV(RAND(),$M$7,$M$8)</f>
        <v>3.5687446344868014E-2</v>
      </c>
    </row>
    <row r="1316" spans="6:7" x14ac:dyDescent="0.25">
      <c r="F1316">
        <v>1313</v>
      </c>
      <c r="G1316">
        <f ca="1">_xlfn.NORM.INV(RAND(),$M$7,$M$8)</f>
        <v>1.6549691999889155E-3</v>
      </c>
    </row>
    <row r="1317" spans="6:7" x14ac:dyDescent="0.25">
      <c r="F1317">
        <v>1314</v>
      </c>
      <c r="G1317">
        <f ca="1">_xlfn.NORM.INV(RAND(),$M$7,$M$8)</f>
        <v>-1.0180812555076909E-2</v>
      </c>
    </row>
    <row r="1318" spans="6:7" x14ac:dyDescent="0.25">
      <c r="F1318">
        <v>1315</v>
      </c>
      <c r="G1318">
        <f ca="1">_xlfn.NORM.INV(RAND(),$M$7,$M$8)</f>
        <v>1.8323382932628012E-2</v>
      </c>
    </row>
    <row r="1319" spans="6:7" x14ac:dyDescent="0.25">
      <c r="F1319">
        <v>1316</v>
      </c>
      <c r="G1319">
        <f ca="1">_xlfn.NORM.INV(RAND(),$M$7,$M$8)</f>
        <v>2.5015536381979207E-2</v>
      </c>
    </row>
    <row r="1320" spans="6:7" x14ac:dyDescent="0.25">
      <c r="F1320">
        <v>1317</v>
      </c>
      <c r="G1320">
        <f ca="1">_xlfn.NORM.INV(RAND(),$M$7,$M$8)</f>
        <v>4.4128451551848517E-2</v>
      </c>
    </row>
    <row r="1321" spans="6:7" x14ac:dyDescent="0.25">
      <c r="F1321">
        <v>1318</v>
      </c>
      <c r="G1321">
        <f ca="1">_xlfn.NORM.INV(RAND(),$M$7,$M$8)</f>
        <v>-3.9210550203446215E-3</v>
      </c>
    </row>
    <row r="1322" spans="6:7" x14ac:dyDescent="0.25">
      <c r="F1322">
        <v>1319</v>
      </c>
      <c r="G1322">
        <f ca="1">_xlfn.NORM.INV(RAND(),$M$7,$M$8)</f>
        <v>-4.9197508257330397E-3</v>
      </c>
    </row>
    <row r="1323" spans="6:7" x14ac:dyDescent="0.25">
      <c r="F1323">
        <v>1320</v>
      </c>
      <c r="G1323">
        <f ca="1">_xlfn.NORM.INV(RAND(),$M$7,$M$8)</f>
        <v>3.5306971926012946E-2</v>
      </c>
    </row>
    <row r="1324" spans="6:7" x14ac:dyDescent="0.25">
      <c r="F1324">
        <v>1321</v>
      </c>
      <c r="G1324">
        <f ca="1">_xlfn.NORM.INV(RAND(),$M$7,$M$8)</f>
        <v>-6.8929896058210396E-3</v>
      </c>
    </row>
    <row r="1325" spans="6:7" x14ac:dyDescent="0.25">
      <c r="F1325">
        <v>1322</v>
      </c>
      <c r="G1325">
        <f ca="1">_xlfn.NORM.INV(RAND(),$M$7,$M$8)</f>
        <v>-1.0662702000461384E-2</v>
      </c>
    </row>
    <row r="1326" spans="6:7" x14ac:dyDescent="0.25">
      <c r="F1326">
        <v>1323</v>
      </c>
      <c r="G1326">
        <f ca="1">_xlfn.NORM.INV(RAND(),$M$7,$M$8)</f>
        <v>2.9648251968690018E-2</v>
      </c>
    </row>
    <row r="1327" spans="6:7" x14ac:dyDescent="0.25">
      <c r="F1327">
        <v>1324</v>
      </c>
      <c r="G1327">
        <f ca="1">_xlfn.NORM.INV(RAND(),$M$7,$M$8)</f>
        <v>-1.3463781188401051E-2</v>
      </c>
    </row>
    <row r="1328" spans="6:7" x14ac:dyDescent="0.25">
      <c r="F1328">
        <v>1325</v>
      </c>
      <c r="G1328">
        <f ca="1">_xlfn.NORM.INV(RAND(),$M$7,$M$8)</f>
        <v>2.607660635266976E-2</v>
      </c>
    </row>
    <row r="1329" spans="6:7" x14ac:dyDescent="0.25">
      <c r="F1329">
        <v>1326</v>
      </c>
      <c r="G1329">
        <f ca="1">_xlfn.NORM.INV(RAND(),$M$7,$M$8)</f>
        <v>2.4659701421486512E-2</v>
      </c>
    </row>
    <row r="1330" spans="6:7" x14ac:dyDescent="0.25">
      <c r="F1330">
        <v>1327</v>
      </c>
      <c r="G1330">
        <f ca="1">_xlfn.NORM.INV(RAND(),$M$7,$M$8)</f>
        <v>2.6677792592949577E-2</v>
      </c>
    </row>
    <row r="1331" spans="6:7" x14ac:dyDescent="0.25">
      <c r="F1331">
        <v>1328</v>
      </c>
      <c r="G1331">
        <f ca="1">_xlfn.NORM.INV(RAND(),$M$7,$M$8)</f>
        <v>4.4763815414904547E-2</v>
      </c>
    </row>
    <row r="1332" spans="6:7" x14ac:dyDescent="0.25">
      <c r="F1332">
        <v>1329</v>
      </c>
      <c r="G1332">
        <f ca="1">_xlfn.NORM.INV(RAND(),$M$7,$M$8)</f>
        <v>1.6605795890990888E-2</v>
      </c>
    </row>
    <row r="1333" spans="6:7" x14ac:dyDescent="0.25">
      <c r="F1333">
        <v>1330</v>
      </c>
      <c r="G1333">
        <f ca="1">_xlfn.NORM.INV(RAND(),$M$7,$M$8)</f>
        <v>-1.0188664782109582E-2</v>
      </c>
    </row>
    <row r="1334" spans="6:7" x14ac:dyDescent="0.25">
      <c r="F1334">
        <v>1331</v>
      </c>
      <c r="G1334">
        <f ca="1">_xlfn.NORM.INV(RAND(),$M$7,$M$8)</f>
        <v>-2.2651909574670896E-2</v>
      </c>
    </row>
    <row r="1335" spans="6:7" x14ac:dyDescent="0.25">
      <c r="F1335">
        <v>1332</v>
      </c>
      <c r="G1335">
        <f ca="1">_xlfn.NORM.INV(RAND(),$M$7,$M$8)</f>
        <v>7.7879991552440766E-3</v>
      </c>
    </row>
    <row r="1336" spans="6:7" x14ac:dyDescent="0.25">
      <c r="F1336">
        <v>1333</v>
      </c>
      <c r="G1336">
        <f ca="1">_xlfn.NORM.INV(RAND(),$M$7,$M$8)</f>
        <v>1.5801870169791399E-2</v>
      </c>
    </row>
    <row r="1337" spans="6:7" x14ac:dyDescent="0.25">
      <c r="F1337">
        <v>1334</v>
      </c>
      <c r="G1337">
        <f ca="1">_xlfn.NORM.INV(RAND(),$M$7,$M$8)</f>
        <v>2.7789637909488043E-2</v>
      </c>
    </row>
    <row r="1338" spans="6:7" x14ac:dyDescent="0.25">
      <c r="F1338">
        <v>1335</v>
      </c>
      <c r="G1338">
        <f ca="1">_xlfn.NORM.INV(RAND(),$M$7,$M$8)</f>
        <v>6.7327573747739922E-4</v>
      </c>
    </row>
    <row r="1339" spans="6:7" x14ac:dyDescent="0.25">
      <c r="F1339">
        <v>1336</v>
      </c>
      <c r="G1339">
        <f ca="1">_xlfn.NORM.INV(RAND(),$M$7,$M$8)</f>
        <v>-8.86951461861968E-3</v>
      </c>
    </row>
    <row r="1340" spans="6:7" x14ac:dyDescent="0.25">
      <c r="F1340">
        <v>1337</v>
      </c>
      <c r="G1340">
        <f ca="1">_xlfn.NORM.INV(RAND(),$M$7,$M$8)</f>
        <v>-4.6535415606782267E-3</v>
      </c>
    </row>
    <row r="1341" spans="6:7" x14ac:dyDescent="0.25">
      <c r="F1341">
        <v>1338</v>
      </c>
      <c r="G1341">
        <f ca="1">_xlfn.NORM.INV(RAND(),$M$7,$M$8)</f>
        <v>2.1310680337928368E-2</v>
      </c>
    </row>
    <row r="1342" spans="6:7" x14ac:dyDescent="0.25">
      <c r="F1342">
        <v>1339</v>
      </c>
      <c r="G1342">
        <f ca="1">_xlfn.NORM.INV(RAND(),$M$7,$M$8)</f>
        <v>1.0081935998061871E-2</v>
      </c>
    </row>
    <row r="1343" spans="6:7" x14ac:dyDescent="0.25">
      <c r="F1343">
        <v>1340</v>
      </c>
      <c r="G1343">
        <f ca="1">_xlfn.NORM.INV(RAND(),$M$7,$M$8)</f>
        <v>4.6807354378866739E-2</v>
      </c>
    </row>
    <row r="1344" spans="6:7" x14ac:dyDescent="0.25">
      <c r="F1344">
        <v>1341</v>
      </c>
      <c r="G1344">
        <f ca="1">_xlfn.NORM.INV(RAND(),$M$7,$M$8)</f>
        <v>1.1699799113106556E-2</v>
      </c>
    </row>
    <row r="1345" spans="6:7" x14ac:dyDescent="0.25">
      <c r="F1345">
        <v>1342</v>
      </c>
      <c r="G1345">
        <f ca="1">_xlfn.NORM.INV(RAND(),$M$7,$M$8)</f>
        <v>-4.2715450863996651E-3</v>
      </c>
    </row>
    <row r="1346" spans="6:7" x14ac:dyDescent="0.25">
      <c r="F1346">
        <v>1343</v>
      </c>
      <c r="G1346">
        <f ca="1">_xlfn.NORM.INV(RAND(),$M$7,$M$8)</f>
        <v>-2.5006459333484082E-2</v>
      </c>
    </row>
    <row r="1347" spans="6:7" x14ac:dyDescent="0.25">
      <c r="F1347">
        <v>1344</v>
      </c>
      <c r="G1347">
        <f ca="1">_xlfn.NORM.INV(RAND(),$M$7,$M$8)</f>
        <v>1.4066439628584174E-2</v>
      </c>
    </row>
    <row r="1348" spans="6:7" x14ac:dyDescent="0.25">
      <c r="F1348">
        <v>1345</v>
      </c>
      <c r="G1348">
        <f ca="1">_xlfn.NORM.INV(RAND(),$M$7,$M$8)</f>
        <v>-2.642339544962027E-2</v>
      </c>
    </row>
    <row r="1349" spans="6:7" x14ac:dyDescent="0.25">
      <c r="F1349">
        <v>1346</v>
      </c>
      <c r="G1349">
        <f ca="1">_xlfn.NORM.INV(RAND(),$M$7,$M$8)</f>
        <v>1.5567076443485116E-2</v>
      </c>
    </row>
    <row r="1350" spans="6:7" x14ac:dyDescent="0.25">
      <c r="F1350">
        <v>1347</v>
      </c>
      <c r="G1350">
        <f ca="1">_xlfn.NORM.INV(RAND(),$M$7,$M$8)</f>
        <v>-3.1349078327242416E-2</v>
      </c>
    </row>
    <row r="1351" spans="6:7" x14ac:dyDescent="0.25">
      <c r="F1351">
        <v>1348</v>
      </c>
      <c r="G1351">
        <f ca="1">_xlfn.NORM.INV(RAND(),$M$7,$M$8)</f>
        <v>-2.8336373109560626E-2</v>
      </c>
    </row>
    <row r="1352" spans="6:7" x14ac:dyDescent="0.25">
      <c r="F1352">
        <v>1349</v>
      </c>
      <c r="G1352">
        <f ca="1">_xlfn.NORM.INV(RAND(),$M$7,$M$8)</f>
        <v>2.0866319605833759E-2</v>
      </c>
    </row>
    <row r="1353" spans="6:7" x14ac:dyDescent="0.25">
      <c r="F1353">
        <v>1350</v>
      </c>
      <c r="G1353">
        <f ca="1">_xlfn.NORM.INV(RAND(),$M$7,$M$8)</f>
        <v>4.6876526998944875E-3</v>
      </c>
    </row>
    <row r="1354" spans="6:7" x14ac:dyDescent="0.25">
      <c r="F1354">
        <v>1351</v>
      </c>
      <c r="G1354">
        <f ca="1">_xlfn.NORM.INV(RAND(),$M$7,$M$8)</f>
        <v>1.8386391469787589E-2</v>
      </c>
    </row>
    <row r="1355" spans="6:7" x14ac:dyDescent="0.25">
      <c r="F1355">
        <v>1352</v>
      </c>
      <c r="G1355">
        <f ca="1">_xlfn.NORM.INV(RAND(),$M$7,$M$8)</f>
        <v>2.5479009225885134E-2</v>
      </c>
    </row>
    <row r="1356" spans="6:7" x14ac:dyDescent="0.25">
      <c r="F1356">
        <v>1353</v>
      </c>
      <c r="G1356">
        <f ca="1">_xlfn.NORM.INV(RAND(),$M$7,$M$8)</f>
        <v>-3.5657320788498717E-2</v>
      </c>
    </row>
    <row r="1357" spans="6:7" x14ac:dyDescent="0.25">
      <c r="F1357">
        <v>1354</v>
      </c>
      <c r="G1357">
        <f ca="1">_xlfn.NORM.INV(RAND(),$M$7,$M$8)</f>
        <v>7.9164201203370203E-3</v>
      </c>
    </row>
    <row r="1358" spans="6:7" x14ac:dyDescent="0.25">
      <c r="F1358">
        <v>1355</v>
      </c>
      <c r="G1358">
        <f ca="1">_xlfn.NORM.INV(RAND(),$M$7,$M$8)</f>
        <v>-1.2673238620955912E-2</v>
      </c>
    </row>
    <row r="1359" spans="6:7" x14ac:dyDescent="0.25">
      <c r="F1359">
        <v>1356</v>
      </c>
      <c r="G1359">
        <f ca="1">_xlfn.NORM.INV(RAND(),$M$7,$M$8)</f>
        <v>4.4406451268723245E-2</v>
      </c>
    </row>
    <row r="1360" spans="6:7" x14ac:dyDescent="0.25">
      <c r="F1360">
        <v>1357</v>
      </c>
      <c r="G1360">
        <f ca="1">_xlfn.NORM.INV(RAND(),$M$7,$M$8)</f>
        <v>2.32186446509773E-2</v>
      </c>
    </row>
    <row r="1361" spans="6:7" x14ac:dyDescent="0.25">
      <c r="F1361">
        <v>1358</v>
      </c>
      <c r="G1361">
        <f ca="1">_xlfn.NORM.INV(RAND(),$M$7,$M$8)</f>
        <v>-5.371154324695343E-3</v>
      </c>
    </row>
    <row r="1362" spans="6:7" x14ac:dyDescent="0.25">
      <c r="F1362">
        <v>1359</v>
      </c>
      <c r="G1362">
        <f ca="1">_xlfn.NORM.INV(RAND(),$M$7,$M$8)</f>
        <v>1.9501305329398873E-2</v>
      </c>
    </row>
    <row r="1363" spans="6:7" x14ac:dyDescent="0.25">
      <c r="F1363">
        <v>1360</v>
      </c>
      <c r="G1363">
        <f ca="1">_xlfn.NORM.INV(RAND(),$M$7,$M$8)</f>
        <v>-6.255675003039563E-4</v>
      </c>
    </row>
    <row r="1364" spans="6:7" x14ac:dyDescent="0.25">
      <c r="F1364">
        <v>1361</v>
      </c>
      <c r="G1364">
        <f ca="1">_xlfn.NORM.INV(RAND(),$M$7,$M$8)</f>
        <v>-3.7663140822953425E-2</v>
      </c>
    </row>
    <row r="1365" spans="6:7" x14ac:dyDescent="0.25">
      <c r="F1365">
        <v>1362</v>
      </c>
      <c r="G1365">
        <f ca="1">_xlfn.NORM.INV(RAND(),$M$7,$M$8)</f>
        <v>-1.5112447250346824E-2</v>
      </c>
    </row>
    <row r="1366" spans="6:7" x14ac:dyDescent="0.25">
      <c r="F1366">
        <v>1363</v>
      </c>
      <c r="G1366">
        <f ca="1">_xlfn.NORM.INV(RAND(),$M$7,$M$8)</f>
        <v>-3.642634070980541E-2</v>
      </c>
    </row>
    <row r="1367" spans="6:7" x14ac:dyDescent="0.25">
      <c r="F1367">
        <v>1364</v>
      </c>
      <c r="G1367">
        <f ca="1">_xlfn.NORM.INV(RAND(),$M$7,$M$8)</f>
        <v>-1.0046290712423314E-2</v>
      </c>
    </row>
    <row r="1368" spans="6:7" x14ac:dyDescent="0.25">
      <c r="F1368">
        <v>1365</v>
      </c>
      <c r="G1368">
        <f ca="1">_xlfn.NORM.INV(RAND(),$M$7,$M$8)</f>
        <v>9.0035157261628279E-3</v>
      </c>
    </row>
    <row r="1369" spans="6:7" x14ac:dyDescent="0.25">
      <c r="F1369">
        <v>1366</v>
      </c>
      <c r="G1369">
        <f ca="1">_xlfn.NORM.INV(RAND(),$M$7,$M$8)</f>
        <v>-2.1921531495550598E-2</v>
      </c>
    </row>
    <row r="1370" spans="6:7" x14ac:dyDescent="0.25">
      <c r="F1370">
        <v>1367</v>
      </c>
      <c r="G1370">
        <f ca="1">_xlfn.NORM.INV(RAND(),$M$7,$M$8)</f>
        <v>2.4812588469294563E-3</v>
      </c>
    </row>
    <row r="1371" spans="6:7" x14ac:dyDescent="0.25">
      <c r="F1371">
        <v>1368</v>
      </c>
      <c r="G1371">
        <f ca="1">_xlfn.NORM.INV(RAND(),$M$7,$M$8)</f>
        <v>-3.5203277504460904E-3</v>
      </c>
    </row>
    <row r="1372" spans="6:7" x14ac:dyDescent="0.25">
      <c r="F1372">
        <v>1369</v>
      </c>
      <c r="G1372">
        <f ca="1">_xlfn.NORM.INV(RAND(),$M$7,$M$8)</f>
        <v>-2.5921789177697954E-2</v>
      </c>
    </row>
    <row r="1373" spans="6:7" x14ac:dyDescent="0.25">
      <c r="F1373">
        <v>1370</v>
      </c>
      <c r="G1373">
        <f ca="1">_xlfn.NORM.INV(RAND(),$M$7,$M$8)</f>
        <v>3.6742780407306726E-2</v>
      </c>
    </row>
    <row r="1374" spans="6:7" x14ac:dyDescent="0.25">
      <c r="F1374">
        <v>1371</v>
      </c>
      <c r="G1374">
        <f ca="1">_xlfn.NORM.INV(RAND(),$M$7,$M$8)</f>
        <v>-1.4827122746693268E-2</v>
      </c>
    </row>
    <row r="1375" spans="6:7" x14ac:dyDescent="0.25">
      <c r="F1375">
        <v>1372</v>
      </c>
      <c r="G1375">
        <f ca="1">_xlfn.NORM.INV(RAND(),$M$7,$M$8)</f>
        <v>-1.405267010628204E-2</v>
      </c>
    </row>
    <row r="1376" spans="6:7" x14ac:dyDescent="0.25">
      <c r="F1376">
        <v>1373</v>
      </c>
      <c r="G1376">
        <f ca="1">_xlfn.NORM.INV(RAND(),$M$7,$M$8)</f>
        <v>7.3542458146585597E-4</v>
      </c>
    </row>
    <row r="1377" spans="6:7" x14ac:dyDescent="0.25">
      <c r="F1377">
        <v>1374</v>
      </c>
      <c r="G1377">
        <f ca="1">_xlfn.NORM.INV(RAND(),$M$7,$M$8)</f>
        <v>7.5264823072858714E-3</v>
      </c>
    </row>
    <row r="1378" spans="6:7" x14ac:dyDescent="0.25">
      <c r="F1378">
        <v>1375</v>
      </c>
      <c r="G1378">
        <f ca="1">_xlfn.NORM.INV(RAND(),$M$7,$M$8)</f>
        <v>1.5774359116336789E-2</v>
      </c>
    </row>
    <row r="1379" spans="6:7" x14ac:dyDescent="0.25">
      <c r="F1379">
        <v>1376</v>
      </c>
      <c r="G1379">
        <f ca="1">_xlfn.NORM.INV(RAND(),$M$7,$M$8)</f>
        <v>9.8893085180769714E-4</v>
      </c>
    </row>
    <row r="1380" spans="6:7" x14ac:dyDescent="0.25">
      <c r="F1380">
        <v>1377</v>
      </c>
      <c r="G1380">
        <f ca="1">_xlfn.NORM.INV(RAND(),$M$7,$M$8)</f>
        <v>5.8698178323756886E-3</v>
      </c>
    </row>
    <row r="1381" spans="6:7" x14ac:dyDescent="0.25">
      <c r="F1381">
        <v>1378</v>
      </c>
      <c r="G1381">
        <f ca="1">_xlfn.NORM.INV(RAND(),$M$7,$M$8)</f>
        <v>2.3026932014006379E-2</v>
      </c>
    </row>
    <row r="1382" spans="6:7" x14ac:dyDescent="0.25">
      <c r="F1382">
        <v>1379</v>
      </c>
      <c r="G1382">
        <f ca="1">_xlfn.NORM.INV(RAND(),$M$7,$M$8)</f>
        <v>7.8296085461898746E-3</v>
      </c>
    </row>
    <row r="1383" spans="6:7" x14ac:dyDescent="0.25">
      <c r="F1383">
        <v>1380</v>
      </c>
      <c r="G1383">
        <f ca="1">_xlfn.NORM.INV(RAND(),$M$7,$M$8)</f>
        <v>5.7180126869281912E-3</v>
      </c>
    </row>
    <row r="1384" spans="6:7" x14ac:dyDescent="0.25">
      <c r="F1384">
        <v>1381</v>
      </c>
      <c r="G1384">
        <f ca="1">_xlfn.NORM.INV(RAND(),$M$7,$M$8)</f>
        <v>-1.16721042555347E-2</v>
      </c>
    </row>
    <row r="1385" spans="6:7" x14ac:dyDescent="0.25">
      <c r="F1385">
        <v>1382</v>
      </c>
      <c r="G1385">
        <f ca="1">_xlfn.NORM.INV(RAND(),$M$7,$M$8)</f>
        <v>-1.2881036104155598E-2</v>
      </c>
    </row>
    <row r="1386" spans="6:7" x14ac:dyDescent="0.25">
      <c r="F1386">
        <v>1383</v>
      </c>
      <c r="G1386">
        <f ca="1">_xlfn.NORM.INV(RAND(),$M$7,$M$8)</f>
        <v>8.8825465547241777E-4</v>
      </c>
    </row>
    <row r="1387" spans="6:7" x14ac:dyDescent="0.25">
      <c r="F1387">
        <v>1384</v>
      </c>
      <c r="G1387">
        <f ca="1">_xlfn.NORM.INV(RAND(),$M$7,$M$8)</f>
        <v>-3.30078668840829E-3</v>
      </c>
    </row>
    <row r="1388" spans="6:7" x14ac:dyDescent="0.25">
      <c r="F1388">
        <v>1385</v>
      </c>
      <c r="G1388">
        <f ca="1">_xlfn.NORM.INV(RAND(),$M$7,$M$8)</f>
        <v>8.0086344804371201E-4</v>
      </c>
    </row>
    <row r="1389" spans="6:7" x14ac:dyDescent="0.25">
      <c r="F1389">
        <v>1386</v>
      </c>
      <c r="G1389">
        <f ca="1">_xlfn.NORM.INV(RAND(),$M$7,$M$8)</f>
        <v>1.5104419318508577E-3</v>
      </c>
    </row>
    <row r="1390" spans="6:7" x14ac:dyDescent="0.25">
      <c r="F1390">
        <v>1387</v>
      </c>
      <c r="G1390">
        <f ca="1">_xlfn.NORM.INV(RAND(),$M$7,$M$8)</f>
        <v>-1.1305022492901877E-2</v>
      </c>
    </row>
    <row r="1391" spans="6:7" x14ac:dyDescent="0.25">
      <c r="F1391">
        <v>1388</v>
      </c>
      <c r="G1391">
        <f ca="1">_xlfn.NORM.INV(RAND(),$M$7,$M$8)</f>
        <v>-3.9588608116003461E-2</v>
      </c>
    </row>
    <row r="1392" spans="6:7" x14ac:dyDescent="0.25">
      <c r="F1392">
        <v>1389</v>
      </c>
      <c r="G1392">
        <f ca="1">_xlfn.NORM.INV(RAND(),$M$7,$M$8)</f>
        <v>9.677293987944504E-3</v>
      </c>
    </row>
    <row r="1393" spans="6:7" x14ac:dyDescent="0.25">
      <c r="F1393">
        <v>1390</v>
      </c>
      <c r="G1393">
        <f ca="1">_xlfn.NORM.INV(RAND(),$M$7,$M$8)</f>
        <v>1.4244877543352985E-2</v>
      </c>
    </row>
    <row r="1394" spans="6:7" x14ac:dyDescent="0.25">
      <c r="F1394">
        <v>1391</v>
      </c>
      <c r="G1394">
        <f ca="1">_xlfn.NORM.INV(RAND(),$M$7,$M$8)</f>
        <v>4.4328017372237849E-2</v>
      </c>
    </row>
    <row r="1395" spans="6:7" x14ac:dyDescent="0.25">
      <c r="F1395">
        <v>1392</v>
      </c>
      <c r="G1395">
        <f ca="1">_xlfn.NORM.INV(RAND(),$M$7,$M$8)</f>
        <v>1.1125508155324156E-2</v>
      </c>
    </row>
    <row r="1396" spans="6:7" x14ac:dyDescent="0.25">
      <c r="F1396">
        <v>1393</v>
      </c>
      <c r="G1396">
        <f ca="1">_xlfn.NORM.INV(RAND(),$M$7,$M$8)</f>
        <v>2.9803453438148244E-2</v>
      </c>
    </row>
    <row r="1397" spans="6:7" x14ac:dyDescent="0.25">
      <c r="F1397">
        <v>1394</v>
      </c>
      <c r="G1397">
        <f ca="1">_xlfn.NORM.INV(RAND(),$M$7,$M$8)</f>
        <v>6.2456959077872073E-3</v>
      </c>
    </row>
    <row r="1398" spans="6:7" x14ac:dyDescent="0.25">
      <c r="F1398">
        <v>1395</v>
      </c>
      <c r="G1398">
        <f ca="1">_xlfn.NORM.INV(RAND(),$M$7,$M$8)</f>
        <v>-9.2894478679712619E-3</v>
      </c>
    </row>
    <row r="1399" spans="6:7" x14ac:dyDescent="0.25">
      <c r="F1399">
        <v>1396</v>
      </c>
      <c r="G1399">
        <f ca="1">_xlfn.NORM.INV(RAND(),$M$7,$M$8)</f>
        <v>-3.7084718696582361E-3</v>
      </c>
    </row>
    <row r="1400" spans="6:7" x14ac:dyDescent="0.25">
      <c r="F1400">
        <v>1397</v>
      </c>
      <c r="G1400">
        <f ca="1">_xlfn.NORM.INV(RAND(),$M$7,$M$8)</f>
        <v>4.1653343182008994E-2</v>
      </c>
    </row>
    <row r="1401" spans="6:7" x14ac:dyDescent="0.25">
      <c r="F1401">
        <v>1398</v>
      </c>
      <c r="G1401">
        <f ca="1">_xlfn.NORM.INV(RAND(),$M$7,$M$8)</f>
        <v>1.4375188445660408E-3</v>
      </c>
    </row>
    <row r="1402" spans="6:7" x14ac:dyDescent="0.25">
      <c r="F1402">
        <v>1399</v>
      </c>
      <c r="G1402">
        <f ca="1">_xlfn.NORM.INV(RAND(),$M$7,$M$8)</f>
        <v>-8.4015970862619093E-3</v>
      </c>
    </row>
    <row r="1403" spans="6:7" x14ac:dyDescent="0.25">
      <c r="F1403">
        <v>1400</v>
      </c>
      <c r="G1403">
        <f ca="1">_xlfn.NORM.INV(RAND(),$M$7,$M$8)</f>
        <v>-1.4438470458277496E-2</v>
      </c>
    </row>
    <row r="1404" spans="6:7" x14ac:dyDescent="0.25">
      <c r="F1404">
        <v>1401</v>
      </c>
      <c r="G1404">
        <f ca="1">_xlfn.NORM.INV(RAND(),$M$7,$M$8)</f>
        <v>-6.2697940581391345E-3</v>
      </c>
    </row>
    <row r="1405" spans="6:7" x14ac:dyDescent="0.25">
      <c r="F1405">
        <v>1402</v>
      </c>
      <c r="G1405">
        <f ca="1">_xlfn.NORM.INV(RAND(),$M$7,$M$8)</f>
        <v>-1.2008458197755525E-2</v>
      </c>
    </row>
    <row r="1406" spans="6:7" x14ac:dyDescent="0.25">
      <c r="F1406">
        <v>1403</v>
      </c>
      <c r="G1406">
        <f ca="1">_xlfn.NORM.INV(RAND(),$M$7,$M$8)</f>
        <v>-1.8347098641057647E-2</v>
      </c>
    </row>
    <row r="1407" spans="6:7" x14ac:dyDescent="0.25">
      <c r="F1407">
        <v>1404</v>
      </c>
      <c r="G1407">
        <f ca="1">_xlfn.NORM.INV(RAND(),$M$7,$M$8)</f>
        <v>1.1207387413410073E-2</v>
      </c>
    </row>
    <row r="1408" spans="6:7" x14ac:dyDescent="0.25">
      <c r="F1408">
        <v>1405</v>
      </c>
      <c r="G1408">
        <f ca="1">_xlfn.NORM.INV(RAND(),$M$7,$M$8)</f>
        <v>1.9346243504994127E-3</v>
      </c>
    </row>
    <row r="1409" spans="6:7" x14ac:dyDescent="0.25">
      <c r="F1409">
        <v>1406</v>
      </c>
      <c r="G1409">
        <f ca="1">_xlfn.NORM.INV(RAND(),$M$7,$M$8)</f>
        <v>-2.9129439634147124E-2</v>
      </c>
    </row>
    <row r="1410" spans="6:7" x14ac:dyDescent="0.25">
      <c r="F1410">
        <v>1407</v>
      </c>
      <c r="G1410">
        <f ca="1">_xlfn.NORM.INV(RAND(),$M$7,$M$8)</f>
        <v>3.6338534518034126E-3</v>
      </c>
    </row>
    <row r="1411" spans="6:7" x14ac:dyDescent="0.25">
      <c r="F1411">
        <v>1408</v>
      </c>
      <c r="G1411">
        <f ca="1">_xlfn.NORM.INV(RAND(),$M$7,$M$8)</f>
        <v>-2.3033186317778023E-3</v>
      </c>
    </row>
    <row r="1412" spans="6:7" x14ac:dyDescent="0.25">
      <c r="F1412">
        <v>1409</v>
      </c>
      <c r="G1412">
        <f ca="1">_xlfn.NORM.INV(RAND(),$M$7,$M$8)</f>
        <v>-4.6968203397488358E-3</v>
      </c>
    </row>
    <row r="1413" spans="6:7" x14ac:dyDescent="0.25">
      <c r="F1413">
        <v>1410</v>
      </c>
      <c r="G1413">
        <f ca="1">_xlfn.NORM.INV(RAND(),$M$7,$M$8)</f>
        <v>-3.0885796198183348E-2</v>
      </c>
    </row>
    <row r="1414" spans="6:7" x14ac:dyDescent="0.25">
      <c r="F1414">
        <v>1411</v>
      </c>
      <c r="G1414">
        <f ca="1">_xlfn.NORM.INV(RAND(),$M$7,$M$8)</f>
        <v>-1.6949516013010932E-3</v>
      </c>
    </row>
    <row r="1415" spans="6:7" x14ac:dyDescent="0.25">
      <c r="F1415">
        <v>1412</v>
      </c>
      <c r="G1415">
        <f ca="1">_xlfn.NORM.INV(RAND(),$M$7,$M$8)</f>
        <v>2.8974663140848136E-2</v>
      </c>
    </row>
    <row r="1416" spans="6:7" x14ac:dyDescent="0.25">
      <c r="F1416">
        <v>1413</v>
      </c>
      <c r="G1416">
        <f ca="1">_xlfn.NORM.INV(RAND(),$M$7,$M$8)</f>
        <v>-5.0803149267425723E-4</v>
      </c>
    </row>
    <row r="1417" spans="6:7" x14ac:dyDescent="0.25">
      <c r="F1417">
        <v>1414</v>
      </c>
      <c r="G1417">
        <f ca="1">_xlfn.NORM.INV(RAND(),$M$7,$M$8)</f>
        <v>-3.7162736172237504E-2</v>
      </c>
    </row>
    <row r="1418" spans="6:7" x14ac:dyDescent="0.25">
      <c r="F1418">
        <v>1415</v>
      </c>
      <c r="G1418">
        <f ca="1">_xlfn.NORM.INV(RAND(),$M$7,$M$8)</f>
        <v>-1.2803266383160915E-2</v>
      </c>
    </row>
    <row r="1419" spans="6:7" x14ac:dyDescent="0.25">
      <c r="F1419">
        <v>1416</v>
      </c>
      <c r="G1419">
        <f ca="1">_xlfn.NORM.INV(RAND(),$M$7,$M$8)</f>
        <v>9.423133770487771E-3</v>
      </c>
    </row>
    <row r="1420" spans="6:7" x14ac:dyDescent="0.25">
      <c r="F1420">
        <v>1417</v>
      </c>
      <c r="G1420">
        <f ca="1">_xlfn.NORM.INV(RAND(),$M$7,$M$8)</f>
        <v>-4.8814298928107954E-3</v>
      </c>
    </row>
    <row r="1421" spans="6:7" x14ac:dyDescent="0.25">
      <c r="F1421">
        <v>1418</v>
      </c>
      <c r="G1421">
        <f ca="1">_xlfn.NORM.INV(RAND(),$M$7,$M$8)</f>
        <v>1.7096075313603222E-2</v>
      </c>
    </row>
    <row r="1422" spans="6:7" x14ac:dyDescent="0.25">
      <c r="F1422">
        <v>1419</v>
      </c>
      <c r="G1422">
        <f ca="1">_xlfn.NORM.INV(RAND(),$M$7,$M$8)</f>
        <v>-6.0339472231770767E-2</v>
      </c>
    </row>
    <row r="1423" spans="6:7" x14ac:dyDescent="0.25">
      <c r="F1423">
        <v>1420</v>
      </c>
      <c r="G1423">
        <f ca="1">_xlfn.NORM.INV(RAND(),$M$7,$M$8)</f>
        <v>-9.9349098600658714E-3</v>
      </c>
    </row>
    <row r="1424" spans="6:7" x14ac:dyDescent="0.25">
      <c r="F1424">
        <v>1421</v>
      </c>
      <c r="G1424">
        <f ca="1">_xlfn.NORM.INV(RAND(),$M$7,$M$8)</f>
        <v>-5.8897090511472044E-3</v>
      </c>
    </row>
    <row r="1425" spans="6:7" x14ac:dyDescent="0.25">
      <c r="F1425">
        <v>1422</v>
      </c>
      <c r="G1425">
        <f ca="1">_xlfn.NORM.INV(RAND(),$M$7,$M$8)</f>
        <v>-3.2288685220384999E-3</v>
      </c>
    </row>
    <row r="1426" spans="6:7" x14ac:dyDescent="0.25">
      <c r="F1426">
        <v>1423</v>
      </c>
      <c r="G1426">
        <f ca="1">_xlfn.NORM.INV(RAND(),$M$7,$M$8)</f>
        <v>4.4319685758446728E-3</v>
      </c>
    </row>
    <row r="1427" spans="6:7" x14ac:dyDescent="0.25">
      <c r="F1427">
        <v>1424</v>
      </c>
      <c r="G1427">
        <f ca="1">_xlfn.NORM.INV(RAND(),$M$7,$M$8)</f>
        <v>-1.3772432476636494E-2</v>
      </c>
    </row>
    <row r="1428" spans="6:7" x14ac:dyDescent="0.25">
      <c r="F1428">
        <v>1425</v>
      </c>
      <c r="G1428">
        <f ca="1">_xlfn.NORM.INV(RAND(),$M$7,$M$8)</f>
        <v>2.4818357039956957E-2</v>
      </c>
    </row>
    <row r="1429" spans="6:7" x14ac:dyDescent="0.25">
      <c r="F1429">
        <v>1426</v>
      </c>
      <c r="G1429">
        <f ca="1">_xlfn.NORM.INV(RAND(),$M$7,$M$8)</f>
        <v>-1.6707056107105843E-2</v>
      </c>
    </row>
    <row r="1430" spans="6:7" x14ac:dyDescent="0.25">
      <c r="F1430">
        <v>1427</v>
      </c>
      <c r="G1430">
        <f ca="1">_xlfn.NORM.INV(RAND(),$M$7,$M$8)</f>
        <v>-8.0401268620075121E-3</v>
      </c>
    </row>
    <row r="1431" spans="6:7" x14ac:dyDescent="0.25">
      <c r="F1431">
        <v>1428</v>
      </c>
      <c r="G1431">
        <f ca="1">_xlfn.NORM.INV(RAND(),$M$7,$M$8)</f>
        <v>-3.3313687232755288E-3</v>
      </c>
    </row>
    <row r="1432" spans="6:7" x14ac:dyDescent="0.25">
      <c r="F1432">
        <v>1429</v>
      </c>
      <c r="G1432">
        <f ca="1">_xlfn.NORM.INV(RAND(),$M$7,$M$8)</f>
        <v>2.6415577983153974E-2</v>
      </c>
    </row>
    <row r="1433" spans="6:7" x14ac:dyDescent="0.25">
      <c r="F1433">
        <v>1430</v>
      </c>
      <c r="G1433">
        <f ca="1">_xlfn.NORM.INV(RAND(),$M$7,$M$8)</f>
        <v>2.2819765896647016E-2</v>
      </c>
    </row>
    <row r="1434" spans="6:7" x14ac:dyDescent="0.25">
      <c r="F1434">
        <v>1431</v>
      </c>
      <c r="G1434">
        <f ca="1">_xlfn.NORM.INV(RAND(),$M$7,$M$8)</f>
        <v>-1.467095162772376E-2</v>
      </c>
    </row>
    <row r="1435" spans="6:7" x14ac:dyDescent="0.25">
      <c r="F1435">
        <v>1432</v>
      </c>
      <c r="G1435">
        <f ca="1">_xlfn.NORM.INV(RAND(),$M$7,$M$8)</f>
        <v>6.3656127014714205E-3</v>
      </c>
    </row>
    <row r="1436" spans="6:7" x14ac:dyDescent="0.25">
      <c r="F1436">
        <v>1433</v>
      </c>
      <c r="G1436">
        <f ca="1">_xlfn.NORM.INV(RAND(),$M$7,$M$8)</f>
        <v>5.1015244120332218E-2</v>
      </c>
    </row>
    <row r="1437" spans="6:7" x14ac:dyDescent="0.25">
      <c r="F1437">
        <v>1434</v>
      </c>
      <c r="G1437">
        <f ca="1">_xlfn.NORM.INV(RAND(),$M$7,$M$8)</f>
        <v>5.6057842711764179E-2</v>
      </c>
    </row>
    <row r="1438" spans="6:7" x14ac:dyDescent="0.25">
      <c r="F1438">
        <v>1435</v>
      </c>
      <c r="G1438">
        <f ca="1">_xlfn.NORM.INV(RAND(),$M$7,$M$8)</f>
        <v>2.1350879733241828E-2</v>
      </c>
    </row>
    <row r="1439" spans="6:7" x14ac:dyDescent="0.25">
      <c r="F1439">
        <v>1436</v>
      </c>
      <c r="G1439">
        <f ca="1">_xlfn.NORM.INV(RAND(),$M$7,$M$8)</f>
        <v>3.8071134304818198E-2</v>
      </c>
    </row>
    <row r="1440" spans="6:7" x14ac:dyDescent="0.25">
      <c r="F1440">
        <v>1437</v>
      </c>
      <c r="G1440">
        <f ca="1">_xlfn.NORM.INV(RAND(),$M$7,$M$8)</f>
        <v>1.6101662814349577E-2</v>
      </c>
    </row>
    <row r="1441" spans="6:7" x14ac:dyDescent="0.25">
      <c r="F1441">
        <v>1438</v>
      </c>
      <c r="G1441">
        <f ca="1">_xlfn.NORM.INV(RAND(),$M$7,$M$8)</f>
        <v>2.8634790377994997E-2</v>
      </c>
    </row>
    <row r="1442" spans="6:7" x14ac:dyDescent="0.25">
      <c r="F1442">
        <v>1439</v>
      </c>
      <c r="G1442">
        <f ca="1">_xlfn.NORM.INV(RAND(),$M$7,$M$8)</f>
        <v>-3.068415461799057E-2</v>
      </c>
    </row>
    <row r="1443" spans="6:7" x14ac:dyDescent="0.25">
      <c r="F1443">
        <v>1440</v>
      </c>
      <c r="G1443">
        <f ca="1">_xlfn.NORM.INV(RAND(),$M$7,$M$8)</f>
        <v>1.1904078212117196E-2</v>
      </c>
    </row>
    <row r="1444" spans="6:7" x14ac:dyDescent="0.25">
      <c r="F1444">
        <v>1441</v>
      </c>
      <c r="G1444">
        <f ca="1">_xlfn.NORM.INV(RAND(),$M$7,$M$8)</f>
        <v>-1.8437728730967357E-2</v>
      </c>
    </row>
    <row r="1445" spans="6:7" x14ac:dyDescent="0.25">
      <c r="F1445">
        <v>1442</v>
      </c>
      <c r="G1445">
        <f ca="1">_xlfn.NORM.INV(RAND(),$M$7,$M$8)</f>
        <v>1.0213001631699399E-2</v>
      </c>
    </row>
    <row r="1446" spans="6:7" x14ac:dyDescent="0.25">
      <c r="F1446">
        <v>1443</v>
      </c>
      <c r="G1446">
        <f ca="1">_xlfn.NORM.INV(RAND(),$M$7,$M$8)</f>
        <v>6.9125948550626188E-4</v>
      </c>
    </row>
    <row r="1447" spans="6:7" x14ac:dyDescent="0.25">
      <c r="F1447">
        <v>1444</v>
      </c>
      <c r="G1447">
        <f ca="1">_xlfn.NORM.INV(RAND(),$M$7,$M$8)</f>
        <v>1.113946126540776E-2</v>
      </c>
    </row>
    <row r="1448" spans="6:7" x14ac:dyDescent="0.25">
      <c r="F1448">
        <v>1445</v>
      </c>
      <c r="G1448">
        <f ca="1">_xlfn.NORM.INV(RAND(),$M$7,$M$8)</f>
        <v>-1.0782916452487802E-2</v>
      </c>
    </row>
    <row r="1449" spans="6:7" x14ac:dyDescent="0.25">
      <c r="F1449">
        <v>1446</v>
      </c>
      <c r="G1449">
        <f ca="1">_xlfn.NORM.INV(RAND(),$M$7,$M$8)</f>
        <v>1.6390111017328242E-2</v>
      </c>
    </row>
    <row r="1450" spans="6:7" x14ac:dyDescent="0.25">
      <c r="F1450">
        <v>1447</v>
      </c>
      <c r="G1450">
        <f ca="1">_xlfn.NORM.INV(RAND(),$M$7,$M$8)</f>
        <v>-6.09705091556679E-4</v>
      </c>
    </row>
    <row r="1451" spans="6:7" x14ac:dyDescent="0.25">
      <c r="F1451">
        <v>1448</v>
      </c>
      <c r="G1451">
        <f ca="1">_xlfn.NORM.INV(RAND(),$M$7,$M$8)</f>
        <v>2.1529319227579856E-2</v>
      </c>
    </row>
    <row r="1452" spans="6:7" x14ac:dyDescent="0.25">
      <c r="F1452">
        <v>1449</v>
      </c>
      <c r="G1452">
        <f ca="1">_xlfn.NORM.INV(RAND(),$M$7,$M$8)</f>
        <v>-2.5559000880285038E-2</v>
      </c>
    </row>
    <row r="1453" spans="6:7" x14ac:dyDescent="0.25">
      <c r="F1453">
        <v>1450</v>
      </c>
      <c r="G1453">
        <f ca="1">_xlfn.NORM.INV(RAND(),$M$7,$M$8)</f>
        <v>-3.1711658874658363E-2</v>
      </c>
    </row>
    <row r="1454" spans="6:7" x14ac:dyDescent="0.25">
      <c r="F1454">
        <v>1451</v>
      </c>
      <c r="G1454">
        <f ca="1">_xlfn.NORM.INV(RAND(),$M$7,$M$8)</f>
        <v>-1.4608794467770926E-2</v>
      </c>
    </row>
    <row r="1455" spans="6:7" x14ac:dyDescent="0.25">
      <c r="F1455">
        <v>1452</v>
      </c>
      <c r="G1455">
        <f ca="1">_xlfn.NORM.INV(RAND(),$M$7,$M$8)</f>
        <v>1.3966037898632716E-2</v>
      </c>
    </row>
    <row r="1456" spans="6:7" x14ac:dyDescent="0.25">
      <c r="F1456">
        <v>1453</v>
      </c>
      <c r="G1456">
        <f ca="1">_xlfn.NORM.INV(RAND(),$M$7,$M$8)</f>
        <v>-1.1533196002120339E-2</v>
      </c>
    </row>
    <row r="1457" spans="6:7" x14ac:dyDescent="0.25">
      <c r="F1457">
        <v>1454</v>
      </c>
      <c r="G1457">
        <f ca="1">_xlfn.NORM.INV(RAND(),$M$7,$M$8)</f>
        <v>-7.1898205405774823E-2</v>
      </c>
    </row>
    <row r="1458" spans="6:7" x14ac:dyDescent="0.25">
      <c r="F1458">
        <v>1455</v>
      </c>
      <c r="G1458">
        <f ca="1">_xlfn.NORM.INV(RAND(),$M$7,$M$8)</f>
        <v>1.6815824518088842E-3</v>
      </c>
    </row>
    <row r="1459" spans="6:7" x14ac:dyDescent="0.25">
      <c r="F1459">
        <v>1456</v>
      </c>
      <c r="G1459">
        <f ca="1">_xlfn.NORM.INV(RAND(),$M$7,$M$8)</f>
        <v>4.2835973457415008E-2</v>
      </c>
    </row>
    <row r="1460" spans="6:7" x14ac:dyDescent="0.25">
      <c r="F1460">
        <v>1457</v>
      </c>
      <c r="G1460">
        <f ca="1">_xlfn.NORM.INV(RAND(),$M$7,$M$8)</f>
        <v>-1.7589680431503236E-2</v>
      </c>
    </row>
    <row r="1461" spans="6:7" x14ac:dyDescent="0.25">
      <c r="F1461">
        <v>1458</v>
      </c>
      <c r="G1461">
        <f ca="1">_xlfn.NORM.INV(RAND(),$M$7,$M$8)</f>
        <v>6.6881811020825192E-3</v>
      </c>
    </row>
    <row r="1462" spans="6:7" x14ac:dyDescent="0.25">
      <c r="F1462">
        <v>1459</v>
      </c>
      <c r="G1462">
        <f ca="1">_xlfn.NORM.INV(RAND(),$M$7,$M$8)</f>
        <v>-5.2188317211539059E-3</v>
      </c>
    </row>
    <row r="1463" spans="6:7" x14ac:dyDescent="0.25">
      <c r="F1463">
        <v>1460</v>
      </c>
      <c r="G1463">
        <f ca="1">_xlfn.NORM.INV(RAND(),$M$7,$M$8)</f>
        <v>-7.3462654261546578E-2</v>
      </c>
    </row>
    <row r="1464" spans="6:7" x14ac:dyDescent="0.25">
      <c r="F1464">
        <v>1461</v>
      </c>
      <c r="G1464">
        <f ca="1">_xlfn.NORM.INV(RAND(),$M$7,$M$8)</f>
        <v>2.0255142577007248E-2</v>
      </c>
    </row>
    <row r="1465" spans="6:7" x14ac:dyDescent="0.25">
      <c r="F1465">
        <v>1462</v>
      </c>
      <c r="G1465">
        <f ca="1">_xlfn.NORM.INV(RAND(),$M$7,$M$8)</f>
        <v>-3.3874229771060874E-2</v>
      </c>
    </row>
    <row r="1466" spans="6:7" x14ac:dyDescent="0.25">
      <c r="F1466">
        <v>1463</v>
      </c>
      <c r="G1466">
        <f ca="1">_xlfn.NORM.INV(RAND(),$M$7,$M$8)</f>
        <v>-3.8518869153057647E-2</v>
      </c>
    </row>
    <row r="1467" spans="6:7" x14ac:dyDescent="0.25">
      <c r="F1467">
        <v>1464</v>
      </c>
      <c r="G1467">
        <f ca="1">_xlfn.NORM.INV(RAND(),$M$7,$M$8)</f>
        <v>-4.5489676268154255E-2</v>
      </c>
    </row>
    <row r="1468" spans="6:7" x14ac:dyDescent="0.25">
      <c r="F1468">
        <v>1465</v>
      </c>
      <c r="G1468">
        <f ca="1">_xlfn.NORM.INV(RAND(),$M$7,$M$8)</f>
        <v>-3.5970134324636292E-3</v>
      </c>
    </row>
    <row r="1469" spans="6:7" x14ac:dyDescent="0.25">
      <c r="F1469">
        <v>1466</v>
      </c>
      <c r="G1469">
        <f ca="1">_xlfn.NORM.INV(RAND(),$M$7,$M$8)</f>
        <v>1.2535749795530259E-2</v>
      </c>
    </row>
    <row r="1470" spans="6:7" x14ac:dyDescent="0.25">
      <c r="F1470">
        <v>1467</v>
      </c>
      <c r="G1470">
        <f ca="1">_xlfn.NORM.INV(RAND(),$M$7,$M$8)</f>
        <v>-8.9337639101880664E-3</v>
      </c>
    </row>
    <row r="1471" spans="6:7" x14ac:dyDescent="0.25">
      <c r="F1471">
        <v>1468</v>
      </c>
      <c r="G1471">
        <f ca="1">_xlfn.NORM.INV(RAND(),$M$7,$M$8)</f>
        <v>-4.3894363730846382E-2</v>
      </c>
    </row>
    <row r="1472" spans="6:7" x14ac:dyDescent="0.25">
      <c r="F1472">
        <v>1469</v>
      </c>
      <c r="G1472">
        <f ca="1">_xlfn.NORM.INV(RAND(),$M$7,$M$8)</f>
        <v>-2.3475231275848728E-2</v>
      </c>
    </row>
    <row r="1473" spans="6:7" x14ac:dyDescent="0.25">
      <c r="F1473">
        <v>1470</v>
      </c>
      <c r="G1473">
        <f ca="1">_xlfn.NORM.INV(RAND(),$M$7,$M$8)</f>
        <v>-1.8723502350517316E-2</v>
      </c>
    </row>
    <row r="1474" spans="6:7" x14ac:dyDescent="0.25">
      <c r="F1474">
        <v>1471</v>
      </c>
      <c r="G1474">
        <f ca="1">_xlfn.NORM.INV(RAND(),$M$7,$M$8)</f>
        <v>-7.1331425430682174E-3</v>
      </c>
    </row>
    <row r="1475" spans="6:7" x14ac:dyDescent="0.25">
      <c r="F1475">
        <v>1472</v>
      </c>
      <c r="G1475">
        <f ca="1">_xlfn.NORM.INV(RAND(),$M$7,$M$8)</f>
        <v>8.4390310991876126E-3</v>
      </c>
    </row>
    <row r="1476" spans="6:7" x14ac:dyDescent="0.25">
      <c r="F1476">
        <v>1473</v>
      </c>
      <c r="G1476">
        <f ca="1">_xlfn.NORM.INV(RAND(),$M$7,$M$8)</f>
        <v>1.1032944285635955E-2</v>
      </c>
    </row>
    <row r="1477" spans="6:7" x14ac:dyDescent="0.25">
      <c r="F1477">
        <v>1474</v>
      </c>
      <c r="G1477">
        <f ca="1">_xlfn.NORM.INV(RAND(),$M$7,$M$8)</f>
        <v>-8.1699601338439311E-3</v>
      </c>
    </row>
    <row r="1478" spans="6:7" x14ac:dyDescent="0.25">
      <c r="F1478">
        <v>1475</v>
      </c>
      <c r="G1478">
        <f ca="1">_xlfn.NORM.INV(RAND(),$M$7,$M$8)</f>
        <v>-1.4480533133993655E-2</v>
      </c>
    </row>
    <row r="1479" spans="6:7" x14ac:dyDescent="0.25">
      <c r="F1479">
        <v>1476</v>
      </c>
      <c r="G1479">
        <f ca="1">_xlfn.NORM.INV(RAND(),$M$7,$M$8)</f>
        <v>3.2912688282231789E-2</v>
      </c>
    </row>
    <row r="1480" spans="6:7" x14ac:dyDescent="0.25">
      <c r="F1480">
        <v>1477</v>
      </c>
      <c r="G1480">
        <f ca="1">_xlfn.NORM.INV(RAND(),$M$7,$M$8)</f>
        <v>1.5177946487861166E-2</v>
      </c>
    </row>
    <row r="1481" spans="6:7" x14ac:dyDescent="0.25">
      <c r="F1481">
        <v>1478</v>
      </c>
      <c r="G1481">
        <f ca="1">_xlfn.NORM.INV(RAND(),$M$7,$M$8)</f>
        <v>3.5940237493683441E-2</v>
      </c>
    </row>
    <row r="1482" spans="6:7" x14ac:dyDescent="0.25">
      <c r="F1482">
        <v>1479</v>
      </c>
      <c r="G1482">
        <f ca="1">_xlfn.NORM.INV(RAND(),$M$7,$M$8)</f>
        <v>2.338216455183471E-2</v>
      </c>
    </row>
    <row r="1483" spans="6:7" x14ac:dyDescent="0.25">
      <c r="F1483">
        <v>1480</v>
      </c>
      <c r="G1483">
        <f ca="1">_xlfn.NORM.INV(RAND(),$M$7,$M$8)</f>
        <v>1.3937580080208864E-2</v>
      </c>
    </row>
    <row r="1484" spans="6:7" x14ac:dyDescent="0.25">
      <c r="F1484">
        <v>1481</v>
      </c>
      <c r="G1484">
        <f ca="1">_xlfn.NORM.INV(RAND(),$M$7,$M$8)</f>
        <v>-2.2149609422343311E-3</v>
      </c>
    </row>
    <row r="1485" spans="6:7" x14ac:dyDescent="0.25">
      <c r="F1485">
        <v>1482</v>
      </c>
      <c r="G1485">
        <f ca="1">_xlfn.NORM.INV(RAND(),$M$7,$M$8)</f>
        <v>1.4180255633610434E-2</v>
      </c>
    </row>
    <row r="1486" spans="6:7" x14ac:dyDescent="0.25">
      <c r="F1486">
        <v>1483</v>
      </c>
      <c r="G1486">
        <f ca="1">_xlfn.NORM.INV(RAND(),$M$7,$M$8)</f>
        <v>-1.9539484536560757E-2</v>
      </c>
    </row>
    <row r="1487" spans="6:7" x14ac:dyDescent="0.25">
      <c r="F1487">
        <v>1484</v>
      </c>
      <c r="G1487">
        <f ca="1">_xlfn.NORM.INV(RAND(),$M$7,$M$8)</f>
        <v>-2.140375029463357E-2</v>
      </c>
    </row>
    <row r="1488" spans="6:7" x14ac:dyDescent="0.25">
      <c r="F1488">
        <v>1485</v>
      </c>
      <c r="G1488">
        <f ca="1">_xlfn.NORM.INV(RAND(),$M$7,$M$8)</f>
        <v>-2.2112666274818487E-2</v>
      </c>
    </row>
    <row r="1489" spans="6:7" x14ac:dyDescent="0.25">
      <c r="F1489">
        <v>1486</v>
      </c>
      <c r="G1489">
        <f ca="1">_xlfn.NORM.INV(RAND(),$M$7,$M$8)</f>
        <v>-4.6510449391156783E-2</v>
      </c>
    </row>
    <row r="1490" spans="6:7" x14ac:dyDescent="0.25">
      <c r="F1490">
        <v>1487</v>
      </c>
      <c r="G1490">
        <f ca="1">_xlfn.NORM.INV(RAND(),$M$7,$M$8)</f>
        <v>-2.2313582359681484E-3</v>
      </c>
    </row>
    <row r="1491" spans="6:7" x14ac:dyDescent="0.25">
      <c r="F1491">
        <v>1488</v>
      </c>
      <c r="G1491">
        <f ca="1">_xlfn.NORM.INV(RAND(),$M$7,$M$8)</f>
        <v>1.3407650061121037E-2</v>
      </c>
    </row>
    <row r="1492" spans="6:7" x14ac:dyDescent="0.25">
      <c r="F1492">
        <v>1489</v>
      </c>
      <c r="G1492">
        <f ca="1">_xlfn.NORM.INV(RAND(),$M$7,$M$8)</f>
        <v>-1.3142894493777212E-2</v>
      </c>
    </row>
    <row r="1493" spans="6:7" x14ac:dyDescent="0.25">
      <c r="F1493">
        <v>1490</v>
      </c>
      <c r="G1493">
        <f ca="1">_xlfn.NORM.INV(RAND(),$M$7,$M$8)</f>
        <v>-3.2735794269296979E-2</v>
      </c>
    </row>
    <row r="1494" spans="6:7" x14ac:dyDescent="0.25">
      <c r="F1494">
        <v>1491</v>
      </c>
      <c r="G1494">
        <f ca="1">_xlfn.NORM.INV(RAND(),$M$7,$M$8)</f>
        <v>1.8354214148639639E-2</v>
      </c>
    </row>
    <row r="1495" spans="6:7" x14ac:dyDescent="0.25">
      <c r="F1495">
        <v>1492</v>
      </c>
      <c r="G1495">
        <f ca="1">_xlfn.NORM.INV(RAND(),$M$7,$M$8)</f>
        <v>2.9108142091689274E-2</v>
      </c>
    </row>
    <row r="1496" spans="6:7" x14ac:dyDescent="0.25">
      <c r="F1496">
        <v>1493</v>
      </c>
      <c r="G1496">
        <f ca="1">_xlfn.NORM.INV(RAND(),$M$7,$M$8)</f>
        <v>4.3534529204897275E-2</v>
      </c>
    </row>
    <row r="1497" spans="6:7" x14ac:dyDescent="0.25">
      <c r="F1497">
        <v>1494</v>
      </c>
      <c r="G1497">
        <f ca="1">_xlfn.NORM.INV(RAND(),$M$7,$M$8)</f>
        <v>5.5334018968075278E-3</v>
      </c>
    </row>
    <row r="1498" spans="6:7" x14ac:dyDescent="0.25">
      <c r="F1498">
        <v>1495</v>
      </c>
      <c r="G1498">
        <f ca="1">_xlfn.NORM.INV(RAND(),$M$7,$M$8)</f>
        <v>-1.2544069851370028E-2</v>
      </c>
    </row>
    <row r="1499" spans="6:7" x14ac:dyDescent="0.25">
      <c r="F1499">
        <v>1496</v>
      </c>
      <c r="G1499">
        <f ca="1">_xlfn.NORM.INV(RAND(),$M$7,$M$8)</f>
        <v>1.0833939661888137E-2</v>
      </c>
    </row>
    <row r="1500" spans="6:7" x14ac:dyDescent="0.25">
      <c r="F1500">
        <v>1497</v>
      </c>
      <c r="G1500">
        <f ca="1">_xlfn.NORM.INV(RAND(),$M$7,$M$8)</f>
        <v>3.3870377111204074E-2</v>
      </c>
    </row>
    <row r="1501" spans="6:7" x14ac:dyDescent="0.25">
      <c r="F1501">
        <v>1498</v>
      </c>
      <c r="G1501">
        <f ca="1">_xlfn.NORM.INV(RAND(),$M$7,$M$8)</f>
        <v>1.3651248973853494E-2</v>
      </c>
    </row>
    <row r="1502" spans="6:7" x14ac:dyDescent="0.25">
      <c r="F1502">
        <v>1499</v>
      </c>
      <c r="G1502">
        <f ca="1">_xlfn.NORM.INV(RAND(),$M$7,$M$8)</f>
        <v>2.3611554439120427E-2</v>
      </c>
    </row>
    <row r="1503" spans="6:7" x14ac:dyDescent="0.25">
      <c r="F1503">
        <v>1500</v>
      </c>
      <c r="G1503">
        <f ca="1">_xlfn.NORM.INV(RAND(),$M$7,$M$8)</f>
        <v>2.2732537736076565E-3</v>
      </c>
    </row>
    <row r="1504" spans="6:7" x14ac:dyDescent="0.25">
      <c r="F1504">
        <v>1501</v>
      </c>
      <c r="G1504">
        <f ca="1">_xlfn.NORM.INV(RAND(),$M$7,$M$8)</f>
        <v>-2.2990223550044115E-2</v>
      </c>
    </row>
    <row r="1505" spans="6:7" x14ac:dyDescent="0.25">
      <c r="F1505">
        <v>1502</v>
      </c>
      <c r="G1505">
        <f ca="1">_xlfn.NORM.INV(RAND(),$M$7,$M$8)</f>
        <v>-1.1694385663487824E-2</v>
      </c>
    </row>
    <row r="1506" spans="6:7" x14ac:dyDescent="0.25">
      <c r="F1506">
        <v>1503</v>
      </c>
      <c r="G1506">
        <f ca="1">_xlfn.NORM.INV(RAND(),$M$7,$M$8)</f>
        <v>2.0168910978749448E-2</v>
      </c>
    </row>
    <row r="1507" spans="6:7" x14ac:dyDescent="0.25">
      <c r="F1507">
        <v>1504</v>
      </c>
      <c r="G1507">
        <f ca="1">_xlfn.NORM.INV(RAND(),$M$7,$M$8)</f>
        <v>1.3964477423492087E-3</v>
      </c>
    </row>
    <row r="1508" spans="6:7" x14ac:dyDescent="0.25">
      <c r="F1508">
        <v>1505</v>
      </c>
      <c r="G1508">
        <f ca="1">_xlfn.NORM.INV(RAND(),$M$7,$M$8)</f>
        <v>-2.9454010820761278E-2</v>
      </c>
    </row>
    <row r="1509" spans="6:7" x14ac:dyDescent="0.25">
      <c r="F1509">
        <v>1506</v>
      </c>
      <c r="G1509">
        <f ca="1">_xlfn.NORM.INV(RAND(),$M$7,$M$8)</f>
        <v>1.9032914118010062E-2</v>
      </c>
    </row>
    <row r="1510" spans="6:7" x14ac:dyDescent="0.25">
      <c r="F1510">
        <v>1507</v>
      </c>
      <c r="G1510">
        <f ca="1">_xlfn.NORM.INV(RAND(),$M$7,$M$8)</f>
        <v>-2.49366655263728E-2</v>
      </c>
    </row>
    <row r="1511" spans="6:7" x14ac:dyDescent="0.25">
      <c r="F1511">
        <v>1508</v>
      </c>
      <c r="G1511">
        <f ca="1">_xlfn.NORM.INV(RAND(),$M$7,$M$8)</f>
        <v>-1.328409644640367E-2</v>
      </c>
    </row>
    <row r="1512" spans="6:7" x14ac:dyDescent="0.25">
      <c r="F1512">
        <v>1509</v>
      </c>
      <c r="G1512">
        <f ca="1">_xlfn.NORM.INV(RAND(),$M$7,$M$8)</f>
        <v>1.8539602839050946E-2</v>
      </c>
    </row>
    <row r="1513" spans="6:7" x14ac:dyDescent="0.25">
      <c r="F1513">
        <v>1510</v>
      </c>
      <c r="G1513">
        <f ca="1">_xlfn.NORM.INV(RAND(),$M$7,$M$8)</f>
        <v>2.1365522440161985E-2</v>
      </c>
    </row>
    <row r="1514" spans="6:7" x14ac:dyDescent="0.25">
      <c r="F1514">
        <v>1511</v>
      </c>
      <c r="G1514">
        <f ca="1">_xlfn.NORM.INV(RAND(),$M$7,$M$8)</f>
        <v>4.2605514531665625E-2</v>
      </c>
    </row>
    <row r="1515" spans="6:7" x14ac:dyDescent="0.25">
      <c r="F1515">
        <v>1512</v>
      </c>
      <c r="G1515">
        <f ca="1">_xlfn.NORM.INV(RAND(),$M$7,$M$8)</f>
        <v>2.0307937012207233E-2</v>
      </c>
    </row>
    <row r="1516" spans="6:7" x14ac:dyDescent="0.25">
      <c r="F1516">
        <v>1513</v>
      </c>
      <c r="G1516">
        <f ca="1">_xlfn.NORM.INV(RAND(),$M$7,$M$8)</f>
        <v>7.0940143714365873E-3</v>
      </c>
    </row>
    <row r="1517" spans="6:7" x14ac:dyDescent="0.25">
      <c r="F1517">
        <v>1514</v>
      </c>
      <c r="G1517">
        <f ca="1">_xlfn.NORM.INV(RAND(),$M$7,$M$8)</f>
        <v>5.4238398947769294E-3</v>
      </c>
    </row>
    <row r="1518" spans="6:7" x14ac:dyDescent="0.25">
      <c r="F1518">
        <v>1515</v>
      </c>
      <c r="G1518">
        <f ca="1">_xlfn.NORM.INV(RAND(),$M$7,$M$8)</f>
        <v>-2.9816262595689782E-2</v>
      </c>
    </row>
    <row r="1519" spans="6:7" x14ac:dyDescent="0.25">
      <c r="F1519">
        <v>1516</v>
      </c>
      <c r="G1519">
        <f ca="1">_xlfn.NORM.INV(RAND(),$M$7,$M$8)</f>
        <v>-1.0959796989015672E-2</v>
      </c>
    </row>
    <row r="1520" spans="6:7" x14ac:dyDescent="0.25">
      <c r="F1520">
        <v>1517</v>
      </c>
      <c r="G1520">
        <f ca="1">_xlfn.NORM.INV(RAND(),$M$7,$M$8)</f>
        <v>-1.9903553455683114E-2</v>
      </c>
    </row>
    <row r="1521" spans="6:7" x14ac:dyDescent="0.25">
      <c r="F1521">
        <v>1518</v>
      </c>
      <c r="G1521">
        <f ca="1">_xlfn.NORM.INV(RAND(),$M$7,$M$8)</f>
        <v>-2.2686386307423426E-2</v>
      </c>
    </row>
    <row r="1522" spans="6:7" x14ac:dyDescent="0.25">
      <c r="F1522">
        <v>1519</v>
      </c>
      <c r="G1522">
        <f ca="1">_xlfn.NORM.INV(RAND(),$M$7,$M$8)</f>
        <v>2.8132998707443822E-2</v>
      </c>
    </row>
    <row r="1523" spans="6:7" x14ac:dyDescent="0.25">
      <c r="F1523">
        <v>1520</v>
      </c>
      <c r="G1523">
        <f ca="1">_xlfn.NORM.INV(RAND(),$M$7,$M$8)</f>
        <v>-3.5049134757924971E-3</v>
      </c>
    </row>
    <row r="1524" spans="6:7" x14ac:dyDescent="0.25">
      <c r="F1524">
        <v>1521</v>
      </c>
      <c r="G1524">
        <f ca="1">_xlfn.NORM.INV(RAND(),$M$7,$M$8)</f>
        <v>-2.9445781628003792E-2</v>
      </c>
    </row>
    <row r="1525" spans="6:7" x14ac:dyDescent="0.25">
      <c r="F1525">
        <v>1522</v>
      </c>
      <c r="G1525">
        <f ca="1">_xlfn.NORM.INV(RAND(),$M$7,$M$8)</f>
        <v>-3.8955795088617975E-2</v>
      </c>
    </row>
    <row r="1526" spans="6:7" x14ac:dyDescent="0.25">
      <c r="F1526">
        <v>1523</v>
      </c>
      <c r="G1526">
        <f ca="1">_xlfn.NORM.INV(RAND(),$M$7,$M$8)</f>
        <v>-1.2141314295553545E-2</v>
      </c>
    </row>
    <row r="1527" spans="6:7" x14ac:dyDescent="0.25">
      <c r="F1527">
        <v>1524</v>
      </c>
      <c r="G1527">
        <f ca="1">_xlfn.NORM.INV(RAND(),$M$7,$M$8)</f>
        <v>6.5329113171809523E-3</v>
      </c>
    </row>
    <row r="1528" spans="6:7" x14ac:dyDescent="0.25">
      <c r="F1528">
        <v>1525</v>
      </c>
      <c r="G1528">
        <f ca="1">_xlfn.NORM.INV(RAND(),$M$7,$M$8)</f>
        <v>-4.0202818647745338E-2</v>
      </c>
    </row>
    <row r="1529" spans="6:7" x14ac:dyDescent="0.25">
      <c r="F1529">
        <v>1526</v>
      </c>
      <c r="G1529">
        <f ca="1">_xlfn.NORM.INV(RAND(),$M$7,$M$8)</f>
        <v>-1.3174974733311784E-3</v>
      </c>
    </row>
    <row r="1530" spans="6:7" x14ac:dyDescent="0.25">
      <c r="F1530">
        <v>1527</v>
      </c>
      <c r="G1530">
        <f ca="1">_xlfn.NORM.INV(RAND(),$M$7,$M$8)</f>
        <v>3.2195868636955456E-2</v>
      </c>
    </row>
    <row r="1531" spans="6:7" x14ac:dyDescent="0.25">
      <c r="F1531">
        <v>1528</v>
      </c>
      <c r="G1531">
        <f ca="1">_xlfn.NORM.INV(RAND(),$M$7,$M$8)</f>
        <v>-2.0204445627511288E-3</v>
      </c>
    </row>
    <row r="1532" spans="6:7" x14ac:dyDescent="0.25">
      <c r="F1532">
        <v>1529</v>
      </c>
      <c r="G1532">
        <f ca="1">_xlfn.NORM.INV(RAND(),$M$7,$M$8)</f>
        <v>-1.6964571121583567E-2</v>
      </c>
    </row>
    <row r="1533" spans="6:7" x14ac:dyDescent="0.25">
      <c r="F1533">
        <v>1530</v>
      </c>
      <c r="G1533">
        <f ca="1">_xlfn.NORM.INV(RAND(),$M$7,$M$8)</f>
        <v>-4.0186435492604779E-3</v>
      </c>
    </row>
    <row r="1534" spans="6:7" x14ac:dyDescent="0.25">
      <c r="F1534">
        <v>1531</v>
      </c>
      <c r="G1534">
        <f ca="1">_xlfn.NORM.INV(RAND(),$M$7,$M$8)</f>
        <v>4.4226576408176857E-2</v>
      </c>
    </row>
    <row r="1535" spans="6:7" x14ac:dyDescent="0.25">
      <c r="F1535">
        <v>1532</v>
      </c>
      <c r="G1535">
        <f ca="1">_xlfn.NORM.INV(RAND(),$M$7,$M$8)</f>
        <v>-1.6372082748668956E-2</v>
      </c>
    </row>
    <row r="1536" spans="6:7" x14ac:dyDescent="0.25">
      <c r="F1536">
        <v>1533</v>
      </c>
      <c r="G1536">
        <f ca="1">_xlfn.NORM.INV(RAND(),$M$7,$M$8)</f>
        <v>-8.9516708107678002E-3</v>
      </c>
    </row>
    <row r="1537" spans="6:7" x14ac:dyDescent="0.25">
      <c r="F1537">
        <v>1534</v>
      </c>
      <c r="G1537">
        <f ca="1">_xlfn.NORM.INV(RAND(),$M$7,$M$8)</f>
        <v>3.7843724132878384E-2</v>
      </c>
    </row>
    <row r="1538" spans="6:7" x14ac:dyDescent="0.25">
      <c r="F1538">
        <v>1535</v>
      </c>
      <c r="G1538">
        <f ca="1">_xlfn.NORM.INV(RAND(),$M$7,$M$8)</f>
        <v>-1.0627930118681807E-3</v>
      </c>
    </row>
    <row r="1539" spans="6:7" x14ac:dyDescent="0.25">
      <c r="F1539">
        <v>1536</v>
      </c>
      <c r="G1539">
        <f ca="1">_xlfn.NORM.INV(RAND(),$M$7,$M$8)</f>
        <v>-3.0356701719270879E-2</v>
      </c>
    </row>
    <row r="1540" spans="6:7" x14ac:dyDescent="0.25">
      <c r="F1540">
        <v>1537</v>
      </c>
      <c r="G1540">
        <f ca="1">_xlfn.NORM.INV(RAND(),$M$7,$M$8)</f>
        <v>2.5018331096190892E-3</v>
      </c>
    </row>
    <row r="1541" spans="6:7" x14ac:dyDescent="0.25">
      <c r="F1541">
        <v>1538</v>
      </c>
      <c r="G1541">
        <f ca="1">_xlfn.NORM.INV(RAND(),$M$7,$M$8)</f>
        <v>3.2204776344821863E-2</v>
      </c>
    </row>
    <row r="1542" spans="6:7" x14ac:dyDescent="0.25">
      <c r="F1542">
        <v>1539</v>
      </c>
      <c r="G1542">
        <f ca="1">_xlfn.NORM.INV(RAND(),$M$7,$M$8)</f>
        <v>-3.5629486289120001E-2</v>
      </c>
    </row>
    <row r="1543" spans="6:7" x14ac:dyDescent="0.25">
      <c r="F1543">
        <v>1540</v>
      </c>
      <c r="G1543">
        <f ca="1">_xlfn.NORM.INV(RAND(),$M$7,$M$8)</f>
        <v>-3.2049503943460129E-2</v>
      </c>
    </row>
    <row r="1544" spans="6:7" x14ac:dyDescent="0.25">
      <c r="F1544">
        <v>1541</v>
      </c>
      <c r="G1544">
        <f ca="1">_xlfn.NORM.INV(RAND(),$M$7,$M$8)</f>
        <v>-2.0691678264633098E-2</v>
      </c>
    </row>
    <row r="1545" spans="6:7" x14ac:dyDescent="0.25">
      <c r="F1545">
        <v>1542</v>
      </c>
      <c r="G1545">
        <f ca="1">_xlfn.NORM.INV(RAND(),$M$7,$M$8)</f>
        <v>-1.8582222724733016E-2</v>
      </c>
    </row>
    <row r="1546" spans="6:7" x14ac:dyDescent="0.25">
      <c r="F1546">
        <v>1543</v>
      </c>
      <c r="G1546">
        <f ca="1">_xlfn.NORM.INV(RAND(),$M$7,$M$8)</f>
        <v>3.6946989160674946E-3</v>
      </c>
    </row>
    <row r="1547" spans="6:7" x14ac:dyDescent="0.25">
      <c r="F1547">
        <v>1544</v>
      </c>
      <c r="G1547">
        <f ca="1">_xlfn.NORM.INV(RAND(),$M$7,$M$8)</f>
        <v>-1.0037939566822716E-2</v>
      </c>
    </row>
    <row r="1548" spans="6:7" x14ac:dyDescent="0.25">
      <c r="F1548">
        <v>1545</v>
      </c>
      <c r="G1548">
        <f ca="1">_xlfn.NORM.INV(RAND(),$M$7,$M$8)</f>
        <v>-6.9423802436678287E-3</v>
      </c>
    </row>
    <row r="1549" spans="6:7" x14ac:dyDescent="0.25">
      <c r="F1549">
        <v>1546</v>
      </c>
      <c r="G1549">
        <f ca="1">_xlfn.NORM.INV(RAND(),$M$7,$M$8)</f>
        <v>6.2705004452125335E-3</v>
      </c>
    </row>
    <row r="1550" spans="6:7" x14ac:dyDescent="0.25">
      <c r="F1550">
        <v>1547</v>
      </c>
      <c r="G1550">
        <f ca="1">_xlfn.NORM.INV(RAND(),$M$7,$M$8)</f>
        <v>-8.823731070932074E-3</v>
      </c>
    </row>
    <row r="1551" spans="6:7" x14ac:dyDescent="0.25">
      <c r="F1551">
        <v>1548</v>
      </c>
      <c r="G1551">
        <f ca="1">_xlfn.NORM.INV(RAND(),$M$7,$M$8)</f>
        <v>2.7082466904267813E-2</v>
      </c>
    </row>
    <row r="1552" spans="6:7" x14ac:dyDescent="0.25">
      <c r="F1552">
        <v>1549</v>
      </c>
      <c r="G1552">
        <f ca="1">_xlfn.NORM.INV(RAND(),$M$7,$M$8)</f>
        <v>-6.1259567006004111E-3</v>
      </c>
    </row>
    <row r="1553" spans="6:7" x14ac:dyDescent="0.25">
      <c r="F1553">
        <v>1550</v>
      </c>
      <c r="G1553">
        <f ca="1">_xlfn.NORM.INV(RAND(),$M$7,$M$8)</f>
        <v>-2.5664106481058546E-2</v>
      </c>
    </row>
    <row r="1554" spans="6:7" x14ac:dyDescent="0.25">
      <c r="F1554">
        <v>1551</v>
      </c>
      <c r="G1554">
        <f ca="1">_xlfn.NORM.INV(RAND(),$M$7,$M$8)</f>
        <v>-2.6401381296014013E-2</v>
      </c>
    </row>
    <row r="1555" spans="6:7" x14ac:dyDescent="0.25">
      <c r="F1555">
        <v>1552</v>
      </c>
      <c r="G1555">
        <f ca="1">_xlfn.NORM.INV(RAND(),$M$7,$M$8)</f>
        <v>-1.5248072015340161E-2</v>
      </c>
    </row>
    <row r="1556" spans="6:7" x14ac:dyDescent="0.25">
      <c r="F1556">
        <v>1553</v>
      </c>
      <c r="G1556">
        <f ca="1">_xlfn.NORM.INV(RAND(),$M$7,$M$8)</f>
        <v>-2.0286520062116713E-2</v>
      </c>
    </row>
    <row r="1557" spans="6:7" x14ac:dyDescent="0.25">
      <c r="F1557">
        <v>1554</v>
      </c>
      <c r="G1557">
        <f ca="1">_xlfn.NORM.INV(RAND(),$M$7,$M$8)</f>
        <v>-4.6215776752485177E-4</v>
      </c>
    </row>
    <row r="1558" spans="6:7" x14ac:dyDescent="0.25">
      <c r="F1558">
        <v>1555</v>
      </c>
      <c r="G1558">
        <f ca="1">_xlfn.NORM.INV(RAND(),$M$7,$M$8)</f>
        <v>-1.3046837263780425E-2</v>
      </c>
    </row>
    <row r="1559" spans="6:7" x14ac:dyDescent="0.25">
      <c r="F1559">
        <v>1556</v>
      </c>
      <c r="G1559">
        <f ca="1">_xlfn.NORM.INV(RAND(),$M$7,$M$8)</f>
        <v>-1.7644534347822847E-2</v>
      </c>
    </row>
    <row r="1560" spans="6:7" x14ac:dyDescent="0.25">
      <c r="F1560">
        <v>1557</v>
      </c>
      <c r="G1560">
        <f ca="1">_xlfn.NORM.INV(RAND(),$M$7,$M$8)</f>
        <v>-3.5065889171621366E-2</v>
      </c>
    </row>
    <row r="1561" spans="6:7" x14ac:dyDescent="0.25">
      <c r="F1561">
        <v>1558</v>
      </c>
      <c r="G1561">
        <f ca="1">_xlfn.NORM.INV(RAND(),$M$7,$M$8)</f>
        <v>3.9813415947914975E-3</v>
      </c>
    </row>
    <row r="1562" spans="6:7" x14ac:dyDescent="0.25">
      <c r="F1562">
        <v>1559</v>
      </c>
      <c r="G1562">
        <f ca="1">_xlfn.NORM.INV(RAND(),$M$7,$M$8)</f>
        <v>7.2233882067544303E-3</v>
      </c>
    </row>
    <row r="1563" spans="6:7" x14ac:dyDescent="0.25">
      <c r="F1563">
        <v>1560</v>
      </c>
      <c r="G1563">
        <f ca="1">_xlfn.NORM.INV(RAND(),$M$7,$M$8)</f>
        <v>-1.3346112541969542E-2</v>
      </c>
    </row>
    <row r="1564" spans="6:7" x14ac:dyDescent="0.25">
      <c r="F1564">
        <v>1561</v>
      </c>
      <c r="G1564">
        <f ca="1">_xlfn.NORM.INV(RAND(),$M$7,$M$8)</f>
        <v>6.1033163017484989E-4</v>
      </c>
    </row>
    <row r="1565" spans="6:7" x14ac:dyDescent="0.25">
      <c r="F1565">
        <v>1562</v>
      </c>
      <c r="G1565">
        <f ca="1">_xlfn.NORM.INV(RAND(),$M$7,$M$8)</f>
        <v>3.5377459027482024E-2</v>
      </c>
    </row>
    <row r="1566" spans="6:7" x14ac:dyDescent="0.25">
      <c r="F1566">
        <v>1563</v>
      </c>
      <c r="G1566">
        <f ca="1">_xlfn.NORM.INV(RAND(),$M$7,$M$8)</f>
        <v>-2.9542061576720249E-2</v>
      </c>
    </row>
    <row r="1567" spans="6:7" x14ac:dyDescent="0.25">
      <c r="F1567">
        <v>1564</v>
      </c>
      <c r="G1567">
        <f ca="1">_xlfn.NORM.INV(RAND(),$M$7,$M$8)</f>
        <v>1.2937197402495135E-2</v>
      </c>
    </row>
    <row r="1568" spans="6:7" x14ac:dyDescent="0.25">
      <c r="F1568">
        <v>1565</v>
      </c>
      <c r="G1568">
        <f ca="1">_xlfn.NORM.INV(RAND(),$M$7,$M$8)</f>
        <v>-3.6706403165563076E-2</v>
      </c>
    </row>
    <row r="1569" spans="6:7" x14ac:dyDescent="0.25">
      <c r="F1569">
        <v>1566</v>
      </c>
      <c r="G1569">
        <f ca="1">_xlfn.NORM.INV(RAND(),$M$7,$M$8)</f>
        <v>-2.7908932576505084E-2</v>
      </c>
    </row>
    <row r="1570" spans="6:7" x14ac:dyDescent="0.25">
      <c r="F1570">
        <v>1567</v>
      </c>
      <c r="G1570">
        <f ca="1">_xlfn.NORM.INV(RAND(),$M$7,$M$8)</f>
        <v>3.2199995806016242E-2</v>
      </c>
    </row>
    <row r="1571" spans="6:7" x14ac:dyDescent="0.25">
      <c r="F1571">
        <v>1568</v>
      </c>
      <c r="G1571">
        <f ca="1">_xlfn.NORM.INV(RAND(),$M$7,$M$8)</f>
        <v>2.8993053333682866E-3</v>
      </c>
    </row>
    <row r="1572" spans="6:7" x14ac:dyDescent="0.25">
      <c r="F1572">
        <v>1569</v>
      </c>
      <c r="G1572">
        <f ca="1">_xlfn.NORM.INV(RAND(),$M$7,$M$8)</f>
        <v>-2.4022039126532134E-2</v>
      </c>
    </row>
    <row r="1573" spans="6:7" x14ac:dyDescent="0.25">
      <c r="F1573">
        <v>1570</v>
      </c>
      <c r="G1573">
        <f ca="1">_xlfn.NORM.INV(RAND(),$M$7,$M$8)</f>
        <v>-6.5695435741970863E-3</v>
      </c>
    </row>
    <row r="1574" spans="6:7" x14ac:dyDescent="0.25">
      <c r="F1574">
        <v>1571</v>
      </c>
      <c r="G1574">
        <f ca="1">_xlfn.NORM.INV(RAND(),$M$7,$M$8)</f>
        <v>5.101988340153242E-2</v>
      </c>
    </row>
    <row r="1575" spans="6:7" x14ac:dyDescent="0.25">
      <c r="F1575">
        <v>1572</v>
      </c>
      <c r="G1575">
        <f ca="1">_xlfn.NORM.INV(RAND(),$M$7,$M$8)</f>
        <v>-2.0296788975529806E-2</v>
      </c>
    </row>
    <row r="1576" spans="6:7" x14ac:dyDescent="0.25">
      <c r="F1576">
        <v>1573</v>
      </c>
      <c r="G1576">
        <f ca="1">_xlfn.NORM.INV(RAND(),$M$7,$M$8)</f>
        <v>-6.5363036763869484E-3</v>
      </c>
    </row>
    <row r="1577" spans="6:7" x14ac:dyDescent="0.25">
      <c r="F1577">
        <v>1574</v>
      </c>
      <c r="G1577">
        <f ca="1">_xlfn.NORM.INV(RAND(),$M$7,$M$8)</f>
        <v>5.069599987813022E-2</v>
      </c>
    </row>
    <row r="1578" spans="6:7" x14ac:dyDescent="0.25">
      <c r="F1578">
        <v>1575</v>
      </c>
      <c r="G1578">
        <f ca="1">_xlfn.NORM.INV(RAND(),$M$7,$M$8)</f>
        <v>2.2237436022831188E-2</v>
      </c>
    </row>
    <row r="1579" spans="6:7" x14ac:dyDescent="0.25">
      <c r="F1579">
        <v>1576</v>
      </c>
      <c r="G1579">
        <f ca="1">_xlfn.NORM.INV(RAND(),$M$7,$M$8)</f>
        <v>-2.0461241679158467E-2</v>
      </c>
    </row>
    <row r="1580" spans="6:7" x14ac:dyDescent="0.25">
      <c r="F1580">
        <v>1577</v>
      </c>
      <c r="G1580">
        <f ca="1">_xlfn.NORM.INV(RAND(),$M$7,$M$8)</f>
        <v>2.9216548638894956E-3</v>
      </c>
    </row>
    <row r="1581" spans="6:7" x14ac:dyDescent="0.25">
      <c r="F1581">
        <v>1578</v>
      </c>
      <c r="G1581">
        <f ca="1">_xlfn.NORM.INV(RAND(),$M$7,$M$8)</f>
        <v>-2.839715157961176E-2</v>
      </c>
    </row>
    <row r="1582" spans="6:7" x14ac:dyDescent="0.25">
      <c r="F1582">
        <v>1579</v>
      </c>
      <c r="G1582">
        <f ca="1">_xlfn.NORM.INV(RAND(),$M$7,$M$8)</f>
        <v>8.5505537372501245E-3</v>
      </c>
    </row>
    <row r="1583" spans="6:7" x14ac:dyDescent="0.25">
      <c r="F1583">
        <v>1580</v>
      </c>
      <c r="G1583">
        <f ca="1">_xlfn.NORM.INV(RAND(),$M$7,$M$8)</f>
        <v>-6.0750855623492358E-3</v>
      </c>
    </row>
    <row r="1584" spans="6:7" x14ac:dyDescent="0.25">
      <c r="F1584">
        <v>1581</v>
      </c>
      <c r="G1584">
        <f ca="1">_xlfn.NORM.INV(RAND(),$M$7,$M$8)</f>
        <v>1.9391884440828237E-2</v>
      </c>
    </row>
    <row r="1585" spans="6:7" x14ac:dyDescent="0.25">
      <c r="F1585">
        <v>1582</v>
      </c>
      <c r="G1585">
        <f ca="1">_xlfn.NORM.INV(RAND(),$M$7,$M$8)</f>
        <v>1.2559858014063851E-3</v>
      </c>
    </row>
    <row r="1586" spans="6:7" x14ac:dyDescent="0.25">
      <c r="F1586">
        <v>1583</v>
      </c>
      <c r="G1586">
        <f ca="1">_xlfn.NORM.INV(RAND(),$M$7,$M$8)</f>
        <v>-1.5539282018328691E-2</v>
      </c>
    </row>
    <row r="1587" spans="6:7" x14ac:dyDescent="0.25">
      <c r="F1587">
        <v>1584</v>
      </c>
      <c r="G1587">
        <f ca="1">_xlfn.NORM.INV(RAND(),$M$7,$M$8)</f>
        <v>2.0410482359838028E-2</v>
      </c>
    </row>
    <row r="1588" spans="6:7" x14ac:dyDescent="0.25">
      <c r="F1588">
        <v>1585</v>
      </c>
      <c r="G1588">
        <f ca="1">_xlfn.NORM.INV(RAND(),$M$7,$M$8)</f>
        <v>-3.1583387920105635E-2</v>
      </c>
    </row>
    <row r="1589" spans="6:7" x14ac:dyDescent="0.25">
      <c r="F1589">
        <v>1586</v>
      </c>
      <c r="G1589">
        <f ca="1">_xlfn.NORM.INV(RAND(),$M$7,$M$8)</f>
        <v>4.2167465862347875E-2</v>
      </c>
    </row>
    <row r="1590" spans="6:7" x14ac:dyDescent="0.25">
      <c r="F1590">
        <v>1587</v>
      </c>
      <c r="G1590">
        <f ca="1">_xlfn.NORM.INV(RAND(),$M$7,$M$8)</f>
        <v>1.6415376361173375E-2</v>
      </c>
    </row>
    <row r="1591" spans="6:7" x14ac:dyDescent="0.25">
      <c r="F1591">
        <v>1588</v>
      </c>
      <c r="G1591">
        <f ca="1">_xlfn.NORM.INV(RAND(),$M$7,$M$8)</f>
        <v>-3.5596918910284832E-2</v>
      </c>
    </row>
    <row r="1592" spans="6:7" x14ac:dyDescent="0.25">
      <c r="F1592">
        <v>1589</v>
      </c>
      <c r="G1592">
        <f ca="1">_xlfn.NORM.INV(RAND(),$M$7,$M$8)</f>
        <v>-2.1660047703135683E-2</v>
      </c>
    </row>
    <row r="1593" spans="6:7" x14ac:dyDescent="0.25">
      <c r="F1593">
        <v>1590</v>
      </c>
      <c r="G1593">
        <f ca="1">_xlfn.NORM.INV(RAND(),$M$7,$M$8)</f>
        <v>-1.8053989979590603E-2</v>
      </c>
    </row>
    <row r="1594" spans="6:7" x14ac:dyDescent="0.25">
      <c r="F1594">
        <v>1591</v>
      </c>
      <c r="G1594">
        <f ca="1">_xlfn.NORM.INV(RAND(),$M$7,$M$8)</f>
        <v>-4.1177097768522086E-4</v>
      </c>
    </row>
    <row r="1595" spans="6:7" x14ac:dyDescent="0.25">
      <c r="F1595">
        <v>1592</v>
      </c>
      <c r="G1595">
        <f ca="1">_xlfn.NORM.INV(RAND(),$M$7,$M$8)</f>
        <v>-1.4344544577401171E-2</v>
      </c>
    </row>
    <row r="1596" spans="6:7" x14ac:dyDescent="0.25">
      <c r="F1596">
        <v>1593</v>
      </c>
      <c r="G1596">
        <f ca="1">_xlfn.NORM.INV(RAND(),$M$7,$M$8)</f>
        <v>3.5543919104622868E-3</v>
      </c>
    </row>
    <row r="1597" spans="6:7" x14ac:dyDescent="0.25">
      <c r="F1597">
        <v>1594</v>
      </c>
      <c r="G1597">
        <f ca="1">_xlfn.NORM.INV(RAND(),$M$7,$M$8)</f>
        <v>-1.0935832230505454E-2</v>
      </c>
    </row>
    <row r="1598" spans="6:7" x14ac:dyDescent="0.25">
      <c r="F1598">
        <v>1595</v>
      </c>
      <c r="G1598">
        <f ca="1">_xlfn.NORM.INV(RAND(),$M$7,$M$8)</f>
        <v>1.7032125407981463E-2</v>
      </c>
    </row>
    <row r="1599" spans="6:7" x14ac:dyDescent="0.25">
      <c r="F1599">
        <v>1596</v>
      </c>
      <c r="G1599">
        <f ca="1">_xlfn.NORM.INV(RAND(),$M$7,$M$8)</f>
        <v>-3.2643840240385567E-3</v>
      </c>
    </row>
    <row r="1600" spans="6:7" x14ac:dyDescent="0.25">
      <c r="F1600">
        <v>1597</v>
      </c>
      <c r="G1600">
        <f ca="1">_xlfn.NORM.INV(RAND(),$M$7,$M$8)</f>
        <v>1.9452471328857659E-2</v>
      </c>
    </row>
    <row r="1601" spans="6:7" x14ac:dyDescent="0.25">
      <c r="F1601">
        <v>1598</v>
      </c>
      <c r="G1601">
        <f ca="1">_xlfn.NORM.INV(RAND(),$M$7,$M$8)</f>
        <v>2.0776409834718138E-2</v>
      </c>
    </row>
    <row r="1602" spans="6:7" x14ac:dyDescent="0.25">
      <c r="F1602">
        <v>1599</v>
      </c>
      <c r="G1602">
        <f ca="1">_xlfn.NORM.INV(RAND(),$M$7,$M$8)</f>
        <v>-9.4780983331600992E-3</v>
      </c>
    </row>
    <row r="1603" spans="6:7" x14ac:dyDescent="0.25">
      <c r="F1603">
        <v>1600</v>
      </c>
      <c r="G1603">
        <f ca="1">_xlfn.NORM.INV(RAND(),$M$7,$M$8)</f>
        <v>-1.0488364548779815E-2</v>
      </c>
    </row>
    <row r="1604" spans="6:7" x14ac:dyDescent="0.25">
      <c r="F1604">
        <v>1601</v>
      </c>
      <c r="G1604">
        <f ca="1">_xlfn.NORM.INV(RAND(),$M$7,$M$8)</f>
        <v>3.9285157788128251E-2</v>
      </c>
    </row>
    <row r="1605" spans="6:7" x14ac:dyDescent="0.25">
      <c r="F1605">
        <v>1602</v>
      </c>
      <c r="G1605">
        <f ca="1">_xlfn.NORM.INV(RAND(),$M$7,$M$8)</f>
        <v>-7.0244177571631983E-2</v>
      </c>
    </row>
    <row r="1606" spans="6:7" x14ac:dyDescent="0.25">
      <c r="F1606">
        <v>1603</v>
      </c>
      <c r="G1606">
        <f ca="1">_xlfn.NORM.INV(RAND(),$M$7,$M$8)</f>
        <v>-5.6316270086211248E-3</v>
      </c>
    </row>
    <row r="1607" spans="6:7" x14ac:dyDescent="0.25">
      <c r="F1607">
        <v>1604</v>
      </c>
      <c r="G1607">
        <f ca="1">_xlfn.NORM.INV(RAND(),$M$7,$M$8)</f>
        <v>1.086182237511457E-2</v>
      </c>
    </row>
    <row r="1608" spans="6:7" x14ac:dyDescent="0.25">
      <c r="F1608">
        <v>1605</v>
      </c>
      <c r="G1608">
        <f ca="1">_xlfn.NORM.INV(RAND(),$M$7,$M$8)</f>
        <v>8.7231485695595835E-3</v>
      </c>
    </row>
    <row r="1609" spans="6:7" x14ac:dyDescent="0.25">
      <c r="F1609">
        <v>1606</v>
      </c>
      <c r="G1609">
        <f ca="1">_xlfn.NORM.INV(RAND(),$M$7,$M$8)</f>
        <v>3.0249231025509679E-2</v>
      </c>
    </row>
    <row r="1610" spans="6:7" x14ac:dyDescent="0.25">
      <c r="F1610">
        <v>1607</v>
      </c>
      <c r="G1610">
        <f ca="1">_xlfn.NORM.INV(RAND(),$M$7,$M$8)</f>
        <v>-1.6064780543158314E-2</v>
      </c>
    </row>
    <row r="1611" spans="6:7" x14ac:dyDescent="0.25">
      <c r="F1611">
        <v>1608</v>
      </c>
      <c r="G1611">
        <f ca="1">_xlfn.NORM.INV(RAND(),$M$7,$M$8)</f>
        <v>3.0315787238917015E-2</v>
      </c>
    </row>
    <row r="1612" spans="6:7" x14ac:dyDescent="0.25">
      <c r="F1612">
        <v>1609</v>
      </c>
      <c r="G1612">
        <f ca="1">_xlfn.NORM.INV(RAND(),$M$7,$M$8)</f>
        <v>-3.5907131717135428E-3</v>
      </c>
    </row>
    <row r="1613" spans="6:7" x14ac:dyDescent="0.25">
      <c r="F1613">
        <v>1610</v>
      </c>
      <c r="G1613">
        <f ca="1">_xlfn.NORM.INV(RAND(),$M$7,$M$8)</f>
        <v>8.0210234370247536E-3</v>
      </c>
    </row>
    <row r="1614" spans="6:7" x14ac:dyDescent="0.25">
      <c r="F1614">
        <v>1611</v>
      </c>
      <c r="G1614">
        <f ca="1">_xlfn.NORM.INV(RAND(),$M$7,$M$8)</f>
        <v>-1.7729051419038675E-3</v>
      </c>
    </row>
    <row r="1615" spans="6:7" x14ac:dyDescent="0.25">
      <c r="F1615">
        <v>1612</v>
      </c>
      <c r="G1615">
        <f ca="1">_xlfn.NORM.INV(RAND(),$M$7,$M$8)</f>
        <v>-1.15767266795715E-2</v>
      </c>
    </row>
    <row r="1616" spans="6:7" x14ac:dyDescent="0.25">
      <c r="F1616">
        <v>1613</v>
      </c>
      <c r="G1616">
        <f ca="1">_xlfn.NORM.INV(RAND(),$M$7,$M$8)</f>
        <v>-3.4207220964769208E-3</v>
      </c>
    </row>
    <row r="1617" spans="6:7" x14ac:dyDescent="0.25">
      <c r="F1617">
        <v>1614</v>
      </c>
      <c r="G1617">
        <f ca="1">_xlfn.NORM.INV(RAND(),$M$7,$M$8)</f>
        <v>2.4436096777034635E-2</v>
      </c>
    </row>
    <row r="1618" spans="6:7" x14ac:dyDescent="0.25">
      <c r="F1618">
        <v>1615</v>
      </c>
      <c r="G1618">
        <f ca="1">_xlfn.NORM.INV(RAND(),$M$7,$M$8)</f>
        <v>1.66424087661452E-2</v>
      </c>
    </row>
    <row r="1619" spans="6:7" x14ac:dyDescent="0.25">
      <c r="F1619">
        <v>1616</v>
      </c>
      <c r="G1619">
        <f ca="1">_xlfn.NORM.INV(RAND(),$M$7,$M$8)</f>
        <v>-9.2469925656647831E-3</v>
      </c>
    </row>
    <row r="1620" spans="6:7" x14ac:dyDescent="0.25">
      <c r="F1620">
        <v>1617</v>
      </c>
      <c r="G1620">
        <f ca="1">_xlfn.NORM.INV(RAND(),$M$7,$M$8)</f>
        <v>-3.388874011896885E-3</v>
      </c>
    </row>
    <row r="1621" spans="6:7" x14ac:dyDescent="0.25">
      <c r="F1621">
        <v>1618</v>
      </c>
      <c r="G1621">
        <f ca="1">_xlfn.NORM.INV(RAND(),$M$7,$M$8)</f>
        <v>2.8917688353284718E-2</v>
      </c>
    </row>
    <row r="1622" spans="6:7" x14ac:dyDescent="0.25">
      <c r="F1622">
        <v>1619</v>
      </c>
      <c r="G1622">
        <f ca="1">_xlfn.NORM.INV(RAND(),$M$7,$M$8)</f>
        <v>3.7381046260957919E-3</v>
      </c>
    </row>
    <row r="1623" spans="6:7" x14ac:dyDescent="0.25">
      <c r="F1623">
        <v>1620</v>
      </c>
      <c r="G1623">
        <f ca="1">_xlfn.NORM.INV(RAND(),$M$7,$M$8)</f>
        <v>2.2798492519220226E-2</v>
      </c>
    </row>
    <row r="1624" spans="6:7" x14ac:dyDescent="0.25">
      <c r="F1624">
        <v>1621</v>
      </c>
      <c r="G1624">
        <f ca="1">_xlfn.NORM.INV(RAND(),$M$7,$M$8)</f>
        <v>-4.4098830453932987E-2</v>
      </c>
    </row>
    <row r="1625" spans="6:7" x14ac:dyDescent="0.25">
      <c r="F1625">
        <v>1622</v>
      </c>
      <c r="G1625">
        <f ca="1">_xlfn.NORM.INV(RAND(),$M$7,$M$8)</f>
        <v>-7.3850399547074758E-3</v>
      </c>
    </row>
    <row r="1626" spans="6:7" x14ac:dyDescent="0.25">
      <c r="F1626">
        <v>1623</v>
      </c>
      <c r="G1626">
        <f ca="1">_xlfn.NORM.INV(RAND(),$M$7,$M$8)</f>
        <v>-3.2414727062701001E-2</v>
      </c>
    </row>
    <row r="1627" spans="6:7" x14ac:dyDescent="0.25">
      <c r="F1627">
        <v>1624</v>
      </c>
      <c r="G1627">
        <f ca="1">_xlfn.NORM.INV(RAND(),$M$7,$M$8)</f>
        <v>-2.5106930991219186E-2</v>
      </c>
    </row>
    <row r="1628" spans="6:7" x14ac:dyDescent="0.25">
      <c r="F1628">
        <v>1625</v>
      </c>
      <c r="G1628">
        <f ca="1">_xlfn.NORM.INV(RAND(),$M$7,$M$8)</f>
        <v>4.9506619694400025E-3</v>
      </c>
    </row>
    <row r="1629" spans="6:7" x14ac:dyDescent="0.25">
      <c r="F1629">
        <v>1626</v>
      </c>
      <c r="G1629">
        <f ca="1">_xlfn.NORM.INV(RAND(),$M$7,$M$8)</f>
        <v>3.9291086837600908E-3</v>
      </c>
    </row>
    <row r="1630" spans="6:7" x14ac:dyDescent="0.25">
      <c r="F1630">
        <v>1627</v>
      </c>
      <c r="G1630">
        <f ca="1">_xlfn.NORM.INV(RAND(),$M$7,$M$8)</f>
        <v>2.3902508381503072E-2</v>
      </c>
    </row>
    <row r="1631" spans="6:7" x14ac:dyDescent="0.25">
      <c r="F1631">
        <v>1628</v>
      </c>
      <c r="G1631">
        <f ca="1">_xlfn.NORM.INV(RAND(),$M$7,$M$8)</f>
        <v>-7.5563006059117081E-3</v>
      </c>
    </row>
    <row r="1632" spans="6:7" x14ac:dyDescent="0.25">
      <c r="F1632">
        <v>1629</v>
      </c>
      <c r="G1632">
        <f ca="1">_xlfn.NORM.INV(RAND(),$M$7,$M$8)</f>
        <v>9.4472653882347948E-3</v>
      </c>
    </row>
    <row r="1633" spans="6:7" x14ac:dyDescent="0.25">
      <c r="F1633">
        <v>1630</v>
      </c>
      <c r="G1633">
        <f ca="1">_xlfn.NORM.INV(RAND(),$M$7,$M$8)</f>
        <v>8.1718394535580004E-3</v>
      </c>
    </row>
    <row r="1634" spans="6:7" x14ac:dyDescent="0.25">
      <c r="F1634">
        <v>1631</v>
      </c>
      <c r="G1634">
        <f ca="1">_xlfn.NORM.INV(RAND(),$M$7,$M$8)</f>
        <v>-3.0719637460225716E-2</v>
      </c>
    </row>
    <row r="1635" spans="6:7" x14ac:dyDescent="0.25">
      <c r="F1635">
        <v>1632</v>
      </c>
      <c r="G1635">
        <f ca="1">_xlfn.NORM.INV(RAND(),$M$7,$M$8)</f>
        <v>2.4503845223049339E-2</v>
      </c>
    </row>
    <row r="1636" spans="6:7" x14ac:dyDescent="0.25">
      <c r="F1636">
        <v>1633</v>
      </c>
      <c r="G1636">
        <f ca="1">_xlfn.NORM.INV(RAND(),$M$7,$M$8)</f>
        <v>-4.6368428254660449E-2</v>
      </c>
    </row>
    <row r="1637" spans="6:7" x14ac:dyDescent="0.25">
      <c r="F1637">
        <v>1634</v>
      </c>
      <c r="G1637">
        <f ca="1">_xlfn.NORM.INV(RAND(),$M$7,$M$8)</f>
        <v>5.2750569360970528E-2</v>
      </c>
    </row>
    <row r="1638" spans="6:7" x14ac:dyDescent="0.25">
      <c r="F1638">
        <v>1635</v>
      </c>
      <c r="G1638">
        <f ca="1">_xlfn.NORM.INV(RAND(),$M$7,$M$8)</f>
        <v>1.5921751470834432E-2</v>
      </c>
    </row>
    <row r="1639" spans="6:7" x14ac:dyDescent="0.25">
      <c r="F1639">
        <v>1636</v>
      </c>
      <c r="G1639">
        <f ca="1">_xlfn.NORM.INV(RAND(),$M$7,$M$8)</f>
        <v>-5.5104051552040834E-3</v>
      </c>
    </row>
    <row r="1640" spans="6:7" x14ac:dyDescent="0.25">
      <c r="F1640">
        <v>1637</v>
      </c>
      <c r="G1640">
        <f ca="1">_xlfn.NORM.INV(RAND(),$M$7,$M$8)</f>
        <v>2.3007228019744442E-3</v>
      </c>
    </row>
    <row r="1641" spans="6:7" x14ac:dyDescent="0.25">
      <c r="F1641">
        <v>1638</v>
      </c>
      <c r="G1641">
        <f ca="1">_xlfn.NORM.INV(RAND(),$M$7,$M$8)</f>
        <v>1.1191311537582075E-2</v>
      </c>
    </row>
    <row r="1642" spans="6:7" x14ac:dyDescent="0.25">
      <c r="F1642">
        <v>1639</v>
      </c>
      <c r="G1642">
        <f ca="1">_xlfn.NORM.INV(RAND(),$M$7,$M$8)</f>
        <v>-2.2556566985478667E-3</v>
      </c>
    </row>
    <row r="1643" spans="6:7" x14ac:dyDescent="0.25">
      <c r="F1643">
        <v>1640</v>
      </c>
      <c r="G1643">
        <f ca="1">_xlfn.NORM.INV(RAND(),$M$7,$M$8)</f>
        <v>-2.1511019875292237E-2</v>
      </c>
    </row>
    <row r="1644" spans="6:7" x14ac:dyDescent="0.25">
      <c r="F1644">
        <v>1641</v>
      </c>
      <c r="G1644">
        <f ca="1">_xlfn.NORM.INV(RAND(),$M$7,$M$8)</f>
        <v>2.2277621216980781E-2</v>
      </c>
    </row>
    <row r="1645" spans="6:7" x14ac:dyDescent="0.25">
      <c r="F1645">
        <v>1642</v>
      </c>
      <c r="G1645">
        <f ca="1">_xlfn.NORM.INV(RAND(),$M$7,$M$8)</f>
        <v>-2.7916090793334129E-2</v>
      </c>
    </row>
    <row r="1646" spans="6:7" x14ac:dyDescent="0.25">
      <c r="F1646">
        <v>1643</v>
      </c>
      <c r="G1646">
        <f ca="1">_xlfn.NORM.INV(RAND(),$M$7,$M$8)</f>
        <v>-4.1216669931228793E-2</v>
      </c>
    </row>
    <row r="1647" spans="6:7" x14ac:dyDescent="0.25">
      <c r="F1647">
        <v>1644</v>
      </c>
      <c r="G1647">
        <f ca="1">_xlfn.NORM.INV(RAND(),$M$7,$M$8)</f>
        <v>-1.7031353566679036E-2</v>
      </c>
    </row>
    <row r="1648" spans="6:7" x14ac:dyDescent="0.25">
      <c r="F1648">
        <v>1645</v>
      </c>
      <c r="G1648">
        <f ca="1">_xlfn.NORM.INV(RAND(),$M$7,$M$8)</f>
        <v>1.3090901912348844E-3</v>
      </c>
    </row>
    <row r="1649" spans="6:7" x14ac:dyDescent="0.25">
      <c r="F1649">
        <v>1646</v>
      </c>
      <c r="G1649">
        <f ca="1">_xlfn.NORM.INV(RAND(),$M$7,$M$8)</f>
        <v>-3.9992240816392265E-2</v>
      </c>
    </row>
    <row r="1650" spans="6:7" x14ac:dyDescent="0.25">
      <c r="F1650">
        <v>1647</v>
      </c>
      <c r="G1650">
        <f ca="1">_xlfn.NORM.INV(RAND(),$M$7,$M$8)</f>
        <v>2.4274298736678669E-2</v>
      </c>
    </row>
    <row r="1651" spans="6:7" x14ac:dyDescent="0.25">
      <c r="F1651">
        <v>1648</v>
      </c>
      <c r="G1651">
        <f ca="1">_xlfn.NORM.INV(RAND(),$M$7,$M$8)</f>
        <v>-1.9259110745947956E-2</v>
      </c>
    </row>
    <row r="1652" spans="6:7" x14ac:dyDescent="0.25">
      <c r="F1652">
        <v>1649</v>
      </c>
      <c r="G1652">
        <f ca="1">_xlfn.NORM.INV(RAND(),$M$7,$M$8)</f>
        <v>-2.6336814914644294E-2</v>
      </c>
    </row>
    <row r="1653" spans="6:7" x14ac:dyDescent="0.25">
      <c r="F1653">
        <v>1650</v>
      </c>
      <c r="G1653">
        <f ca="1">_xlfn.NORM.INV(RAND(),$M$7,$M$8)</f>
        <v>-1.7844522732427797E-2</v>
      </c>
    </row>
    <row r="1654" spans="6:7" x14ac:dyDescent="0.25">
      <c r="F1654">
        <v>1651</v>
      </c>
      <c r="G1654">
        <f ca="1">_xlfn.NORM.INV(RAND(),$M$7,$M$8)</f>
        <v>5.171287896727347E-3</v>
      </c>
    </row>
    <row r="1655" spans="6:7" x14ac:dyDescent="0.25">
      <c r="F1655">
        <v>1652</v>
      </c>
      <c r="G1655">
        <f ca="1">_xlfn.NORM.INV(RAND(),$M$7,$M$8)</f>
        <v>2.3763591676156871E-2</v>
      </c>
    </row>
    <row r="1656" spans="6:7" x14ac:dyDescent="0.25">
      <c r="F1656">
        <v>1653</v>
      </c>
      <c r="G1656">
        <f ca="1">_xlfn.NORM.INV(RAND(),$M$7,$M$8)</f>
        <v>3.4133960421006311E-2</v>
      </c>
    </row>
    <row r="1657" spans="6:7" x14ac:dyDescent="0.25">
      <c r="F1657">
        <v>1654</v>
      </c>
      <c r="G1657">
        <f ca="1">_xlfn.NORM.INV(RAND(),$M$7,$M$8)</f>
        <v>2.1545394045004815E-2</v>
      </c>
    </row>
    <row r="1658" spans="6:7" x14ac:dyDescent="0.25">
      <c r="F1658">
        <v>1655</v>
      </c>
      <c r="G1658">
        <f ca="1">_xlfn.NORM.INV(RAND(),$M$7,$M$8)</f>
        <v>-3.5973220347310653E-2</v>
      </c>
    </row>
    <row r="1659" spans="6:7" x14ac:dyDescent="0.25">
      <c r="F1659">
        <v>1656</v>
      </c>
      <c r="G1659">
        <f ca="1">_xlfn.NORM.INV(RAND(),$M$7,$M$8)</f>
        <v>2.452670118259846E-3</v>
      </c>
    </row>
    <row r="1660" spans="6:7" x14ac:dyDescent="0.25">
      <c r="F1660">
        <v>1657</v>
      </c>
      <c r="G1660">
        <f ca="1">_xlfn.NORM.INV(RAND(),$M$7,$M$8)</f>
        <v>-3.3189082508721907E-2</v>
      </c>
    </row>
    <row r="1661" spans="6:7" x14ac:dyDescent="0.25">
      <c r="F1661">
        <v>1658</v>
      </c>
      <c r="G1661">
        <f ca="1">_xlfn.NORM.INV(RAND(),$M$7,$M$8)</f>
        <v>6.0276697878118134E-3</v>
      </c>
    </row>
    <row r="1662" spans="6:7" x14ac:dyDescent="0.25">
      <c r="F1662">
        <v>1659</v>
      </c>
      <c r="G1662">
        <f ca="1">_xlfn.NORM.INV(RAND(),$M$7,$M$8)</f>
        <v>-2.6379732024074991E-2</v>
      </c>
    </row>
    <row r="1663" spans="6:7" x14ac:dyDescent="0.25">
      <c r="F1663">
        <v>1660</v>
      </c>
      <c r="G1663">
        <f ca="1">_xlfn.NORM.INV(RAND(),$M$7,$M$8)</f>
        <v>-2.7524519148105914E-3</v>
      </c>
    </row>
    <row r="1664" spans="6:7" x14ac:dyDescent="0.25">
      <c r="F1664">
        <v>1661</v>
      </c>
      <c r="G1664">
        <f ca="1">_xlfn.NORM.INV(RAND(),$M$7,$M$8)</f>
        <v>1.8961699126127364E-2</v>
      </c>
    </row>
    <row r="1665" spans="6:7" x14ac:dyDescent="0.25">
      <c r="F1665">
        <v>1662</v>
      </c>
      <c r="G1665">
        <f ca="1">_xlfn.NORM.INV(RAND(),$M$7,$M$8)</f>
        <v>-2.87558750913738E-3</v>
      </c>
    </row>
    <row r="1666" spans="6:7" x14ac:dyDescent="0.25">
      <c r="F1666">
        <v>1663</v>
      </c>
      <c r="G1666">
        <f ca="1">_xlfn.NORM.INV(RAND(),$M$7,$M$8)</f>
        <v>9.0586080134542099E-4</v>
      </c>
    </row>
    <row r="1667" spans="6:7" x14ac:dyDescent="0.25">
      <c r="F1667">
        <v>1664</v>
      </c>
      <c r="G1667">
        <f ca="1">_xlfn.NORM.INV(RAND(),$M$7,$M$8)</f>
        <v>-4.0935018983005736E-2</v>
      </c>
    </row>
    <row r="1668" spans="6:7" x14ac:dyDescent="0.25">
      <c r="F1668">
        <v>1665</v>
      </c>
      <c r="G1668">
        <f ca="1">_xlfn.NORM.INV(RAND(),$M$7,$M$8)</f>
        <v>1.7096220627395825E-2</v>
      </c>
    </row>
    <row r="1669" spans="6:7" x14ac:dyDescent="0.25">
      <c r="F1669">
        <v>1666</v>
      </c>
      <c r="G1669">
        <f ca="1">_xlfn.NORM.INV(RAND(),$M$7,$M$8)</f>
        <v>1.620681162362014E-2</v>
      </c>
    </row>
    <row r="1670" spans="6:7" x14ac:dyDescent="0.25">
      <c r="F1670">
        <v>1667</v>
      </c>
      <c r="G1670">
        <f ca="1">_xlfn.NORM.INV(RAND(),$M$7,$M$8)</f>
        <v>-5.4244987116527435E-3</v>
      </c>
    </row>
    <row r="1671" spans="6:7" x14ac:dyDescent="0.25">
      <c r="F1671">
        <v>1668</v>
      </c>
      <c r="G1671">
        <f ca="1">_xlfn.NORM.INV(RAND(),$M$7,$M$8)</f>
        <v>-3.1290996762471643E-2</v>
      </c>
    </row>
    <row r="1672" spans="6:7" x14ac:dyDescent="0.25">
      <c r="F1672">
        <v>1669</v>
      </c>
      <c r="G1672">
        <f ca="1">_xlfn.NORM.INV(RAND(),$M$7,$M$8)</f>
        <v>7.3750862762164639E-4</v>
      </c>
    </row>
    <row r="1673" spans="6:7" x14ac:dyDescent="0.25">
      <c r="F1673">
        <v>1670</v>
      </c>
      <c r="G1673">
        <f ca="1">_xlfn.NORM.INV(RAND(),$M$7,$M$8)</f>
        <v>-1.8760254473718804E-2</v>
      </c>
    </row>
    <row r="1674" spans="6:7" x14ac:dyDescent="0.25">
      <c r="F1674">
        <v>1671</v>
      </c>
      <c r="G1674">
        <f ca="1">_xlfn.NORM.INV(RAND(),$M$7,$M$8)</f>
        <v>-5.244926758249896E-2</v>
      </c>
    </row>
    <row r="1675" spans="6:7" x14ac:dyDescent="0.25">
      <c r="F1675">
        <v>1672</v>
      </c>
      <c r="G1675">
        <f ca="1">_xlfn.NORM.INV(RAND(),$M$7,$M$8)</f>
        <v>2.7572255542157895E-2</v>
      </c>
    </row>
    <row r="1676" spans="6:7" x14ac:dyDescent="0.25">
      <c r="F1676">
        <v>1673</v>
      </c>
      <c r="G1676">
        <f ca="1">_xlfn.NORM.INV(RAND(),$M$7,$M$8)</f>
        <v>-1.082894104342929E-2</v>
      </c>
    </row>
    <row r="1677" spans="6:7" x14ac:dyDescent="0.25">
      <c r="F1677">
        <v>1674</v>
      </c>
      <c r="G1677">
        <f ca="1">_xlfn.NORM.INV(RAND(),$M$7,$M$8)</f>
        <v>1.5890398757795823E-2</v>
      </c>
    </row>
    <row r="1678" spans="6:7" x14ac:dyDescent="0.25">
      <c r="F1678">
        <v>1675</v>
      </c>
      <c r="G1678">
        <f ca="1">_xlfn.NORM.INV(RAND(),$M$7,$M$8)</f>
        <v>1.5409802094265358E-2</v>
      </c>
    </row>
    <row r="1679" spans="6:7" x14ac:dyDescent="0.25">
      <c r="F1679">
        <v>1676</v>
      </c>
      <c r="G1679">
        <f ca="1">_xlfn.NORM.INV(RAND(),$M$7,$M$8)</f>
        <v>1.9109588798102106E-2</v>
      </c>
    </row>
    <row r="1680" spans="6:7" x14ac:dyDescent="0.25">
      <c r="F1680">
        <v>1677</v>
      </c>
      <c r="G1680">
        <f ca="1">_xlfn.NORM.INV(RAND(),$M$7,$M$8)</f>
        <v>4.9677528336303102E-2</v>
      </c>
    </row>
    <row r="1681" spans="6:7" x14ac:dyDescent="0.25">
      <c r="F1681">
        <v>1678</v>
      </c>
      <c r="G1681">
        <f ca="1">_xlfn.NORM.INV(RAND(),$M$7,$M$8)</f>
        <v>1.6952232293962956E-2</v>
      </c>
    </row>
    <row r="1682" spans="6:7" x14ac:dyDescent="0.25">
      <c r="F1682">
        <v>1679</v>
      </c>
      <c r="G1682">
        <f ca="1">_xlfn.NORM.INV(RAND(),$M$7,$M$8)</f>
        <v>-7.5498623689706362E-3</v>
      </c>
    </row>
    <row r="1683" spans="6:7" x14ac:dyDescent="0.25">
      <c r="F1683">
        <v>1680</v>
      </c>
      <c r="G1683">
        <f ca="1">_xlfn.NORM.INV(RAND(),$M$7,$M$8)</f>
        <v>8.0404916329740381E-3</v>
      </c>
    </row>
    <row r="1684" spans="6:7" x14ac:dyDescent="0.25">
      <c r="F1684">
        <v>1681</v>
      </c>
      <c r="G1684">
        <f ca="1">_xlfn.NORM.INV(RAND(),$M$7,$M$8)</f>
        <v>-2.311574429846195E-2</v>
      </c>
    </row>
    <row r="1685" spans="6:7" x14ac:dyDescent="0.25">
      <c r="F1685">
        <v>1682</v>
      </c>
      <c r="G1685">
        <f ca="1">_xlfn.NORM.INV(RAND(),$M$7,$M$8)</f>
        <v>-1.0881047002404736E-2</v>
      </c>
    </row>
    <row r="1686" spans="6:7" x14ac:dyDescent="0.25">
      <c r="F1686">
        <v>1683</v>
      </c>
      <c r="G1686">
        <f ca="1">_xlfn.NORM.INV(RAND(),$M$7,$M$8)</f>
        <v>4.8437101556071858E-2</v>
      </c>
    </row>
    <row r="1687" spans="6:7" x14ac:dyDescent="0.25">
      <c r="F1687">
        <v>1684</v>
      </c>
      <c r="G1687">
        <f ca="1">_xlfn.NORM.INV(RAND(),$M$7,$M$8)</f>
        <v>-6.9652519613746119E-2</v>
      </c>
    </row>
    <row r="1688" spans="6:7" x14ac:dyDescent="0.25">
      <c r="F1688">
        <v>1685</v>
      </c>
      <c r="G1688">
        <f ca="1">_xlfn.NORM.INV(RAND(),$M$7,$M$8)</f>
        <v>4.7995455344185829E-3</v>
      </c>
    </row>
    <row r="1689" spans="6:7" x14ac:dyDescent="0.25">
      <c r="F1689">
        <v>1686</v>
      </c>
      <c r="G1689">
        <f ca="1">_xlfn.NORM.INV(RAND(),$M$7,$M$8)</f>
        <v>4.4367544070139948E-3</v>
      </c>
    </row>
    <row r="1690" spans="6:7" x14ac:dyDescent="0.25">
      <c r="F1690">
        <v>1687</v>
      </c>
      <c r="G1690">
        <f ca="1">_xlfn.NORM.INV(RAND(),$M$7,$M$8)</f>
        <v>1.6228087487491504E-2</v>
      </c>
    </row>
    <row r="1691" spans="6:7" x14ac:dyDescent="0.25">
      <c r="F1691">
        <v>1688</v>
      </c>
      <c r="G1691">
        <f ca="1">_xlfn.NORM.INV(RAND(),$M$7,$M$8)</f>
        <v>-2.425325171364982E-2</v>
      </c>
    </row>
    <row r="1692" spans="6:7" x14ac:dyDescent="0.25">
      <c r="F1692">
        <v>1689</v>
      </c>
      <c r="G1692">
        <f ca="1">_xlfn.NORM.INV(RAND(),$M$7,$M$8)</f>
        <v>5.719039691677336E-4</v>
      </c>
    </row>
    <row r="1693" spans="6:7" x14ac:dyDescent="0.25">
      <c r="F1693">
        <v>1690</v>
      </c>
      <c r="G1693">
        <f ca="1">_xlfn.NORM.INV(RAND(),$M$7,$M$8)</f>
        <v>2.2461210388525294E-2</v>
      </c>
    </row>
    <row r="1694" spans="6:7" x14ac:dyDescent="0.25">
      <c r="F1694">
        <v>1691</v>
      </c>
      <c r="G1694">
        <f ca="1">_xlfn.NORM.INV(RAND(),$M$7,$M$8)</f>
        <v>4.567509859959093E-2</v>
      </c>
    </row>
    <row r="1695" spans="6:7" x14ac:dyDescent="0.25">
      <c r="F1695">
        <v>1692</v>
      </c>
      <c r="G1695">
        <f ca="1">_xlfn.NORM.INV(RAND(),$M$7,$M$8)</f>
        <v>1.7262549935667584E-2</v>
      </c>
    </row>
    <row r="1696" spans="6:7" x14ac:dyDescent="0.25">
      <c r="F1696">
        <v>1693</v>
      </c>
      <c r="G1696">
        <f ca="1">_xlfn.NORM.INV(RAND(),$M$7,$M$8)</f>
        <v>1.7071824692376763E-2</v>
      </c>
    </row>
    <row r="1697" spans="6:7" x14ac:dyDescent="0.25">
      <c r="F1697">
        <v>1694</v>
      </c>
      <c r="G1697">
        <f ca="1">_xlfn.NORM.INV(RAND(),$M$7,$M$8)</f>
        <v>1.4923521778335464E-2</v>
      </c>
    </row>
    <row r="1698" spans="6:7" x14ac:dyDescent="0.25">
      <c r="F1698">
        <v>1695</v>
      </c>
      <c r="G1698">
        <f ca="1">_xlfn.NORM.INV(RAND(),$M$7,$M$8)</f>
        <v>2.4016459817441851E-2</v>
      </c>
    </row>
    <row r="1699" spans="6:7" x14ac:dyDescent="0.25">
      <c r="F1699">
        <v>1696</v>
      </c>
      <c r="G1699">
        <f ca="1">_xlfn.NORM.INV(RAND(),$M$7,$M$8)</f>
        <v>-4.6287228274696834E-2</v>
      </c>
    </row>
    <row r="1700" spans="6:7" x14ac:dyDescent="0.25">
      <c r="F1700">
        <v>1697</v>
      </c>
      <c r="G1700">
        <f ca="1">_xlfn.NORM.INV(RAND(),$M$7,$M$8)</f>
        <v>1.1292411589089685E-2</v>
      </c>
    </row>
    <row r="1701" spans="6:7" x14ac:dyDescent="0.25">
      <c r="F1701">
        <v>1698</v>
      </c>
      <c r="G1701">
        <f ca="1">_xlfn.NORM.INV(RAND(),$M$7,$M$8)</f>
        <v>4.1877806174576752E-2</v>
      </c>
    </row>
    <row r="1702" spans="6:7" x14ac:dyDescent="0.25">
      <c r="F1702">
        <v>1699</v>
      </c>
      <c r="G1702">
        <f ca="1">_xlfn.NORM.INV(RAND(),$M$7,$M$8)</f>
        <v>1.6804030546090962E-2</v>
      </c>
    </row>
    <row r="1703" spans="6:7" x14ac:dyDescent="0.25">
      <c r="F1703">
        <v>1700</v>
      </c>
      <c r="G1703">
        <f ca="1">_xlfn.NORM.INV(RAND(),$M$7,$M$8)</f>
        <v>-1.7772637721453991E-2</v>
      </c>
    </row>
    <row r="1704" spans="6:7" x14ac:dyDescent="0.25">
      <c r="F1704">
        <v>1701</v>
      </c>
      <c r="G1704">
        <f ca="1">_xlfn.NORM.INV(RAND(),$M$7,$M$8)</f>
        <v>8.2387046811521619E-2</v>
      </c>
    </row>
    <row r="1705" spans="6:7" x14ac:dyDescent="0.25">
      <c r="F1705">
        <v>1702</v>
      </c>
      <c r="G1705">
        <f ca="1">_xlfn.NORM.INV(RAND(),$M$7,$M$8)</f>
        <v>-1.2159284371076849E-2</v>
      </c>
    </row>
    <row r="1706" spans="6:7" x14ac:dyDescent="0.25">
      <c r="F1706">
        <v>1703</v>
      </c>
      <c r="G1706">
        <f ca="1">_xlfn.NORM.INV(RAND(),$M$7,$M$8)</f>
        <v>-1.6244954095541914E-3</v>
      </c>
    </row>
    <row r="1707" spans="6:7" x14ac:dyDescent="0.25">
      <c r="F1707">
        <v>1704</v>
      </c>
      <c r="G1707">
        <f ca="1">_xlfn.NORM.INV(RAND(),$M$7,$M$8)</f>
        <v>2.2016908387930304E-2</v>
      </c>
    </row>
    <row r="1708" spans="6:7" x14ac:dyDescent="0.25">
      <c r="F1708">
        <v>1705</v>
      </c>
      <c r="G1708">
        <f ca="1">_xlfn.NORM.INV(RAND(),$M$7,$M$8)</f>
        <v>4.1839596713205113E-2</v>
      </c>
    </row>
    <row r="1709" spans="6:7" x14ac:dyDescent="0.25">
      <c r="F1709">
        <v>1706</v>
      </c>
      <c r="G1709">
        <f ca="1">_xlfn.NORM.INV(RAND(),$M$7,$M$8)</f>
        <v>-1.2357290564462229E-2</v>
      </c>
    </row>
    <row r="1710" spans="6:7" x14ac:dyDescent="0.25">
      <c r="F1710">
        <v>1707</v>
      </c>
      <c r="G1710">
        <f ca="1">_xlfn.NORM.INV(RAND(),$M$7,$M$8)</f>
        <v>-4.0044962153040799E-2</v>
      </c>
    </row>
    <row r="1711" spans="6:7" x14ac:dyDescent="0.25">
      <c r="F1711">
        <v>1708</v>
      </c>
      <c r="G1711">
        <f ca="1">_xlfn.NORM.INV(RAND(),$M$7,$M$8)</f>
        <v>1.3305869711344594E-2</v>
      </c>
    </row>
    <row r="1712" spans="6:7" x14ac:dyDescent="0.25">
      <c r="F1712">
        <v>1709</v>
      </c>
      <c r="G1712">
        <f ca="1">_xlfn.NORM.INV(RAND(),$M$7,$M$8)</f>
        <v>-3.2274293924659289E-2</v>
      </c>
    </row>
    <row r="1713" spans="6:7" x14ac:dyDescent="0.25">
      <c r="F1713">
        <v>1710</v>
      </c>
      <c r="G1713">
        <f ca="1">_xlfn.NORM.INV(RAND(),$M$7,$M$8)</f>
        <v>-5.4920734820037641E-2</v>
      </c>
    </row>
    <row r="1714" spans="6:7" x14ac:dyDescent="0.25">
      <c r="F1714">
        <v>1711</v>
      </c>
      <c r="G1714">
        <f ca="1">_xlfn.NORM.INV(RAND(),$M$7,$M$8)</f>
        <v>-2.7372909056344957E-2</v>
      </c>
    </row>
    <row r="1715" spans="6:7" x14ac:dyDescent="0.25">
      <c r="F1715">
        <v>1712</v>
      </c>
      <c r="G1715">
        <f ca="1">_xlfn.NORM.INV(RAND(),$M$7,$M$8)</f>
        <v>2.4683367702886292E-2</v>
      </c>
    </row>
    <row r="1716" spans="6:7" x14ac:dyDescent="0.25">
      <c r="F1716">
        <v>1713</v>
      </c>
      <c r="G1716">
        <f ca="1">_xlfn.NORM.INV(RAND(),$M$7,$M$8)</f>
        <v>-8.0208168315293402E-3</v>
      </c>
    </row>
    <row r="1717" spans="6:7" x14ac:dyDescent="0.25">
      <c r="F1717">
        <v>1714</v>
      </c>
      <c r="G1717">
        <f ca="1">_xlfn.NORM.INV(RAND(),$M$7,$M$8)</f>
        <v>1.4810979396092041E-2</v>
      </c>
    </row>
    <row r="1718" spans="6:7" x14ac:dyDescent="0.25">
      <c r="F1718">
        <v>1715</v>
      </c>
      <c r="G1718">
        <f ca="1">_xlfn.NORM.INV(RAND(),$M$7,$M$8)</f>
        <v>-1.6979602564360919E-2</v>
      </c>
    </row>
    <row r="1719" spans="6:7" x14ac:dyDescent="0.25">
      <c r="F1719">
        <v>1716</v>
      </c>
      <c r="G1719">
        <f ca="1">_xlfn.NORM.INV(RAND(),$M$7,$M$8)</f>
        <v>2.3585994903170451E-3</v>
      </c>
    </row>
    <row r="1720" spans="6:7" x14ac:dyDescent="0.25">
      <c r="F1720">
        <v>1717</v>
      </c>
      <c r="G1720">
        <f ca="1">_xlfn.NORM.INV(RAND(),$M$7,$M$8)</f>
        <v>-5.0657996668821745E-2</v>
      </c>
    </row>
    <row r="1721" spans="6:7" x14ac:dyDescent="0.25">
      <c r="F1721">
        <v>1718</v>
      </c>
      <c r="G1721">
        <f ca="1">_xlfn.NORM.INV(RAND(),$M$7,$M$8)</f>
        <v>-1.9801664257125769E-2</v>
      </c>
    </row>
    <row r="1722" spans="6:7" x14ac:dyDescent="0.25">
      <c r="F1722">
        <v>1719</v>
      </c>
      <c r="G1722">
        <f ca="1">_xlfn.NORM.INV(RAND(),$M$7,$M$8)</f>
        <v>-3.8605221031350036E-2</v>
      </c>
    </row>
    <row r="1723" spans="6:7" x14ac:dyDescent="0.25">
      <c r="F1723">
        <v>1720</v>
      </c>
      <c r="G1723">
        <f ca="1">_xlfn.NORM.INV(RAND(),$M$7,$M$8)</f>
        <v>-2.8967599399027853E-2</v>
      </c>
    </row>
    <row r="1724" spans="6:7" x14ac:dyDescent="0.25">
      <c r="F1724">
        <v>1721</v>
      </c>
      <c r="G1724">
        <f ca="1">_xlfn.NORM.INV(RAND(),$M$7,$M$8)</f>
        <v>-1.5546023571454761E-2</v>
      </c>
    </row>
    <row r="1725" spans="6:7" x14ac:dyDescent="0.25">
      <c r="F1725">
        <v>1722</v>
      </c>
      <c r="G1725">
        <f ca="1">_xlfn.NORM.INV(RAND(),$M$7,$M$8)</f>
        <v>1.0930193209984911E-2</v>
      </c>
    </row>
    <row r="1726" spans="6:7" x14ac:dyDescent="0.25">
      <c r="F1726">
        <v>1723</v>
      </c>
      <c r="G1726">
        <f ca="1">_xlfn.NORM.INV(RAND(),$M$7,$M$8)</f>
        <v>2.9926304103664737E-2</v>
      </c>
    </row>
    <row r="1727" spans="6:7" x14ac:dyDescent="0.25">
      <c r="F1727">
        <v>1724</v>
      </c>
      <c r="G1727">
        <f ca="1">_xlfn.NORM.INV(RAND(),$M$7,$M$8)</f>
        <v>1.6300282276439801E-2</v>
      </c>
    </row>
    <row r="1728" spans="6:7" x14ac:dyDescent="0.25">
      <c r="F1728">
        <v>1725</v>
      </c>
      <c r="G1728">
        <f ca="1">_xlfn.NORM.INV(RAND(),$M$7,$M$8)</f>
        <v>2.5530423720544638E-2</v>
      </c>
    </row>
    <row r="1729" spans="6:7" x14ac:dyDescent="0.25">
      <c r="F1729">
        <v>1726</v>
      </c>
      <c r="G1729">
        <f ca="1">_xlfn.NORM.INV(RAND(),$M$7,$M$8)</f>
        <v>3.2707954847328344E-2</v>
      </c>
    </row>
    <row r="1730" spans="6:7" x14ac:dyDescent="0.25">
      <c r="F1730">
        <v>1727</v>
      </c>
      <c r="G1730">
        <f ca="1">_xlfn.NORM.INV(RAND(),$M$7,$M$8)</f>
        <v>7.8112253981511684E-2</v>
      </c>
    </row>
    <row r="1731" spans="6:7" x14ac:dyDescent="0.25">
      <c r="F1731">
        <v>1728</v>
      </c>
      <c r="G1731">
        <f ca="1">_xlfn.NORM.INV(RAND(),$M$7,$M$8)</f>
        <v>-1.2370413641524173E-2</v>
      </c>
    </row>
    <row r="1732" spans="6:7" x14ac:dyDescent="0.25">
      <c r="F1732">
        <v>1729</v>
      </c>
      <c r="G1732">
        <f ca="1">_xlfn.NORM.INV(RAND(),$M$7,$M$8)</f>
        <v>-8.9612031751722873E-3</v>
      </c>
    </row>
    <row r="1733" spans="6:7" x14ac:dyDescent="0.25">
      <c r="F1733">
        <v>1730</v>
      </c>
      <c r="G1733">
        <f ca="1">_xlfn.NORM.INV(RAND(),$M$7,$M$8)</f>
        <v>7.356110663796267E-3</v>
      </c>
    </row>
    <row r="1734" spans="6:7" x14ac:dyDescent="0.25">
      <c r="F1734">
        <v>1731</v>
      </c>
      <c r="G1734">
        <f ca="1">_xlfn.NORM.INV(RAND(),$M$7,$M$8)</f>
        <v>1.0560997533257723E-2</v>
      </c>
    </row>
    <row r="1735" spans="6:7" x14ac:dyDescent="0.25">
      <c r="F1735">
        <v>1732</v>
      </c>
      <c r="G1735">
        <f ca="1">_xlfn.NORM.INV(RAND(),$M$7,$M$8)</f>
        <v>-1.3352962919744107E-2</v>
      </c>
    </row>
    <row r="1736" spans="6:7" x14ac:dyDescent="0.25">
      <c r="F1736">
        <v>1733</v>
      </c>
      <c r="G1736">
        <f ca="1">_xlfn.NORM.INV(RAND(),$M$7,$M$8)</f>
        <v>-6.8299844182221695E-3</v>
      </c>
    </row>
    <row r="1737" spans="6:7" x14ac:dyDescent="0.25">
      <c r="F1737">
        <v>1734</v>
      </c>
      <c r="G1737">
        <f ca="1">_xlfn.NORM.INV(RAND(),$M$7,$M$8)</f>
        <v>6.254659835001472E-2</v>
      </c>
    </row>
    <row r="1738" spans="6:7" x14ac:dyDescent="0.25">
      <c r="F1738">
        <v>1735</v>
      </c>
      <c r="G1738">
        <f ca="1">_xlfn.NORM.INV(RAND(),$M$7,$M$8)</f>
        <v>-3.2666602673113533E-2</v>
      </c>
    </row>
    <row r="1739" spans="6:7" x14ac:dyDescent="0.25">
      <c r="F1739">
        <v>1736</v>
      </c>
      <c r="G1739">
        <f ca="1">_xlfn.NORM.INV(RAND(),$M$7,$M$8)</f>
        <v>1.936442293150327E-3</v>
      </c>
    </row>
    <row r="1740" spans="6:7" x14ac:dyDescent="0.25">
      <c r="F1740">
        <v>1737</v>
      </c>
      <c r="G1740">
        <f ca="1">_xlfn.NORM.INV(RAND(),$M$7,$M$8)</f>
        <v>3.5319860561005272E-2</v>
      </c>
    </row>
    <row r="1741" spans="6:7" x14ac:dyDescent="0.25">
      <c r="F1741">
        <v>1738</v>
      </c>
      <c r="G1741">
        <f ca="1">_xlfn.NORM.INV(RAND(),$M$7,$M$8)</f>
        <v>5.4158326787057936E-3</v>
      </c>
    </row>
    <row r="1742" spans="6:7" x14ac:dyDescent="0.25">
      <c r="F1742">
        <v>1739</v>
      </c>
      <c r="G1742">
        <f ca="1">_xlfn.NORM.INV(RAND(),$M$7,$M$8)</f>
        <v>-1.694159860697703E-2</v>
      </c>
    </row>
    <row r="1743" spans="6:7" x14ac:dyDescent="0.25">
      <c r="F1743">
        <v>1740</v>
      </c>
      <c r="G1743">
        <f ca="1">_xlfn.NORM.INV(RAND(),$M$7,$M$8)</f>
        <v>-2.5807564772612249E-3</v>
      </c>
    </row>
    <row r="1744" spans="6:7" x14ac:dyDescent="0.25">
      <c r="F1744">
        <v>1741</v>
      </c>
      <c r="G1744">
        <f ca="1">_xlfn.NORM.INV(RAND(),$M$7,$M$8)</f>
        <v>-2.9763305830599928E-3</v>
      </c>
    </row>
    <row r="1745" spans="6:7" x14ac:dyDescent="0.25">
      <c r="F1745">
        <v>1742</v>
      </c>
      <c r="G1745">
        <f ca="1">_xlfn.NORM.INV(RAND(),$M$7,$M$8)</f>
        <v>6.8245850423458952E-3</v>
      </c>
    </row>
    <row r="1746" spans="6:7" x14ac:dyDescent="0.25">
      <c r="F1746">
        <v>1743</v>
      </c>
      <c r="G1746">
        <f ca="1">_xlfn.NORM.INV(RAND(),$M$7,$M$8)</f>
        <v>6.6842161812395759E-2</v>
      </c>
    </row>
    <row r="1747" spans="6:7" x14ac:dyDescent="0.25">
      <c r="F1747">
        <v>1744</v>
      </c>
      <c r="G1747">
        <f ca="1">_xlfn.NORM.INV(RAND(),$M$7,$M$8)</f>
        <v>2.3872033642302996E-2</v>
      </c>
    </row>
    <row r="1748" spans="6:7" x14ac:dyDescent="0.25">
      <c r="F1748">
        <v>1745</v>
      </c>
      <c r="G1748">
        <f ca="1">_xlfn.NORM.INV(RAND(),$M$7,$M$8)</f>
        <v>-2.5254818053558784E-2</v>
      </c>
    </row>
    <row r="1749" spans="6:7" x14ac:dyDescent="0.25">
      <c r="F1749">
        <v>1746</v>
      </c>
      <c r="G1749">
        <f ca="1">_xlfn.NORM.INV(RAND(),$M$7,$M$8)</f>
        <v>-1.8772669424904333E-2</v>
      </c>
    </row>
    <row r="1750" spans="6:7" x14ac:dyDescent="0.25">
      <c r="F1750">
        <v>1747</v>
      </c>
      <c r="G1750">
        <f ca="1">_xlfn.NORM.INV(RAND(),$M$7,$M$8)</f>
        <v>1.8812235341616666E-2</v>
      </c>
    </row>
    <row r="1751" spans="6:7" x14ac:dyDescent="0.25">
      <c r="F1751">
        <v>1748</v>
      </c>
      <c r="G1751">
        <f ca="1">_xlfn.NORM.INV(RAND(),$M$7,$M$8)</f>
        <v>2.2759193980835556E-2</v>
      </c>
    </row>
    <row r="1752" spans="6:7" x14ac:dyDescent="0.25">
      <c r="F1752">
        <v>1749</v>
      </c>
      <c r="G1752">
        <f ca="1">_xlfn.NORM.INV(RAND(),$M$7,$M$8)</f>
        <v>4.2976746782419813E-3</v>
      </c>
    </row>
    <row r="1753" spans="6:7" x14ac:dyDescent="0.25">
      <c r="F1753">
        <v>1750</v>
      </c>
      <c r="G1753">
        <f ca="1">_xlfn.NORM.INV(RAND(),$M$7,$M$8)</f>
        <v>3.5914797859315545E-3</v>
      </c>
    </row>
    <row r="1754" spans="6:7" x14ac:dyDescent="0.25">
      <c r="F1754">
        <v>1751</v>
      </c>
      <c r="G1754">
        <f ca="1">_xlfn.NORM.INV(RAND(),$M$7,$M$8)</f>
        <v>3.7797775551121544E-3</v>
      </c>
    </row>
    <row r="1755" spans="6:7" x14ac:dyDescent="0.25">
      <c r="F1755">
        <v>1752</v>
      </c>
      <c r="G1755">
        <f ca="1">_xlfn.NORM.INV(RAND(),$M$7,$M$8)</f>
        <v>1.3154518515736405E-2</v>
      </c>
    </row>
    <row r="1756" spans="6:7" x14ac:dyDescent="0.25">
      <c r="F1756">
        <v>1753</v>
      </c>
      <c r="G1756">
        <f ca="1">_xlfn.NORM.INV(RAND(),$M$7,$M$8)</f>
        <v>1.3617814899176406E-2</v>
      </c>
    </row>
    <row r="1757" spans="6:7" x14ac:dyDescent="0.25">
      <c r="F1757">
        <v>1754</v>
      </c>
      <c r="G1757">
        <f ca="1">_xlfn.NORM.INV(RAND(),$M$7,$M$8)</f>
        <v>9.928274376408322E-3</v>
      </c>
    </row>
    <row r="1758" spans="6:7" x14ac:dyDescent="0.25">
      <c r="F1758">
        <v>1755</v>
      </c>
      <c r="G1758">
        <f ca="1">_xlfn.NORM.INV(RAND(),$M$7,$M$8)</f>
        <v>-4.0588924840919659E-3</v>
      </c>
    </row>
    <row r="1759" spans="6:7" x14ac:dyDescent="0.25">
      <c r="F1759">
        <v>1756</v>
      </c>
      <c r="G1759">
        <f ca="1">_xlfn.NORM.INV(RAND(),$M$7,$M$8)</f>
        <v>2.5767292111388848E-3</v>
      </c>
    </row>
    <row r="1760" spans="6:7" x14ac:dyDescent="0.25">
      <c r="F1760">
        <v>1757</v>
      </c>
      <c r="G1760">
        <f ca="1">_xlfn.NORM.INV(RAND(),$M$7,$M$8)</f>
        <v>1.1044307587542962E-2</v>
      </c>
    </row>
    <row r="1761" spans="6:7" x14ac:dyDescent="0.25">
      <c r="F1761">
        <v>1758</v>
      </c>
      <c r="G1761">
        <f ca="1">_xlfn.NORM.INV(RAND(),$M$7,$M$8)</f>
        <v>-2.5459858057877361E-2</v>
      </c>
    </row>
    <row r="1762" spans="6:7" x14ac:dyDescent="0.25">
      <c r="F1762">
        <v>1759</v>
      </c>
      <c r="G1762">
        <f ca="1">_xlfn.NORM.INV(RAND(),$M$7,$M$8)</f>
        <v>2.314237927616929E-2</v>
      </c>
    </row>
    <row r="1763" spans="6:7" x14ac:dyDescent="0.25">
      <c r="F1763">
        <v>1760</v>
      </c>
      <c r="G1763">
        <f ca="1">_xlfn.NORM.INV(RAND(),$M$7,$M$8)</f>
        <v>-3.2536347520749319E-2</v>
      </c>
    </row>
    <row r="1764" spans="6:7" x14ac:dyDescent="0.25">
      <c r="F1764">
        <v>1761</v>
      </c>
      <c r="G1764">
        <f ca="1">_xlfn.NORM.INV(RAND(),$M$7,$M$8)</f>
        <v>2.3745656034729703E-3</v>
      </c>
    </row>
    <row r="1765" spans="6:7" x14ac:dyDescent="0.25">
      <c r="F1765">
        <v>1762</v>
      </c>
      <c r="G1765">
        <f ca="1">_xlfn.NORM.INV(RAND(),$M$7,$M$8)</f>
        <v>2.9772484940952925E-2</v>
      </c>
    </row>
    <row r="1766" spans="6:7" x14ac:dyDescent="0.25">
      <c r="F1766">
        <v>1763</v>
      </c>
      <c r="G1766">
        <f ca="1">_xlfn.NORM.INV(RAND(),$M$7,$M$8)</f>
        <v>-1.3322015515525197E-2</v>
      </c>
    </row>
    <row r="1767" spans="6:7" x14ac:dyDescent="0.25">
      <c r="F1767">
        <v>1764</v>
      </c>
      <c r="G1767">
        <f ca="1">_xlfn.NORM.INV(RAND(),$M$7,$M$8)</f>
        <v>2.0790207878267956E-2</v>
      </c>
    </row>
    <row r="1768" spans="6:7" x14ac:dyDescent="0.25">
      <c r="F1768">
        <v>1765</v>
      </c>
      <c r="G1768">
        <f ca="1">_xlfn.NORM.INV(RAND(),$M$7,$M$8)</f>
        <v>-3.2717792165198184E-2</v>
      </c>
    </row>
    <row r="1769" spans="6:7" x14ac:dyDescent="0.25">
      <c r="F1769">
        <v>1766</v>
      </c>
      <c r="G1769">
        <f ca="1">_xlfn.NORM.INV(RAND(),$M$7,$M$8)</f>
        <v>3.1366667532180516E-2</v>
      </c>
    </row>
    <row r="1770" spans="6:7" x14ac:dyDescent="0.25">
      <c r="F1770">
        <v>1767</v>
      </c>
      <c r="G1770">
        <f ca="1">_xlfn.NORM.INV(RAND(),$M$7,$M$8)</f>
        <v>-1.7514432960912284E-2</v>
      </c>
    </row>
    <row r="1771" spans="6:7" x14ac:dyDescent="0.25">
      <c r="F1771">
        <v>1768</v>
      </c>
      <c r="G1771">
        <f ca="1">_xlfn.NORM.INV(RAND(),$M$7,$M$8)</f>
        <v>3.9945172860262181E-4</v>
      </c>
    </row>
    <row r="1772" spans="6:7" x14ac:dyDescent="0.25">
      <c r="F1772">
        <v>1769</v>
      </c>
      <c r="G1772">
        <f ca="1">_xlfn.NORM.INV(RAND(),$M$7,$M$8)</f>
        <v>1.5384327373313657E-2</v>
      </c>
    </row>
    <row r="1773" spans="6:7" x14ac:dyDescent="0.25">
      <c r="F1773">
        <v>1770</v>
      </c>
      <c r="G1773">
        <f ca="1">_xlfn.NORM.INV(RAND(),$M$7,$M$8)</f>
        <v>-1.1886213279463221E-2</v>
      </c>
    </row>
    <row r="1774" spans="6:7" x14ac:dyDescent="0.25">
      <c r="F1774">
        <v>1771</v>
      </c>
      <c r="G1774">
        <f ca="1">_xlfn.NORM.INV(RAND(),$M$7,$M$8)</f>
        <v>-3.548188127297161E-2</v>
      </c>
    </row>
    <row r="1775" spans="6:7" x14ac:dyDescent="0.25">
      <c r="F1775">
        <v>1772</v>
      </c>
      <c r="G1775">
        <f ca="1">_xlfn.NORM.INV(RAND(),$M$7,$M$8)</f>
        <v>-1.7689732684409945E-2</v>
      </c>
    </row>
    <row r="1776" spans="6:7" x14ac:dyDescent="0.25">
      <c r="F1776">
        <v>1773</v>
      </c>
      <c r="G1776">
        <f ca="1">_xlfn.NORM.INV(RAND(),$M$7,$M$8)</f>
        <v>4.1113716886452975E-2</v>
      </c>
    </row>
    <row r="1777" spans="6:7" x14ac:dyDescent="0.25">
      <c r="F1777">
        <v>1774</v>
      </c>
      <c r="G1777">
        <f ca="1">_xlfn.NORM.INV(RAND(),$M$7,$M$8)</f>
        <v>2.1493752836371782E-2</v>
      </c>
    </row>
    <row r="1778" spans="6:7" x14ac:dyDescent="0.25">
      <c r="F1778">
        <v>1775</v>
      </c>
      <c r="G1778">
        <f ca="1">_xlfn.NORM.INV(RAND(),$M$7,$M$8)</f>
        <v>-9.2756252013722045E-3</v>
      </c>
    </row>
    <row r="1779" spans="6:7" x14ac:dyDescent="0.25">
      <c r="F1779">
        <v>1776</v>
      </c>
      <c r="G1779">
        <f ca="1">_xlfn.NORM.INV(RAND(),$M$7,$M$8)</f>
        <v>-2.8422411025467827E-2</v>
      </c>
    </row>
    <row r="1780" spans="6:7" x14ac:dyDescent="0.25">
      <c r="F1780">
        <v>1777</v>
      </c>
      <c r="G1780">
        <f ca="1">_xlfn.NORM.INV(RAND(),$M$7,$M$8)</f>
        <v>3.1814971922108033E-2</v>
      </c>
    </row>
    <row r="1781" spans="6:7" x14ac:dyDescent="0.25">
      <c r="F1781">
        <v>1778</v>
      </c>
      <c r="G1781">
        <f ca="1">_xlfn.NORM.INV(RAND(),$M$7,$M$8)</f>
        <v>-4.6087569825751747E-2</v>
      </c>
    </row>
    <row r="1782" spans="6:7" x14ac:dyDescent="0.25">
      <c r="F1782">
        <v>1779</v>
      </c>
      <c r="G1782">
        <f ca="1">_xlfn.NORM.INV(RAND(),$M$7,$M$8)</f>
        <v>-6.1525848432057405E-3</v>
      </c>
    </row>
    <row r="1783" spans="6:7" x14ac:dyDescent="0.25">
      <c r="F1783">
        <v>1780</v>
      </c>
      <c r="G1783">
        <f ca="1">_xlfn.NORM.INV(RAND(),$M$7,$M$8)</f>
        <v>-2.7380367572505154E-2</v>
      </c>
    </row>
    <row r="1784" spans="6:7" x14ac:dyDescent="0.25">
      <c r="F1784">
        <v>1781</v>
      </c>
      <c r="G1784">
        <f ca="1">_xlfn.NORM.INV(RAND(),$M$7,$M$8)</f>
        <v>-3.082834887877162E-2</v>
      </c>
    </row>
    <row r="1785" spans="6:7" x14ac:dyDescent="0.25">
      <c r="F1785">
        <v>1782</v>
      </c>
      <c r="G1785">
        <f ca="1">_xlfn.NORM.INV(RAND(),$M$7,$M$8)</f>
        <v>1.7152077391416859E-2</v>
      </c>
    </row>
    <row r="1786" spans="6:7" x14ac:dyDescent="0.25">
      <c r="F1786">
        <v>1783</v>
      </c>
      <c r="G1786">
        <f ca="1">_xlfn.NORM.INV(RAND(),$M$7,$M$8)</f>
        <v>1.3975514458616854E-2</v>
      </c>
    </row>
    <row r="1787" spans="6:7" x14ac:dyDescent="0.25">
      <c r="F1787">
        <v>1784</v>
      </c>
      <c r="G1787">
        <f ca="1">_xlfn.NORM.INV(RAND(),$M$7,$M$8)</f>
        <v>3.4031364406560287E-2</v>
      </c>
    </row>
    <row r="1788" spans="6:7" x14ac:dyDescent="0.25">
      <c r="F1788">
        <v>1785</v>
      </c>
      <c r="G1788">
        <f ca="1">_xlfn.NORM.INV(RAND(),$M$7,$M$8)</f>
        <v>9.7502501138553681E-3</v>
      </c>
    </row>
    <row r="1789" spans="6:7" x14ac:dyDescent="0.25">
      <c r="F1789">
        <v>1786</v>
      </c>
      <c r="G1789">
        <f ca="1">_xlfn.NORM.INV(RAND(),$M$7,$M$8)</f>
        <v>2.6179454411962379E-2</v>
      </c>
    </row>
    <row r="1790" spans="6:7" x14ac:dyDescent="0.25">
      <c r="F1790">
        <v>1787</v>
      </c>
      <c r="G1790">
        <f ca="1">_xlfn.NORM.INV(RAND(),$M$7,$M$8)</f>
        <v>-8.8817995951005757E-3</v>
      </c>
    </row>
    <row r="1791" spans="6:7" x14ac:dyDescent="0.25">
      <c r="F1791">
        <v>1788</v>
      </c>
      <c r="G1791">
        <f ca="1">_xlfn.NORM.INV(RAND(),$M$7,$M$8)</f>
        <v>2.3951813398331787E-2</v>
      </c>
    </row>
    <row r="1792" spans="6:7" x14ac:dyDescent="0.25">
      <c r="F1792">
        <v>1789</v>
      </c>
      <c r="G1792">
        <f ca="1">_xlfn.NORM.INV(RAND(),$M$7,$M$8)</f>
        <v>3.9376809903249339E-3</v>
      </c>
    </row>
    <row r="1793" spans="6:7" x14ac:dyDescent="0.25">
      <c r="F1793">
        <v>1790</v>
      </c>
      <c r="G1793">
        <f ca="1">_xlfn.NORM.INV(RAND(),$M$7,$M$8)</f>
        <v>3.5227625648179363E-2</v>
      </c>
    </row>
    <row r="1794" spans="6:7" x14ac:dyDescent="0.25">
      <c r="F1794">
        <v>1791</v>
      </c>
      <c r="G1794">
        <f ca="1">_xlfn.NORM.INV(RAND(),$M$7,$M$8)</f>
        <v>4.0510767996785628E-3</v>
      </c>
    </row>
    <row r="1795" spans="6:7" x14ac:dyDescent="0.25">
      <c r="F1795">
        <v>1792</v>
      </c>
      <c r="G1795">
        <f ca="1">_xlfn.NORM.INV(RAND(),$M$7,$M$8)</f>
        <v>-3.6459691908884054E-2</v>
      </c>
    </row>
    <row r="1796" spans="6:7" x14ac:dyDescent="0.25">
      <c r="F1796">
        <v>1793</v>
      </c>
      <c r="G1796">
        <f ca="1">_xlfn.NORM.INV(RAND(),$M$7,$M$8)</f>
        <v>-3.3355056290642958E-3</v>
      </c>
    </row>
    <row r="1797" spans="6:7" x14ac:dyDescent="0.25">
      <c r="F1797">
        <v>1794</v>
      </c>
      <c r="G1797">
        <f ca="1">_xlfn.NORM.INV(RAND(),$M$7,$M$8)</f>
        <v>3.911454704849425E-2</v>
      </c>
    </row>
    <row r="1798" spans="6:7" x14ac:dyDescent="0.25">
      <c r="F1798">
        <v>1795</v>
      </c>
      <c r="G1798">
        <f ca="1">_xlfn.NORM.INV(RAND(),$M$7,$M$8)</f>
        <v>-2.0701361323575396E-3</v>
      </c>
    </row>
    <row r="1799" spans="6:7" x14ac:dyDescent="0.25">
      <c r="F1799">
        <v>1796</v>
      </c>
      <c r="G1799">
        <f ca="1">_xlfn.NORM.INV(RAND(),$M$7,$M$8)</f>
        <v>2.3657892561785823E-2</v>
      </c>
    </row>
    <row r="1800" spans="6:7" x14ac:dyDescent="0.25">
      <c r="F1800">
        <v>1797</v>
      </c>
      <c r="G1800">
        <f ca="1">_xlfn.NORM.INV(RAND(),$M$7,$M$8)</f>
        <v>-4.2697865119332296E-2</v>
      </c>
    </row>
    <row r="1801" spans="6:7" x14ac:dyDescent="0.25">
      <c r="F1801">
        <v>1798</v>
      </c>
      <c r="G1801">
        <f ca="1">_xlfn.NORM.INV(RAND(),$M$7,$M$8)</f>
        <v>-8.6570797991620783E-3</v>
      </c>
    </row>
    <row r="1802" spans="6:7" x14ac:dyDescent="0.25">
      <c r="F1802">
        <v>1799</v>
      </c>
      <c r="G1802">
        <f ca="1">_xlfn.NORM.INV(RAND(),$M$7,$M$8)</f>
        <v>-2.1940162918751293E-2</v>
      </c>
    </row>
    <row r="1803" spans="6:7" x14ac:dyDescent="0.25">
      <c r="F1803">
        <v>1800</v>
      </c>
      <c r="G1803">
        <f ca="1">_xlfn.NORM.INV(RAND(),$M$7,$M$8)</f>
        <v>-3.0002974810788563E-3</v>
      </c>
    </row>
    <row r="1804" spans="6:7" x14ac:dyDescent="0.25">
      <c r="F1804">
        <v>1801</v>
      </c>
      <c r="G1804">
        <f ca="1">_xlfn.NORM.INV(RAND(),$M$7,$M$8)</f>
        <v>4.1445933654560268E-3</v>
      </c>
    </row>
    <row r="1805" spans="6:7" x14ac:dyDescent="0.25">
      <c r="F1805">
        <v>1802</v>
      </c>
      <c r="G1805">
        <f ca="1">_xlfn.NORM.INV(RAND(),$M$7,$M$8)</f>
        <v>-4.732154864576129E-2</v>
      </c>
    </row>
    <row r="1806" spans="6:7" x14ac:dyDescent="0.25">
      <c r="F1806">
        <v>1803</v>
      </c>
      <c r="G1806">
        <f ca="1">_xlfn.NORM.INV(RAND(),$M$7,$M$8)</f>
        <v>-2.5153758478183737E-2</v>
      </c>
    </row>
    <row r="1807" spans="6:7" x14ac:dyDescent="0.25">
      <c r="F1807">
        <v>1804</v>
      </c>
      <c r="G1807">
        <f ca="1">_xlfn.NORM.INV(RAND(),$M$7,$M$8)</f>
        <v>3.6653027411116763E-2</v>
      </c>
    </row>
    <row r="1808" spans="6:7" x14ac:dyDescent="0.25">
      <c r="F1808">
        <v>1805</v>
      </c>
      <c r="G1808">
        <f ca="1">_xlfn.NORM.INV(RAND(),$M$7,$M$8)</f>
        <v>-1.3700477409519978E-3</v>
      </c>
    </row>
    <row r="1809" spans="6:7" x14ac:dyDescent="0.25">
      <c r="F1809">
        <v>1806</v>
      </c>
      <c r="G1809">
        <f ca="1">_xlfn.NORM.INV(RAND(),$M$7,$M$8)</f>
        <v>-1.4059616898998198E-2</v>
      </c>
    </row>
    <row r="1810" spans="6:7" x14ac:dyDescent="0.25">
      <c r="F1810">
        <v>1807</v>
      </c>
      <c r="G1810">
        <f ca="1">_xlfn.NORM.INV(RAND(),$M$7,$M$8)</f>
        <v>-1.8298851231380576E-2</v>
      </c>
    </row>
    <row r="1811" spans="6:7" x14ac:dyDescent="0.25">
      <c r="F1811">
        <v>1808</v>
      </c>
      <c r="G1811">
        <f ca="1">_xlfn.NORM.INV(RAND(),$M$7,$M$8)</f>
        <v>-1.1705045560763119E-2</v>
      </c>
    </row>
    <row r="1812" spans="6:7" x14ac:dyDescent="0.25">
      <c r="F1812">
        <v>1809</v>
      </c>
      <c r="G1812">
        <f ca="1">_xlfn.NORM.INV(RAND(),$M$7,$M$8)</f>
        <v>3.3435677262605254E-2</v>
      </c>
    </row>
    <row r="1813" spans="6:7" x14ac:dyDescent="0.25">
      <c r="F1813">
        <v>1810</v>
      </c>
      <c r="G1813">
        <f ca="1">_xlfn.NORM.INV(RAND(),$M$7,$M$8)</f>
        <v>5.2191859495537812E-2</v>
      </c>
    </row>
    <row r="1814" spans="6:7" x14ac:dyDescent="0.25">
      <c r="F1814">
        <v>1811</v>
      </c>
      <c r="G1814">
        <f ca="1">_xlfn.NORM.INV(RAND(),$M$7,$M$8)</f>
        <v>-1.6206062959139077E-2</v>
      </c>
    </row>
    <row r="1815" spans="6:7" x14ac:dyDescent="0.25">
      <c r="F1815">
        <v>1812</v>
      </c>
      <c r="G1815">
        <f ca="1">_xlfn.NORM.INV(RAND(),$M$7,$M$8)</f>
        <v>2.0272216684945429E-2</v>
      </c>
    </row>
    <row r="1816" spans="6:7" x14ac:dyDescent="0.25">
      <c r="F1816">
        <v>1813</v>
      </c>
      <c r="G1816">
        <f ca="1">_xlfn.NORM.INV(RAND(),$M$7,$M$8)</f>
        <v>-4.9024939158460318E-3</v>
      </c>
    </row>
    <row r="1817" spans="6:7" x14ac:dyDescent="0.25">
      <c r="F1817">
        <v>1814</v>
      </c>
      <c r="G1817">
        <f ca="1">_xlfn.NORM.INV(RAND(),$M$7,$M$8)</f>
        <v>-3.1241469735070856E-2</v>
      </c>
    </row>
    <row r="1818" spans="6:7" x14ac:dyDescent="0.25">
      <c r="F1818">
        <v>1815</v>
      </c>
      <c r="G1818">
        <f ca="1">_xlfn.NORM.INV(RAND(),$M$7,$M$8)</f>
        <v>-2.5807788771680523E-2</v>
      </c>
    </row>
    <row r="1819" spans="6:7" x14ac:dyDescent="0.25">
      <c r="F1819">
        <v>1816</v>
      </c>
      <c r="G1819">
        <f ca="1">_xlfn.NORM.INV(RAND(),$M$7,$M$8)</f>
        <v>2.6968381036844687E-2</v>
      </c>
    </row>
    <row r="1820" spans="6:7" x14ac:dyDescent="0.25">
      <c r="F1820">
        <v>1817</v>
      </c>
      <c r="G1820">
        <f ca="1">_xlfn.NORM.INV(RAND(),$M$7,$M$8)</f>
        <v>-1.3369522349435885E-2</v>
      </c>
    </row>
    <row r="1821" spans="6:7" x14ac:dyDescent="0.25">
      <c r="F1821">
        <v>1818</v>
      </c>
      <c r="G1821">
        <f ca="1">_xlfn.NORM.INV(RAND(),$M$7,$M$8)</f>
        <v>4.5919759962005652E-4</v>
      </c>
    </row>
    <row r="1822" spans="6:7" x14ac:dyDescent="0.25">
      <c r="F1822">
        <v>1819</v>
      </c>
      <c r="G1822">
        <f ca="1">_xlfn.NORM.INV(RAND(),$M$7,$M$8)</f>
        <v>-1.2875176638636653E-2</v>
      </c>
    </row>
    <row r="1823" spans="6:7" x14ac:dyDescent="0.25">
      <c r="F1823">
        <v>1820</v>
      </c>
      <c r="G1823">
        <f ca="1">_xlfn.NORM.INV(RAND(),$M$7,$M$8)</f>
        <v>-1.8812405825759722E-2</v>
      </c>
    </row>
    <row r="1824" spans="6:7" x14ac:dyDescent="0.25">
      <c r="F1824">
        <v>1821</v>
      </c>
      <c r="G1824">
        <f ca="1">_xlfn.NORM.INV(RAND(),$M$7,$M$8)</f>
        <v>-4.2702802241304273E-2</v>
      </c>
    </row>
    <row r="1825" spans="6:7" x14ac:dyDescent="0.25">
      <c r="F1825">
        <v>1822</v>
      </c>
      <c r="G1825">
        <f ca="1">_xlfn.NORM.INV(RAND(),$M$7,$M$8)</f>
        <v>7.6667273243618619E-3</v>
      </c>
    </row>
    <row r="1826" spans="6:7" x14ac:dyDescent="0.25">
      <c r="F1826">
        <v>1823</v>
      </c>
      <c r="G1826">
        <f ca="1">_xlfn.NORM.INV(RAND(),$M$7,$M$8)</f>
        <v>-2.4500662972913041E-2</v>
      </c>
    </row>
    <row r="1827" spans="6:7" x14ac:dyDescent="0.25">
      <c r="F1827">
        <v>1824</v>
      </c>
      <c r="G1827">
        <f ca="1">_xlfn.NORM.INV(RAND(),$M$7,$M$8)</f>
        <v>-6.6406840698229781E-3</v>
      </c>
    </row>
    <row r="1828" spans="6:7" x14ac:dyDescent="0.25">
      <c r="F1828">
        <v>1825</v>
      </c>
      <c r="G1828">
        <f ca="1">_xlfn.NORM.INV(RAND(),$M$7,$M$8)</f>
        <v>4.0985054581844864E-2</v>
      </c>
    </row>
    <row r="1829" spans="6:7" x14ac:dyDescent="0.25">
      <c r="F1829">
        <v>1826</v>
      </c>
      <c r="G1829">
        <f ca="1">_xlfn.NORM.INV(RAND(),$M$7,$M$8)</f>
        <v>-1.9147688555922935E-3</v>
      </c>
    </row>
    <row r="1830" spans="6:7" x14ac:dyDescent="0.25">
      <c r="F1830">
        <v>1827</v>
      </c>
      <c r="G1830">
        <f ca="1">_xlfn.NORM.INV(RAND(),$M$7,$M$8)</f>
        <v>3.7600206213181768E-2</v>
      </c>
    </row>
    <row r="1831" spans="6:7" x14ac:dyDescent="0.25">
      <c r="F1831">
        <v>1828</v>
      </c>
      <c r="G1831">
        <f ca="1">_xlfn.NORM.INV(RAND(),$M$7,$M$8)</f>
        <v>1.6710775931138507E-2</v>
      </c>
    </row>
    <row r="1832" spans="6:7" x14ac:dyDescent="0.25">
      <c r="F1832">
        <v>1829</v>
      </c>
      <c r="G1832">
        <f ca="1">_xlfn.NORM.INV(RAND(),$M$7,$M$8)</f>
        <v>-9.2670412991107225E-3</v>
      </c>
    </row>
    <row r="1833" spans="6:7" x14ac:dyDescent="0.25">
      <c r="F1833">
        <v>1830</v>
      </c>
      <c r="G1833">
        <f ca="1">_xlfn.NORM.INV(RAND(),$M$7,$M$8)</f>
        <v>2.4842568773935661E-2</v>
      </c>
    </row>
    <row r="1834" spans="6:7" x14ac:dyDescent="0.25">
      <c r="F1834">
        <v>1831</v>
      </c>
      <c r="G1834">
        <f ca="1">_xlfn.NORM.INV(RAND(),$M$7,$M$8)</f>
        <v>6.3273697222396216E-3</v>
      </c>
    </row>
    <row r="1835" spans="6:7" x14ac:dyDescent="0.25">
      <c r="F1835">
        <v>1832</v>
      </c>
      <c r="G1835">
        <f ca="1">_xlfn.NORM.INV(RAND(),$M$7,$M$8)</f>
        <v>-3.3917247736984672E-2</v>
      </c>
    </row>
    <row r="1836" spans="6:7" x14ac:dyDescent="0.25">
      <c r="F1836">
        <v>1833</v>
      </c>
      <c r="G1836">
        <f ca="1">_xlfn.NORM.INV(RAND(),$M$7,$M$8)</f>
        <v>2.9903987115683695E-2</v>
      </c>
    </row>
    <row r="1837" spans="6:7" x14ac:dyDescent="0.25">
      <c r="F1837">
        <v>1834</v>
      </c>
      <c r="G1837">
        <f ca="1">_xlfn.NORM.INV(RAND(),$M$7,$M$8)</f>
        <v>-3.759052416373572E-2</v>
      </c>
    </row>
    <row r="1838" spans="6:7" x14ac:dyDescent="0.25">
      <c r="F1838">
        <v>1835</v>
      </c>
      <c r="G1838">
        <f ca="1">_xlfn.NORM.INV(RAND(),$M$7,$M$8)</f>
        <v>-2.832689229727335E-3</v>
      </c>
    </row>
    <row r="1839" spans="6:7" x14ac:dyDescent="0.25">
      <c r="F1839">
        <v>1836</v>
      </c>
      <c r="G1839">
        <f ca="1">_xlfn.NORM.INV(RAND(),$M$7,$M$8)</f>
        <v>-7.8529992672223912E-3</v>
      </c>
    </row>
    <row r="1840" spans="6:7" x14ac:dyDescent="0.25">
      <c r="F1840">
        <v>1837</v>
      </c>
      <c r="G1840">
        <f ca="1">_xlfn.NORM.INV(RAND(),$M$7,$M$8)</f>
        <v>-1.0024601237567486E-2</v>
      </c>
    </row>
    <row r="1841" spans="6:7" x14ac:dyDescent="0.25">
      <c r="F1841">
        <v>1838</v>
      </c>
      <c r="G1841">
        <f ca="1">_xlfn.NORM.INV(RAND(),$M$7,$M$8)</f>
        <v>2.3078236368285317E-2</v>
      </c>
    </row>
    <row r="1842" spans="6:7" x14ac:dyDescent="0.25">
      <c r="F1842">
        <v>1839</v>
      </c>
      <c r="G1842">
        <f ca="1">_xlfn.NORM.INV(RAND(),$M$7,$M$8)</f>
        <v>3.0371280747680642E-3</v>
      </c>
    </row>
    <row r="1843" spans="6:7" x14ac:dyDescent="0.25">
      <c r="F1843">
        <v>1840</v>
      </c>
      <c r="G1843">
        <f ca="1">_xlfn.NORM.INV(RAND(),$M$7,$M$8)</f>
        <v>-3.0852235665637006E-2</v>
      </c>
    </row>
    <row r="1844" spans="6:7" x14ac:dyDescent="0.25">
      <c r="F1844">
        <v>1841</v>
      </c>
      <c r="G1844">
        <f ca="1">_xlfn.NORM.INV(RAND(),$M$7,$M$8)</f>
        <v>4.344287301130801E-2</v>
      </c>
    </row>
    <row r="1845" spans="6:7" x14ac:dyDescent="0.25">
      <c r="F1845">
        <v>1842</v>
      </c>
      <c r="G1845">
        <f ca="1">_xlfn.NORM.INV(RAND(),$M$7,$M$8)</f>
        <v>-3.2237249174899903E-2</v>
      </c>
    </row>
    <row r="1846" spans="6:7" x14ac:dyDescent="0.25">
      <c r="F1846">
        <v>1843</v>
      </c>
      <c r="G1846">
        <f ca="1">_xlfn.NORM.INV(RAND(),$M$7,$M$8)</f>
        <v>1.0586562813770628E-2</v>
      </c>
    </row>
    <row r="1847" spans="6:7" x14ac:dyDescent="0.25">
      <c r="F1847">
        <v>1844</v>
      </c>
      <c r="G1847">
        <f ca="1">_xlfn.NORM.INV(RAND(),$M$7,$M$8)</f>
        <v>4.1834371943724642E-2</v>
      </c>
    </row>
    <row r="1848" spans="6:7" x14ac:dyDescent="0.25">
      <c r="F1848">
        <v>1845</v>
      </c>
      <c r="G1848">
        <f ca="1">_xlfn.NORM.INV(RAND(),$M$7,$M$8)</f>
        <v>1.5673659563055522E-2</v>
      </c>
    </row>
    <row r="1849" spans="6:7" x14ac:dyDescent="0.25">
      <c r="F1849">
        <v>1846</v>
      </c>
      <c r="G1849">
        <f ca="1">_xlfn.NORM.INV(RAND(),$M$7,$M$8)</f>
        <v>-1.544556423302372E-2</v>
      </c>
    </row>
    <row r="1850" spans="6:7" x14ac:dyDescent="0.25">
      <c r="F1850">
        <v>1847</v>
      </c>
      <c r="G1850">
        <f ca="1">_xlfn.NORM.INV(RAND(),$M$7,$M$8)</f>
        <v>1.7952756992023276E-2</v>
      </c>
    </row>
    <row r="1851" spans="6:7" x14ac:dyDescent="0.25">
      <c r="F1851">
        <v>1848</v>
      </c>
      <c r="G1851">
        <f ca="1">_xlfn.NORM.INV(RAND(),$M$7,$M$8)</f>
        <v>-1.0022161606972271E-2</v>
      </c>
    </row>
    <row r="1852" spans="6:7" x14ac:dyDescent="0.25">
      <c r="F1852">
        <v>1849</v>
      </c>
      <c r="G1852">
        <f ca="1">_xlfn.NORM.INV(RAND(),$M$7,$M$8)</f>
        <v>-5.5403658641714881E-3</v>
      </c>
    </row>
    <row r="1853" spans="6:7" x14ac:dyDescent="0.25">
      <c r="F1853">
        <v>1850</v>
      </c>
      <c r="G1853">
        <f ca="1">_xlfn.NORM.INV(RAND(),$M$7,$M$8)</f>
        <v>-2.5465900723664939E-5</v>
      </c>
    </row>
    <row r="1854" spans="6:7" x14ac:dyDescent="0.25">
      <c r="F1854">
        <v>1851</v>
      </c>
      <c r="G1854">
        <f ca="1">_xlfn.NORM.INV(RAND(),$M$7,$M$8)</f>
        <v>-1.4463292812454074E-2</v>
      </c>
    </row>
    <row r="1855" spans="6:7" x14ac:dyDescent="0.25">
      <c r="F1855">
        <v>1852</v>
      </c>
      <c r="G1855">
        <f ca="1">_xlfn.NORM.INV(RAND(),$M$7,$M$8)</f>
        <v>1.7815915577395307E-2</v>
      </c>
    </row>
    <row r="1856" spans="6:7" x14ac:dyDescent="0.25">
      <c r="F1856">
        <v>1853</v>
      </c>
      <c r="G1856">
        <f ca="1">_xlfn.NORM.INV(RAND(),$M$7,$M$8)</f>
        <v>-1.9640907719864042E-2</v>
      </c>
    </row>
    <row r="1857" spans="6:7" x14ac:dyDescent="0.25">
      <c r="F1857">
        <v>1854</v>
      </c>
      <c r="G1857">
        <f ca="1">_xlfn.NORM.INV(RAND(),$M$7,$M$8)</f>
        <v>2.9784897898485596E-2</v>
      </c>
    </row>
    <row r="1858" spans="6:7" x14ac:dyDescent="0.25">
      <c r="F1858">
        <v>1855</v>
      </c>
      <c r="G1858">
        <f ca="1">_xlfn.NORM.INV(RAND(),$M$7,$M$8)</f>
        <v>-3.0526444237147852E-3</v>
      </c>
    </row>
    <row r="1859" spans="6:7" x14ac:dyDescent="0.25">
      <c r="F1859">
        <v>1856</v>
      </c>
      <c r="G1859">
        <f ca="1">_xlfn.NORM.INV(RAND(),$M$7,$M$8)</f>
        <v>2.2296228028176796E-3</v>
      </c>
    </row>
    <row r="1860" spans="6:7" x14ac:dyDescent="0.25">
      <c r="F1860">
        <v>1857</v>
      </c>
      <c r="G1860">
        <f ca="1">_xlfn.NORM.INV(RAND(),$M$7,$M$8)</f>
        <v>3.3762382389884251E-3</v>
      </c>
    </row>
    <row r="1861" spans="6:7" x14ac:dyDescent="0.25">
      <c r="F1861">
        <v>1858</v>
      </c>
      <c r="G1861">
        <f ca="1">_xlfn.NORM.INV(RAND(),$M$7,$M$8)</f>
        <v>-1.1985664200518453E-2</v>
      </c>
    </row>
    <row r="1862" spans="6:7" x14ac:dyDescent="0.25">
      <c r="F1862">
        <v>1859</v>
      </c>
      <c r="G1862">
        <f ca="1">_xlfn.NORM.INV(RAND(),$M$7,$M$8)</f>
        <v>-1.4645488591305366E-2</v>
      </c>
    </row>
    <row r="1863" spans="6:7" x14ac:dyDescent="0.25">
      <c r="F1863">
        <v>1860</v>
      </c>
      <c r="G1863">
        <f ca="1">_xlfn.NORM.INV(RAND(),$M$7,$M$8)</f>
        <v>2.2039681602594161E-2</v>
      </c>
    </row>
    <row r="1864" spans="6:7" x14ac:dyDescent="0.25">
      <c r="F1864">
        <v>1861</v>
      </c>
      <c r="G1864">
        <f ca="1">_xlfn.NORM.INV(RAND(),$M$7,$M$8)</f>
        <v>1.4990605698497852E-2</v>
      </c>
    </row>
    <row r="1865" spans="6:7" x14ac:dyDescent="0.25">
      <c r="F1865">
        <v>1862</v>
      </c>
      <c r="G1865">
        <f ca="1">_xlfn.NORM.INV(RAND(),$M$7,$M$8)</f>
        <v>-3.3701256338651606E-2</v>
      </c>
    </row>
    <row r="1866" spans="6:7" x14ac:dyDescent="0.25">
      <c r="F1866">
        <v>1863</v>
      </c>
      <c r="G1866">
        <f ca="1">_xlfn.NORM.INV(RAND(),$M$7,$M$8)</f>
        <v>7.8179513885694787E-3</v>
      </c>
    </row>
    <row r="1867" spans="6:7" x14ac:dyDescent="0.25">
      <c r="F1867">
        <v>1864</v>
      </c>
      <c r="G1867">
        <f ca="1">_xlfn.NORM.INV(RAND(),$M$7,$M$8)</f>
        <v>-1.1332780479544521E-2</v>
      </c>
    </row>
    <row r="1868" spans="6:7" x14ac:dyDescent="0.25">
      <c r="F1868">
        <v>1865</v>
      </c>
      <c r="G1868">
        <f ca="1">_xlfn.NORM.INV(RAND(),$M$7,$M$8)</f>
        <v>-2.6936983818683206E-2</v>
      </c>
    </row>
    <row r="1869" spans="6:7" x14ac:dyDescent="0.25">
      <c r="F1869">
        <v>1866</v>
      </c>
      <c r="G1869">
        <f ca="1">_xlfn.NORM.INV(RAND(),$M$7,$M$8)</f>
        <v>7.4110738496066999E-3</v>
      </c>
    </row>
    <row r="1870" spans="6:7" x14ac:dyDescent="0.25">
      <c r="F1870">
        <v>1867</v>
      </c>
      <c r="G1870">
        <f ca="1">_xlfn.NORM.INV(RAND(),$M$7,$M$8)</f>
        <v>-2.5271420441064205E-2</v>
      </c>
    </row>
    <row r="1871" spans="6:7" x14ac:dyDescent="0.25">
      <c r="F1871">
        <v>1868</v>
      </c>
      <c r="G1871">
        <f ca="1">_xlfn.NORM.INV(RAND(),$M$7,$M$8)</f>
        <v>-1.1366383235419249E-2</v>
      </c>
    </row>
    <row r="1872" spans="6:7" x14ac:dyDescent="0.25">
      <c r="F1872">
        <v>1869</v>
      </c>
      <c r="G1872">
        <f ca="1">_xlfn.NORM.INV(RAND(),$M$7,$M$8)</f>
        <v>-4.3657695320578178E-2</v>
      </c>
    </row>
    <row r="1873" spans="6:7" x14ac:dyDescent="0.25">
      <c r="F1873">
        <v>1870</v>
      </c>
      <c r="G1873">
        <f ca="1">_xlfn.NORM.INV(RAND(),$M$7,$M$8)</f>
        <v>-4.5425062027425861E-4</v>
      </c>
    </row>
    <row r="1874" spans="6:7" x14ac:dyDescent="0.25">
      <c r="F1874">
        <v>1871</v>
      </c>
      <c r="G1874">
        <f ca="1">_xlfn.NORM.INV(RAND(),$M$7,$M$8)</f>
        <v>-3.3767454335123771E-2</v>
      </c>
    </row>
    <row r="1875" spans="6:7" x14ac:dyDescent="0.25">
      <c r="F1875">
        <v>1872</v>
      </c>
      <c r="G1875">
        <f ca="1">_xlfn.NORM.INV(RAND(),$M$7,$M$8)</f>
        <v>1.0469035607086803E-2</v>
      </c>
    </row>
    <row r="1876" spans="6:7" x14ac:dyDescent="0.25">
      <c r="F1876">
        <v>1873</v>
      </c>
      <c r="G1876">
        <f ca="1">_xlfn.NORM.INV(RAND(),$M$7,$M$8)</f>
        <v>-9.1463286138483736E-3</v>
      </c>
    </row>
    <row r="1877" spans="6:7" x14ac:dyDescent="0.25">
      <c r="F1877">
        <v>1874</v>
      </c>
      <c r="G1877">
        <f ca="1">_xlfn.NORM.INV(RAND(),$M$7,$M$8)</f>
        <v>3.1455564970336747E-2</v>
      </c>
    </row>
    <row r="1878" spans="6:7" x14ac:dyDescent="0.25">
      <c r="F1878">
        <v>1875</v>
      </c>
      <c r="G1878">
        <f ca="1">_xlfn.NORM.INV(RAND(),$M$7,$M$8)</f>
        <v>4.4805040315582204E-2</v>
      </c>
    </row>
    <row r="1879" spans="6:7" x14ac:dyDescent="0.25">
      <c r="F1879">
        <v>1876</v>
      </c>
      <c r="G1879">
        <f ca="1">_xlfn.NORM.INV(RAND(),$M$7,$M$8)</f>
        <v>1.693953149406503E-3</v>
      </c>
    </row>
    <row r="1880" spans="6:7" x14ac:dyDescent="0.25">
      <c r="F1880">
        <v>1877</v>
      </c>
      <c r="G1880">
        <f ca="1">_xlfn.NORM.INV(RAND(),$M$7,$M$8)</f>
        <v>-1.4199200177717846E-2</v>
      </c>
    </row>
    <row r="1881" spans="6:7" x14ac:dyDescent="0.25">
      <c r="F1881">
        <v>1878</v>
      </c>
      <c r="G1881">
        <f ca="1">_xlfn.NORM.INV(RAND(),$M$7,$M$8)</f>
        <v>2.3679137686600734E-4</v>
      </c>
    </row>
    <row r="1882" spans="6:7" x14ac:dyDescent="0.25">
      <c r="F1882">
        <v>1879</v>
      </c>
      <c r="G1882">
        <f ca="1">_xlfn.NORM.INV(RAND(),$M$7,$M$8)</f>
        <v>-3.0757414830521895E-2</v>
      </c>
    </row>
    <row r="1883" spans="6:7" x14ac:dyDescent="0.25">
      <c r="F1883">
        <v>1880</v>
      </c>
      <c r="G1883">
        <f ca="1">_xlfn.NORM.INV(RAND(),$M$7,$M$8)</f>
        <v>-2.4476657908572851E-2</v>
      </c>
    </row>
    <row r="1884" spans="6:7" x14ac:dyDescent="0.25">
      <c r="F1884">
        <v>1881</v>
      </c>
      <c r="G1884">
        <f ca="1">_xlfn.NORM.INV(RAND(),$M$7,$M$8)</f>
        <v>-2.0673209780419206E-2</v>
      </c>
    </row>
    <row r="1885" spans="6:7" x14ac:dyDescent="0.25">
      <c r="F1885">
        <v>1882</v>
      </c>
      <c r="G1885">
        <f ca="1">_xlfn.NORM.INV(RAND(),$M$7,$M$8)</f>
        <v>3.9501643097500242E-3</v>
      </c>
    </row>
    <row r="1886" spans="6:7" x14ac:dyDescent="0.25">
      <c r="F1886">
        <v>1883</v>
      </c>
      <c r="G1886">
        <f ca="1">_xlfn.NORM.INV(RAND(),$M$7,$M$8)</f>
        <v>-7.7048951041040585E-3</v>
      </c>
    </row>
    <row r="1887" spans="6:7" x14ac:dyDescent="0.25">
      <c r="F1887">
        <v>1884</v>
      </c>
      <c r="G1887">
        <f ca="1">_xlfn.NORM.INV(RAND(),$M$7,$M$8)</f>
        <v>-2.8579771996136375E-3</v>
      </c>
    </row>
    <row r="1888" spans="6:7" x14ac:dyDescent="0.25">
      <c r="F1888">
        <v>1885</v>
      </c>
      <c r="G1888">
        <f ca="1">_xlfn.NORM.INV(RAND(),$M$7,$M$8)</f>
        <v>-3.2219822189807436E-2</v>
      </c>
    </row>
    <row r="1889" spans="6:7" x14ac:dyDescent="0.25">
      <c r="F1889">
        <v>1886</v>
      </c>
      <c r="G1889">
        <f ca="1">_xlfn.NORM.INV(RAND(),$M$7,$M$8)</f>
        <v>-2.8096035209224303E-2</v>
      </c>
    </row>
    <row r="1890" spans="6:7" x14ac:dyDescent="0.25">
      <c r="F1890">
        <v>1887</v>
      </c>
      <c r="G1890">
        <f ca="1">_xlfn.NORM.INV(RAND(),$M$7,$M$8)</f>
        <v>-2.984789122000063E-2</v>
      </c>
    </row>
    <row r="1891" spans="6:7" x14ac:dyDescent="0.25">
      <c r="F1891">
        <v>1888</v>
      </c>
      <c r="G1891">
        <f ca="1">_xlfn.NORM.INV(RAND(),$M$7,$M$8)</f>
        <v>2.4513386246060899E-2</v>
      </c>
    </row>
    <row r="1892" spans="6:7" x14ac:dyDescent="0.25">
      <c r="F1892">
        <v>1889</v>
      </c>
      <c r="G1892">
        <f ca="1">_xlfn.NORM.INV(RAND(),$M$7,$M$8)</f>
        <v>-4.4559753532582187E-3</v>
      </c>
    </row>
    <row r="1893" spans="6:7" x14ac:dyDescent="0.25">
      <c r="F1893">
        <v>1890</v>
      </c>
      <c r="G1893">
        <f ca="1">_xlfn.NORM.INV(RAND(),$M$7,$M$8)</f>
        <v>-8.9439263439769438E-3</v>
      </c>
    </row>
    <row r="1894" spans="6:7" x14ac:dyDescent="0.25">
      <c r="F1894">
        <v>1891</v>
      </c>
      <c r="G1894">
        <f ca="1">_xlfn.NORM.INV(RAND(),$M$7,$M$8)</f>
        <v>2.0222990105145021E-2</v>
      </c>
    </row>
    <row r="1895" spans="6:7" x14ac:dyDescent="0.25">
      <c r="F1895">
        <v>1892</v>
      </c>
      <c r="G1895">
        <f ca="1">_xlfn.NORM.INV(RAND(),$M$7,$M$8)</f>
        <v>5.1643535019872046E-2</v>
      </c>
    </row>
    <row r="1896" spans="6:7" x14ac:dyDescent="0.25">
      <c r="F1896">
        <v>1893</v>
      </c>
      <c r="G1896">
        <f ca="1">_xlfn.NORM.INV(RAND(),$M$7,$M$8)</f>
        <v>3.5212306305765828E-2</v>
      </c>
    </row>
    <row r="1897" spans="6:7" x14ac:dyDescent="0.25">
      <c r="F1897">
        <v>1894</v>
      </c>
      <c r="G1897">
        <f ca="1">_xlfn.NORM.INV(RAND(),$M$7,$M$8)</f>
        <v>-4.7902309525667451E-2</v>
      </c>
    </row>
    <row r="1898" spans="6:7" x14ac:dyDescent="0.25">
      <c r="F1898">
        <v>1895</v>
      </c>
      <c r="G1898">
        <f ca="1">_xlfn.NORM.INV(RAND(),$M$7,$M$8)</f>
        <v>-1.2653865494156352E-2</v>
      </c>
    </row>
    <row r="1899" spans="6:7" x14ac:dyDescent="0.25">
      <c r="F1899">
        <v>1896</v>
      </c>
      <c r="G1899">
        <f ca="1">_xlfn.NORM.INV(RAND(),$M$7,$M$8)</f>
        <v>4.6676150048210879E-3</v>
      </c>
    </row>
    <row r="1900" spans="6:7" x14ac:dyDescent="0.25">
      <c r="F1900">
        <v>1897</v>
      </c>
      <c r="G1900">
        <f ca="1">_xlfn.NORM.INV(RAND(),$M$7,$M$8)</f>
        <v>-4.216551212228397E-3</v>
      </c>
    </row>
    <row r="1901" spans="6:7" x14ac:dyDescent="0.25">
      <c r="F1901">
        <v>1898</v>
      </c>
      <c r="G1901">
        <f ca="1">_xlfn.NORM.INV(RAND(),$M$7,$M$8)</f>
        <v>3.1505903694730789E-2</v>
      </c>
    </row>
    <row r="1902" spans="6:7" x14ac:dyDescent="0.25">
      <c r="F1902">
        <v>1899</v>
      </c>
      <c r="G1902">
        <f ca="1">_xlfn.NORM.INV(RAND(),$M$7,$M$8)</f>
        <v>8.0288739170301677E-3</v>
      </c>
    </row>
    <row r="1903" spans="6:7" x14ac:dyDescent="0.25">
      <c r="F1903">
        <v>1900</v>
      </c>
      <c r="G1903">
        <f ca="1">_xlfn.NORM.INV(RAND(),$M$7,$M$8)</f>
        <v>2.7394241573780948E-3</v>
      </c>
    </row>
    <row r="1904" spans="6:7" x14ac:dyDescent="0.25">
      <c r="F1904">
        <v>1901</v>
      </c>
      <c r="G1904">
        <f ca="1">_xlfn.NORM.INV(RAND(),$M$7,$M$8)</f>
        <v>1.9065498337193523E-2</v>
      </c>
    </row>
    <row r="1905" spans="6:7" x14ac:dyDescent="0.25">
      <c r="F1905">
        <v>1902</v>
      </c>
      <c r="G1905">
        <f ca="1">_xlfn.NORM.INV(RAND(),$M$7,$M$8)</f>
        <v>7.6707068800194959E-3</v>
      </c>
    </row>
    <row r="1906" spans="6:7" x14ac:dyDescent="0.25">
      <c r="F1906">
        <v>1903</v>
      </c>
      <c r="G1906">
        <f ca="1">_xlfn.NORM.INV(RAND(),$M$7,$M$8)</f>
        <v>8.2946920479227346E-3</v>
      </c>
    </row>
    <row r="1907" spans="6:7" x14ac:dyDescent="0.25">
      <c r="F1907">
        <v>1904</v>
      </c>
      <c r="G1907">
        <f ca="1">_xlfn.NORM.INV(RAND(),$M$7,$M$8)</f>
        <v>5.3615084047098811E-3</v>
      </c>
    </row>
    <row r="1908" spans="6:7" x14ac:dyDescent="0.25">
      <c r="F1908">
        <v>1905</v>
      </c>
      <c r="G1908">
        <f ca="1">_xlfn.NORM.INV(RAND(),$M$7,$M$8)</f>
        <v>1.2253442625912971E-2</v>
      </c>
    </row>
    <row r="1909" spans="6:7" x14ac:dyDescent="0.25">
      <c r="F1909">
        <v>1906</v>
      </c>
      <c r="G1909">
        <f ca="1">_xlfn.NORM.INV(RAND(),$M$7,$M$8)</f>
        <v>-1.8815075810489752E-2</v>
      </c>
    </row>
    <row r="1910" spans="6:7" x14ac:dyDescent="0.25">
      <c r="F1910">
        <v>1907</v>
      </c>
      <c r="G1910">
        <f ca="1">_xlfn.NORM.INV(RAND(),$M$7,$M$8)</f>
        <v>1.1189749103539455E-2</v>
      </c>
    </row>
    <row r="1911" spans="6:7" x14ac:dyDescent="0.25">
      <c r="F1911">
        <v>1908</v>
      </c>
      <c r="G1911">
        <f ca="1">_xlfn.NORM.INV(RAND(),$M$7,$M$8)</f>
        <v>-2.3183534794559934E-2</v>
      </c>
    </row>
    <row r="1912" spans="6:7" x14ac:dyDescent="0.25">
      <c r="F1912">
        <v>1909</v>
      </c>
      <c r="G1912">
        <f ca="1">_xlfn.NORM.INV(RAND(),$M$7,$M$8)</f>
        <v>-4.1337959893191278E-2</v>
      </c>
    </row>
    <row r="1913" spans="6:7" x14ac:dyDescent="0.25">
      <c r="F1913">
        <v>1910</v>
      </c>
      <c r="G1913">
        <f ca="1">_xlfn.NORM.INV(RAND(),$M$7,$M$8)</f>
        <v>-5.742040087965054E-3</v>
      </c>
    </row>
    <row r="1914" spans="6:7" x14ac:dyDescent="0.25">
      <c r="F1914">
        <v>1911</v>
      </c>
      <c r="G1914">
        <f ca="1">_xlfn.NORM.INV(RAND(),$M$7,$M$8)</f>
        <v>-2.6782310607446576E-2</v>
      </c>
    </row>
    <row r="1915" spans="6:7" x14ac:dyDescent="0.25">
      <c r="F1915">
        <v>1912</v>
      </c>
      <c r="G1915">
        <f ca="1">_xlfn.NORM.INV(RAND(),$M$7,$M$8)</f>
        <v>-1.4710485557072526E-2</v>
      </c>
    </row>
    <row r="1916" spans="6:7" x14ac:dyDescent="0.25">
      <c r="F1916">
        <v>1913</v>
      </c>
      <c r="G1916">
        <f ca="1">_xlfn.NORM.INV(RAND(),$M$7,$M$8)</f>
        <v>-3.8874933070685576E-2</v>
      </c>
    </row>
    <row r="1917" spans="6:7" x14ac:dyDescent="0.25">
      <c r="F1917">
        <v>1914</v>
      </c>
      <c r="G1917">
        <f ca="1">_xlfn.NORM.INV(RAND(),$M$7,$M$8)</f>
        <v>-1.4194996895152835E-2</v>
      </c>
    </row>
    <row r="1918" spans="6:7" x14ac:dyDescent="0.25">
      <c r="F1918">
        <v>1915</v>
      </c>
      <c r="G1918">
        <f ca="1">_xlfn.NORM.INV(RAND(),$M$7,$M$8)</f>
        <v>2.4330917131131524E-3</v>
      </c>
    </row>
    <row r="1919" spans="6:7" x14ac:dyDescent="0.25">
      <c r="F1919">
        <v>1916</v>
      </c>
      <c r="G1919">
        <f ca="1">_xlfn.NORM.INV(RAND(),$M$7,$M$8)</f>
        <v>-8.6772944765701118E-3</v>
      </c>
    </row>
    <row r="1920" spans="6:7" x14ac:dyDescent="0.25">
      <c r="F1920">
        <v>1917</v>
      </c>
      <c r="G1920">
        <f ca="1">_xlfn.NORM.INV(RAND(),$M$7,$M$8)</f>
        <v>-1.492157584660897E-2</v>
      </c>
    </row>
    <row r="1921" spans="6:7" x14ac:dyDescent="0.25">
      <c r="F1921">
        <v>1918</v>
      </c>
      <c r="G1921">
        <f ca="1">_xlfn.NORM.INV(RAND(),$M$7,$M$8)</f>
        <v>2.2596387895604714E-2</v>
      </c>
    </row>
    <row r="1922" spans="6:7" x14ac:dyDescent="0.25">
      <c r="F1922">
        <v>1919</v>
      </c>
      <c r="G1922">
        <f ca="1">_xlfn.NORM.INV(RAND(),$M$7,$M$8)</f>
        <v>9.1838624166221995E-4</v>
      </c>
    </row>
    <row r="1923" spans="6:7" x14ac:dyDescent="0.25">
      <c r="F1923">
        <v>1920</v>
      </c>
      <c r="G1923">
        <f ca="1">_xlfn.NORM.INV(RAND(),$M$7,$M$8)</f>
        <v>9.5013014192602708E-3</v>
      </c>
    </row>
    <row r="1924" spans="6:7" x14ac:dyDescent="0.25">
      <c r="F1924">
        <v>1921</v>
      </c>
      <c r="G1924">
        <f ca="1">_xlfn.NORM.INV(RAND(),$M$7,$M$8)</f>
        <v>-1.1492137138590847E-2</v>
      </c>
    </row>
    <row r="1925" spans="6:7" x14ac:dyDescent="0.25">
      <c r="F1925">
        <v>1922</v>
      </c>
      <c r="G1925">
        <f ca="1">_xlfn.NORM.INV(RAND(),$M$7,$M$8)</f>
        <v>-1.9349969104057126E-2</v>
      </c>
    </row>
    <row r="1926" spans="6:7" x14ac:dyDescent="0.25">
      <c r="F1926">
        <v>1923</v>
      </c>
      <c r="G1926">
        <f ca="1">_xlfn.NORM.INV(RAND(),$M$7,$M$8)</f>
        <v>-1.0248685856534476E-2</v>
      </c>
    </row>
    <row r="1927" spans="6:7" x14ac:dyDescent="0.25">
      <c r="F1927">
        <v>1924</v>
      </c>
      <c r="G1927">
        <f ca="1">_xlfn.NORM.INV(RAND(),$M$7,$M$8)</f>
        <v>-2.7741098717723858E-2</v>
      </c>
    </row>
    <row r="1928" spans="6:7" x14ac:dyDescent="0.25">
      <c r="F1928">
        <v>1925</v>
      </c>
      <c r="G1928">
        <f ca="1">_xlfn.NORM.INV(RAND(),$M$7,$M$8)</f>
        <v>-2.1011184170447568E-2</v>
      </c>
    </row>
    <row r="1929" spans="6:7" x14ac:dyDescent="0.25">
      <c r="F1929">
        <v>1926</v>
      </c>
      <c r="G1929">
        <f ca="1">_xlfn.NORM.INV(RAND(),$M$7,$M$8)</f>
        <v>1.0895583815894382E-4</v>
      </c>
    </row>
    <row r="1930" spans="6:7" x14ac:dyDescent="0.25">
      <c r="F1930">
        <v>1927</v>
      </c>
      <c r="G1930">
        <f ca="1">_xlfn.NORM.INV(RAND(),$M$7,$M$8)</f>
        <v>-3.2772930498870174E-3</v>
      </c>
    </row>
    <row r="1931" spans="6:7" x14ac:dyDescent="0.25">
      <c r="F1931">
        <v>1928</v>
      </c>
      <c r="G1931">
        <f ca="1">_xlfn.NORM.INV(RAND(),$M$7,$M$8)</f>
        <v>-3.7425064195951117E-2</v>
      </c>
    </row>
    <row r="1932" spans="6:7" x14ac:dyDescent="0.25">
      <c r="F1932">
        <v>1929</v>
      </c>
      <c r="G1932">
        <f ca="1">_xlfn.NORM.INV(RAND(),$M$7,$M$8)</f>
        <v>-2.2068539821725151E-2</v>
      </c>
    </row>
    <row r="1933" spans="6:7" x14ac:dyDescent="0.25">
      <c r="F1933">
        <v>1930</v>
      </c>
      <c r="G1933">
        <f ca="1">_xlfn.NORM.INV(RAND(),$M$7,$M$8)</f>
        <v>-3.144892566011219E-2</v>
      </c>
    </row>
    <row r="1934" spans="6:7" x14ac:dyDescent="0.25">
      <c r="F1934">
        <v>1931</v>
      </c>
      <c r="G1934">
        <f ca="1">_xlfn.NORM.INV(RAND(),$M$7,$M$8)</f>
        <v>-5.274532351419791E-3</v>
      </c>
    </row>
    <row r="1935" spans="6:7" x14ac:dyDescent="0.25">
      <c r="F1935">
        <v>1932</v>
      </c>
      <c r="G1935">
        <f ca="1">_xlfn.NORM.INV(RAND(),$M$7,$M$8)</f>
        <v>6.9060116056897955E-4</v>
      </c>
    </row>
    <row r="1936" spans="6:7" x14ac:dyDescent="0.25">
      <c r="F1936">
        <v>1933</v>
      </c>
      <c r="G1936">
        <f ca="1">_xlfn.NORM.INV(RAND(),$M$7,$M$8)</f>
        <v>-2.2761096395478641E-2</v>
      </c>
    </row>
    <row r="1937" spans="6:7" x14ac:dyDescent="0.25">
      <c r="F1937">
        <v>1934</v>
      </c>
      <c r="G1937">
        <f ca="1">_xlfn.NORM.INV(RAND(),$M$7,$M$8)</f>
        <v>4.3192080637366792E-2</v>
      </c>
    </row>
    <row r="1938" spans="6:7" x14ac:dyDescent="0.25">
      <c r="F1938">
        <v>1935</v>
      </c>
      <c r="G1938">
        <f ca="1">_xlfn.NORM.INV(RAND(),$M$7,$M$8)</f>
        <v>-2.1239359362533624E-2</v>
      </c>
    </row>
    <row r="1939" spans="6:7" x14ac:dyDescent="0.25">
      <c r="F1939">
        <v>1936</v>
      </c>
      <c r="G1939">
        <f ca="1">_xlfn.NORM.INV(RAND(),$M$7,$M$8)</f>
        <v>3.0534437505321602E-2</v>
      </c>
    </row>
    <row r="1940" spans="6:7" x14ac:dyDescent="0.25">
      <c r="F1940">
        <v>1937</v>
      </c>
      <c r="G1940">
        <f ca="1">_xlfn.NORM.INV(RAND(),$M$7,$M$8)</f>
        <v>-3.2657275668233565E-2</v>
      </c>
    </row>
    <row r="1941" spans="6:7" x14ac:dyDescent="0.25">
      <c r="F1941">
        <v>1938</v>
      </c>
      <c r="G1941">
        <f ca="1">_xlfn.NORM.INV(RAND(),$M$7,$M$8)</f>
        <v>-6.2343703311608487E-4</v>
      </c>
    </row>
    <row r="1942" spans="6:7" x14ac:dyDescent="0.25">
      <c r="F1942">
        <v>1939</v>
      </c>
      <c r="G1942">
        <f ca="1">_xlfn.NORM.INV(RAND(),$M$7,$M$8)</f>
        <v>2.8856053905049445E-2</v>
      </c>
    </row>
    <row r="1943" spans="6:7" x14ac:dyDescent="0.25">
      <c r="F1943">
        <v>1940</v>
      </c>
      <c r="G1943">
        <f ca="1">_xlfn.NORM.INV(RAND(),$M$7,$M$8)</f>
        <v>-8.8462320384577724E-4</v>
      </c>
    </row>
    <row r="1944" spans="6:7" x14ac:dyDescent="0.25">
      <c r="F1944">
        <v>1941</v>
      </c>
      <c r="G1944">
        <f ca="1">_xlfn.NORM.INV(RAND(),$M$7,$M$8)</f>
        <v>-1.9271964306075914E-2</v>
      </c>
    </row>
    <row r="1945" spans="6:7" x14ac:dyDescent="0.25">
      <c r="F1945">
        <v>1942</v>
      </c>
      <c r="G1945">
        <f ca="1">_xlfn.NORM.INV(RAND(),$M$7,$M$8)</f>
        <v>-1.6287559699362474E-2</v>
      </c>
    </row>
    <row r="1946" spans="6:7" x14ac:dyDescent="0.25">
      <c r="F1946">
        <v>1943</v>
      </c>
      <c r="G1946">
        <f ca="1">_xlfn.NORM.INV(RAND(),$M$7,$M$8)</f>
        <v>3.852866202429539E-2</v>
      </c>
    </row>
    <row r="1947" spans="6:7" x14ac:dyDescent="0.25">
      <c r="F1947">
        <v>1944</v>
      </c>
      <c r="G1947">
        <f ca="1">_xlfn.NORM.INV(RAND(),$M$7,$M$8)</f>
        <v>-3.5299073475542897E-2</v>
      </c>
    </row>
    <row r="1948" spans="6:7" x14ac:dyDescent="0.25">
      <c r="F1948">
        <v>1945</v>
      </c>
      <c r="G1948">
        <f ca="1">_xlfn.NORM.INV(RAND(),$M$7,$M$8)</f>
        <v>1.7041720513249755E-2</v>
      </c>
    </row>
    <row r="1949" spans="6:7" x14ac:dyDescent="0.25">
      <c r="F1949">
        <v>1946</v>
      </c>
      <c r="G1949">
        <f ca="1">_xlfn.NORM.INV(RAND(),$M$7,$M$8)</f>
        <v>-1.6620577917984058E-2</v>
      </c>
    </row>
    <row r="1950" spans="6:7" x14ac:dyDescent="0.25">
      <c r="F1950">
        <v>1947</v>
      </c>
      <c r="G1950">
        <f ca="1">_xlfn.NORM.INV(RAND(),$M$7,$M$8)</f>
        <v>8.0875248081547085E-3</v>
      </c>
    </row>
    <row r="1951" spans="6:7" x14ac:dyDescent="0.25">
      <c r="F1951">
        <v>1948</v>
      </c>
      <c r="G1951">
        <f ca="1">_xlfn.NORM.INV(RAND(),$M$7,$M$8)</f>
        <v>6.355707970262256E-2</v>
      </c>
    </row>
    <row r="1952" spans="6:7" x14ac:dyDescent="0.25">
      <c r="F1952">
        <v>1949</v>
      </c>
      <c r="G1952">
        <f ca="1">_xlfn.NORM.INV(RAND(),$M$7,$M$8)</f>
        <v>-1.0195486765928373E-2</v>
      </c>
    </row>
    <row r="1953" spans="6:7" x14ac:dyDescent="0.25">
      <c r="F1953">
        <v>1950</v>
      </c>
      <c r="G1953">
        <f ca="1">_xlfn.NORM.INV(RAND(),$M$7,$M$8)</f>
        <v>-4.5612718176524361E-2</v>
      </c>
    </row>
    <row r="1954" spans="6:7" x14ac:dyDescent="0.25">
      <c r="F1954">
        <v>1951</v>
      </c>
      <c r="G1954">
        <f ca="1">_xlfn.NORM.INV(RAND(),$M$7,$M$8)</f>
        <v>-1.8259103236972194E-2</v>
      </c>
    </row>
    <row r="1955" spans="6:7" x14ac:dyDescent="0.25">
      <c r="F1955">
        <v>1952</v>
      </c>
      <c r="G1955">
        <f ca="1">_xlfn.NORM.INV(RAND(),$M$7,$M$8)</f>
        <v>1.2883359538338843E-2</v>
      </c>
    </row>
    <row r="1956" spans="6:7" x14ac:dyDescent="0.25">
      <c r="F1956">
        <v>1953</v>
      </c>
      <c r="G1956">
        <f ca="1">_xlfn.NORM.INV(RAND(),$M$7,$M$8)</f>
        <v>-8.9852133087994475E-4</v>
      </c>
    </row>
    <row r="1957" spans="6:7" x14ac:dyDescent="0.25">
      <c r="F1957">
        <v>1954</v>
      </c>
      <c r="G1957">
        <f ca="1">_xlfn.NORM.INV(RAND(),$M$7,$M$8)</f>
        <v>-3.8712393218112632E-3</v>
      </c>
    </row>
    <row r="1958" spans="6:7" x14ac:dyDescent="0.25">
      <c r="F1958">
        <v>1955</v>
      </c>
      <c r="G1958">
        <f ca="1">_xlfn.NORM.INV(RAND(),$M$7,$M$8)</f>
        <v>2.1218104830938445E-3</v>
      </c>
    </row>
    <row r="1959" spans="6:7" x14ac:dyDescent="0.25">
      <c r="F1959">
        <v>1956</v>
      </c>
      <c r="G1959">
        <f ca="1">_xlfn.NORM.INV(RAND(),$M$7,$M$8)</f>
        <v>2.9938068434261472E-2</v>
      </c>
    </row>
    <row r="1960" spans="6:7" x14ac:dyDescent="0.25">
      <c r="F1960">
        <v>1957</v>
      </c>
      <c r="G1960">
        <f ca="1">_xlfn.NORM.INV(RAND(),$M$7,$M$8)</f>
        <v>4.4197060927477824E-3</v>
      </c>
    </row>
    <row r="1961" spans="6:7" x14ac:dyDescent="0.25">
      <c r="F1961">
        <v>1958</v>
      </c>
      <c r="G1961">
        <f ca="1">_xlfn.NORM.INV(RAND(),$M$7,$M$8)</f>
        <v>1.9674671678101108E-2</v>
      </c>
    </row>
    <row r="1962" spans="6:7" x14ac:dyDescent="0.25">
      <c r="F1962">
        <v>1959</v>
      </c>
      <c r="G1962">
        <f ca="1">_xlfn.NORM.INV(RAND(),$M$7,$M$8)</f>
        <v>-8.6972399444835355E-3</v>
      </c>
    </row>
    <row r="1963" spans="6:7" x14ac:dyDescent="0.25">
      <c r="F1963">
        <v>1960</v>
      </c>
      <c r="G1963">
        <f ca="1">_xlfn.NORM.INV(RAND(),$M$7,$M$8)</f>
        <v>2.5592323699748818E-2</v>
      </c>
    </row>
    <row r="1964" spans="6:7" x14ac:dyDescent="0.25">
      <c r="F1964">
        <v>1961</v>
      </c>
      <c r="G1964">
        <f ca="1">_xlfn.NORM.INV(RAND(),$M$7,$M$8)</f>
        <v>-2.8845031515589278E-3</v>
      </c>
    </row>
    <row r="1965" spans="6:7" x14ac:dyDescent="0.25">
      <c r="F1965">
        <v>1962</v>
      </c>
      <c r="G1965">
        <f ca="1">_xlfn.NORM.INV(RAND(),$M$7,$M$8)</f>
        <v>1.8693766666406995E-4</v>
      </c>
    </row>
    <row r="1966" spans="6:7" x14ac:dyDescent="0.25">
      <c r="F1966">
        <v>1963</v>
      </c>
      <c r="G1966">
        <f ca="1">_xlfn.NORM.INV(RAND(),$M$7,$M$8)</f>
        <v>-1.0851848136414861E-2</v>
      </c>
    </row>
    <row r="1967" spans="6:7" x14ac:dyDescent="0.25">
      <c r="F1967">
        <v>1964</v>
      </c>
      <c r="G1967">
        <f ca="1">_xlfn.NORM.INV(RAND(),$M$7,$M$8)</f>
        <v>-3.0748089704358463E-2</v>
      </c>
    </row>
    <row r="1968" spans="6:7" x14ac:dyDescent="0.25">
      <c r="F1968">
        <v>1965</v>
      </c>
      <c r="G1968">
        <f ca="1">_xlfn.NORM.INV(RAND(),$M$7,$M$8)</f>
        <v>5.9895204412810706E-3</v>
      </c>
    </row>
    <row r="1969" spans="6:7" x14ac:dyDescent="0.25">
      <c r="F1969">
        <v>1966</v>
      </c>
      <c r="G1969">
        <f ca="1">_xlfn.NORM.INV(RAND(),$M$7,$M$8)</f>
        <v>-3.4243900063644993E-2</v>
      </c>
    </row>
    <row r="1970" spans="6:7" x14ac:dyDescent="0.25">
      <c r="F1970">
        <v>1967</v>
      </c>
      <c r="G1970">
        <f ca="1">_xlfn.NORM.INV(RAND(),$M$7,$M$8)</f>
        <v>4.9486658358936716E-3</v>
      </c>
    </row>
    <row r="1971" spans="6:7" x14ac:dyDescent="0.25">
      <c r="F1971">
        <v>1968</v>
      </c>
      <c r="G1971">
        <f ca="1">_xlfn.NORM.INV(RAND(),$M$7,$M$8)</f>
        <v>2.8388912397445787E-2</v>
      </c>
    </row>
    <row r="1972" spans="6:7" x14ac:dyDescent="0.25">
      <c r="F1972">
        <v>1969</v>
      </c>
      <c r="G1972">
        <f ca="1">_xlfn.NORM.INV(RAND(),$M$7,$M$8)</f>
        <v>-5.039893033198491E-3</v>
      </c>
    </row>
    <row r="1973" spans="6:7" x14ac:dyDescent="0.25">
      <c r="F1973">
        <v>1970</v>
      </c>
      <c r="G1973">
        <f ca="1">_xlfn.NORM.INV(RAND(),$M$7,$M$8)</f>
        <v>-8.646971703945858E-4</v>
      </c>
    </row>
    <row r="1974" spans="6:7" x14ac:dyDescent="0.25">
      <c r="F1974">
        <v>1971</v>
      </c>
      <c r="G1974">
        <f ca="1">_xlfn.NORM.INV(RAND(),$M$7,$M$8)</f>
        <v>1.9604379927164045E-2</v>
      </c>
    </row>
    <row r="1975" spans="6:7" x14ac:dyDescent="0.25">
      <c r="F1975">
        <v>1972</v>
      </c>
      <c r="G1975">
        <f ca="1">_xlfn.NORM.INV(RAND(),$M$7,$M$8)</f>
        <v>3.1857637292819423E-2</v>
      </c>
    </row>
    <row r="1976" spans="6:7" x14ac:dyDescent="0.25">
      <c r="F1976">
        <v>1973</v>
      </c>
      <c r="G1976">
        <f ca="1">_xlfn.NORM.INV(RAND(),$M$7,$M$8)</f>
        <v>3.3429944062634675E-3</v>
      </c>
    </row>
    <row r="1977" spans="6:7" x14ac:dyDescent="0.25">
      <c r="F1977">
        <v>1974</v>
      </c>
      <c r="G1977">
        <f ca="1">_xlfn.NORM.INV(RAND(),$M$7,$M$8)</f>
        <v>-3.8260628710544173E-3</v>
      </c>
    </row>
    <row r="1978" spans="6:7" x14ac:dyDescent="0.25">
      <c r="F1978">
        <v>1975</v>
      </c>
      <c r="G1978">
        <f ca="1">_xlfn.NORM.INV(RAND(),$M$7,$M$8)</f>
        <v>3.1801727426288957E-2</v>
      </c>
    </row>
    <row r="1979" spans="6:7" x14ac:dyDescent="0.25">
      <c r="F1979">
        <v>1976</v>
      </c>
      <c r="G1979">
        <f ca="1">_xlfn.NORM.INV(RAND(),$M$7,$M$8)</f>
        <v>-1.3452104985197239E-2</v>
      </c>
    </row>
    <row r="1980" spans="6:7" x14ac:dyDescent="0.25">
      <c r="F1980">
        <v>1977</v>
      </c>
      <c r="G1980">
        <f ca="1">_xlfn.NORM.INV(RAND(),$M$7,$M$8)</f>
        <v>-6.9598963138271207E-3</v>
      </c>
    </row>
    <row r="1981" spans="6:7" x14ac:dyDescent="0.25">
      <c r="F1981">
        <v>1978</v>
      </c>
      <c r="G1981">
        <f ca="1">_xlfn.NORM.INV(RAND(),$M$7,$M$8)</f>
        <v>-2.7844637330619069E-2</v>
      </c>
    </row>
    <row r="1982" spans="6:7" x14ac:dyDescent="0.25">
      <c r="F1982">
        <v>1979</v>
      </c>
      <c r="G1982">
        <f ca="1">_xlfn.NORM.INV(RAND(),$M$7,$M$8)</f>
        <v>-2.9082507574161736E-2</v>
      </c>
    </row>
    <row r="1983" spans="6:7" x14ac:dyDescent="0.25">
      <c r="F1983">
        <v>1980</v>
      </c>
      <c r="G1983">
        <f ca="1">_xlfn.NORM.INV(RAND(),$M$7,$M$8)</f>
        <v>-3.2152995942687584E-2</v>
      </c>
    </row>
    <row r="1984" spans="6:7" x14ac:dyDescent="0.25">
      <c r="F1984">
        <v>1981</v>
      </c>
      <c r="G1984">
        <f ca="1">_xlfn.NORM.INV(RAND(),$M$7,$M$8)</f>
        <v>-3.1703776552334265E-2</v>
      </c>
    </row>
    <row r="1985" spans="6:7" x14ac:dyDescent="0.25">
      <c r="F1985">
        <v>1982</v>
      </c>
      <c r="G1985">
        <f ca="1">_xlfn.NORM.INV(RAND(),$M$7,$M$8)</f>
        <v>7.5380399606532564E-3</v>
      </c>
    </row>
    <row r="1986" spans="6:7" x14ac:dyDescent="0.25">
      <c r="F1986">
        <v>1983</v>
      </c>
      <c r="G1986">
        <f ca="1">_xlfn.NORM.INV(RAND(),$M$7,$M$8)</f>
        <v>9.6459656484782479E-3</v>
      </c>
    </row>
    <row r="1987" spans="6:7" x14ac:dyDescent="0.25">
      <c r="F1987">
        <v>1984</v>
      </c>
      <c r="G1987">
        <f ca="1">_xlfn.NORM.INV(RAND(),$M$7,$M$8)</f>
        <v>-1.3784459872920833E-2</v>
      </c>
    </row>
    <row r="1988" spans="6:7" x14ac:dyDescent="0.25">
      <c r="F1988">
        <v>1985</v>
      </c>
      <c r="G1988">
        <f ca="1">_xlfn.NORM.INV(RAND(),$M$7,$M$8)</f>
        <v>-3.2668025791826025E-2</v>
      </c>
    </row>
    <row r="1989" spans="6:7" x14ac:dyDescent="0.25">
      <c r="F1989">
        <v>1986</v>
      </c>
      <c r="G1989">
        <f ca="1">_xlfn.NORM.INV(RAND(),$M$7,$M$8)</f>
        <v>-5.6218163405471217E-3</v>
      </c>
    </row>
    <row r="1990" spans="6:7" x14ac:dyDescent="0.25">
      <c r="F1990">
        <v>1987</v>
      </c>
      <c r="G1990">
        <f ca="1">_xlfn.NORM.INV(RAND(),$M$7,$M$8)</f>
        <v>6.6715949889134107E-3</v>
      </c>
    </row>
    <row r="1991" spans="6:7" x14ac:dyDescent="0.25">
      <c r="F1991">
        <v>1988</v>
      </c>
      <c r="G1991">
        <f ca="1">_xlfn.NORM.INV(RAND(),$M$7,$M$8)</f>
        <v>1.2075035043557074E-2</v>
      </c>
    </row>
    <row r="1992" spans="6:7" x14ac:dyDescent="0.25">
      <c r="F1992">
        <v>1989</v>
      </c>
      <c r="G1992">
        <f ca="1">_xlfn.NORM.INV(RAND(),$M$7,$M$8)</f>
        <v>4.386304035672859E-2</v>
      </c>
    </row>
    <row r="1993" spans="6:7" x14ac:dyDescent="0.25">
      <c r="F1993">
        <v>1990</v>
      </c>
      <c r="G1993">
        <f ca="1">_xlfn.NORM.INV(RAND(),$M$7,$M$8)</f>
        <v>1.5129573805083086E-2</v>
      </c>
    </row>
    <row r="1994" spans="6:7" x14ac:dyDescent="0.25">
      <c r="F1994">
        <v>1991</v>
      </c>
      <c r="G1994">
        <f ca="1">_xlfn.NORM.INV(RAND(),$M$7,$M$8)</f>
        <v>5.6308679066496264E-3</v>
      </c>
    </row>
    <row r="1995" spans="6:7" x14ac:dyDescent="0.25">
      <c r="F1995">
        <v>1992</v>
      </c>
      <c r="G1995">
        <f ca="1">_xlfn.NORM.INV(RAND(),$M$7,$M$8)</f>
        <v>1.5285985968684525E-2</v>
      </c>
    </row>
    <row r="1996" spans="6:7" x14ac:dyDescent="0.25">
      <c r="F1996">
        <v>1993</v>
      </c>
      <c r="G1996">
        <f ca="1">_xlfn.NORM.INV(RAND(),$M$7,$M$8)</f>
        <v>-5.9906688923539678E-3</v>
      </c>
    </row>
    <row r="1997" spans="6:7" x14ac:dyDescent="0.25">
      <c r="F1997">
        <v>1994</v>
      </c>
      <c r="G1997">
        <f ca="1">_xlfn.NORM.INV(RAND(),$M$7,$M$8)</f>
        <v>1.0631364474523425E-2</v>
      </c>
    </row>
    <row r="1998" spans="6:7" x14ac:dyDescent="0.25">
      <c r="F1998">
        <v>1995</v>
      </c>
      <c r="G1998">
        <f ca="1">_xlfn.NORM.INV(RAND(),$M$7,$M$8)</f>
        <v>4.3816557403836214E-2</v>
      </c>
    </row>
    <row r="1999" spans="6:7" x14ac:dyDescent="0.25">
      <c r="F1999">
        <v>1996</v>
      </c>
      <c r="G1999">
        <f ca="1">_xlfn.NORM.INV(RAND(),$M$7,$M$8)</f>
        <v>-4.068561557307894E-2</v>
      </c>
    </row>
    <row r="2000" spans="6:7" x14ac:dyDescent="0.25">
      <c r="F2000">
        <v>1997</v>
      </c>
      <c r="G2000">
        <f ca="1">_xlfn.NORM.INV(RAND(),$M$7,$M$8)</f>
        <v>1.4573100251488915E-2</v>
      </c>
    </row>
    <row r="2001" spans="6:7" x14ac:dyDescent="0.25">
      <c r="F2001">
        <v>1998</v>
      </c>
      <c r="G2001">
        <f ca="1">_xlfn.NORM.INV(RAND(),$M$7,$M$8)</f>
        <v>1.9410854009280227E-3</v>
      </c>
    </row>
    <row r="2002" spans="6:7" x14ac:dyDescent="0.25">
      <c r="F2002">
        <v>1999</v>
      </c>
      <c r="G2002">
        <f ca="1">_xlfn.NORM.INV(RAND(),$M$7,$M$8)</f>
        <v>8.4651188321673686E-3</v>
      </c>
    </row>
    <row r="2003" spans="6:7" x14ac:dyDescent="0.25">
      <c r="F2003">
        <v>2000</v>
      </c>
      <c r="G2003">
        <f ca="1">_xlfn.NORM.INV(RAND(),$M$7,$M$8)</f>
        <v>2.6493744877484973E-2</v>
      </c>
    </row>
    <row r="2004" spans="6:7" x14ac:dyDescent="0.25">
      <c r="F2004">
        <v>2001</v>
      </c>
      <c r="G2004">
        <f ca="1">_xlfn.NORM.INV(RAND(),$M$7,$M$8)</f>
        <v>-2.9274578714140919E-2</v>
      </c>
    </row>
    <row r="2005" spans="6:7" x14ac:dyDescent="0.25">
      <c r="F2005">
        <v>2002</v>
      </c>
      <c r="G2005">
        <f ca="1">_xlfn.NORM.INV(RAND(),$M$7,$M$8)</f>
        <v>-4.432171197374675E-2</v>
      </c>
    </row>
    <row r="2006" spans="6:7" x14ac:dyDescent="0.25">
      <c r="F2006">
        <v>2003</v>
      </c>
      <c r="G2006">
        <f ca="1">_xlfn.NORM.INV(RAND(),$M$7,$M$8)</f>
        <v>-1.8788187591263605E-2</v>
      </c>
    </row>
    <row r="2007" spans="6:7" x14ac:dyDescent="0.25">
      <c r="F2007">
        <v>2004</v>
      </c>
      <c r="G2007">
        <f ca="1">_xlfn.NORM.INV(RAND(),$M$7,$M$8)</f>
        <v>-7.0757712111193301E-3</v>
      </c>
    </row>
    <row r="2008" spans="6:7" x14ac:dyDescent="0.25">
      <c r="F2008">
        <v>2005</v>
      </c>
      <c r="G2008">
        <f ca="1">_xlfn.NORM.INV(RAND(),$M$7,$M$8)</f>
        <v>-4.9315525639516487E-2</v>
      </c>
    </row>
    <row r="2009" spans="6:7" x14ac:dyDescent="0.25">
      <c r="F2009">
        <v>2006</v>
      </c>
      <c r="G2009">
        <f ca="1">_xlfn.NORM.INV(RAND(),$M$7,$M$8)</f>
        <v>-6.4835056162823677E-3</v>
      </c>
    </row>
    <row r="2010" spans="6:7" x14ac:dyDescent="0.25">
      <c r="F2010">
        <v>2007</v>
      </c>
      <c r="G2010">
        <f ca="1">_xlfn.NORM.INV(RAND(),$M$7,$M$8)</f>
        <v>-9.3362035065167118E-3</v>
      </c>
    </row>
    <row r="2011" spans="6:7" x14ac:dyDescent="0.25">
      <c r="F2011">
        <v>2008</v>
      </c>
      <c r="G2011">
        <f ca="1">_xlfn.NORM.INV(RAND(),$M$7,$M$8)</f>
        <v>1.4623312798219596E-2</v>
      </c>
    </row>
    <row r="2012" spans="6:7" x14ac:dyDescent="0.25">
      <c r="F2012">
        <v>2009</v>
      </c>
      <c r="G2012">
        <f ca="1">_xlfn.NORM.INV(RAND(),$M$7,$M$8)</f>
        <v>2.8564038766764353E-2</v>
      </c>
    </row>
    <row r="2013" spans="6:7" x14ac:dyDescent="0.25">
      <c r="F2013">
        <v>2010</v>
      </c>
      <c r="G2013">
        <f ca="1">_xlfn.NORM.INV(RAND(),$M$7,$M$8)</f>
        <v>4.6263356076655972E-3</v>
      </c>
    </row>
    <row r="2014" spans="6:7" x14ac:dyDescent="0.25">
      <c r="F2014">
        <v>2011</v>
      </c>
      <c r="G2014">
        <f ca="1">_xlfn.NORM.INV(RAND(),$M$7,$M$8)</f>
        <v>-1.150419430798532E-2</v>
      </c>
    </row>
    <row r="2015" spans="6:7" x14ac:dyDescent="0.25">
      <c r="F2015">
        <v>2012</v>
      </c>
      <c r="G2015">
        <f ca="1">_xlfn.NORM.INV(RAND(),$M$7,$M$8)</f>
        <v>5.4316064159264467E-2</v>
      </c>
    </row>
    <row r="2016" spans="6:7" x14ac:dyDescent="0.25">
      <c r="F2016">
        <v>2013</v>
      </c>
      <c r="G2016">
        <f ca="1">_xlfn.NORM.INV(RAND(),$M$7,$M$8)</f>
        <v>-7.9248013105507747E-3</v>
      </c>
    </row>
    <row r="2017" spans="6:7" x14ac:dyDescent="0.25">
      <c r="F2017">
        <v>2014</v>
      </c>
      <c r="G2017">
        <f ca="1">_xlfn.NORM.INV(RAND(),$M$7,$M$8)</f>
        <v>1.8383383367056551E-2</v>
      </c>
    </row>
    <row r="2018" spans="6:7" x14ac:dyDescent="0.25">
      <c r="F2018">
        <v>2015</v>
      </c>
      <c r="G2018">
        <f ca="1">_xlfn.NORM.INV(RAND(),$M$7,$M$8)</f>
        <v>3.6094216072852854E-2</v>
      </c>
    </row>
    <row r="2019" spans="6:7" x14ac:dyDescent="0.25">
      <c r="F2019">
        <v>2016</v>
      </c>
      <c r="G2019">
        <f ca="1">_xlfn.NORM.INV(RAND(),$M$7,$M$8)</f>
        <v>3.0699681045743077E-3</v>
      </c>
    </row>
    <row r="2020" spans="6:7" x14ac:dyDescent="0.25">
      <c r="F2020">
        <v>2017</v>
      </c>
      <c r="G2020">
        <f ca="1">_xlfn.NORM.INV(RAND(),$M$7,$M$8)</f>
        <v>1.9736743833813877E-2</v>
      </c>
    </row>
    <row r="2021" spans="6:7" x14ac:dyDescent="0.25">
      <c r="F2021">
        <v>2018</v>
      </c>
      <c r="G2021">
        <f ca="1">_xlfn.NORM.INV(RAND(),$M$7,$M$8)</f>
        <v>-9.6149767575413256E-3</v>
      </c>
    </row>
    <row r="2022" spans="6:7" x14ac:dyDescent="0.25">
      <c r="F2022">
        <v>2019</v>
      </c>
      <c r="G2022">
        <f ca="1">_xlfn.NORM.INV(RAND(),$M$7,$M$8)</f>
        <v>2.7768345168863288E-2</v>
      </c>
    </row>
    <row r="2023" spans="6:7" x14ac:dyDescent="0.25">
      <c r="F2023">
        <v>2020</v>
      </c>
      <c r="G2023">
        <f ca="1">_xlfn.NORM.INV(RAND(),$M$7,$M$8)</f>
        <v>-2.8353417482363641E-2</v>
      </c>
    </row>
    <row r="2024" spans="6:7" x14ac:dyDescent="0.25">
      <c r="F2024">
        <v>2021</v>
      </c>
      <c r="G2024">
        <f ca="1">_xlfn.NORM.INV(RAND(),$M$7,$M$8)</f>
        <v>-5.3945010419758129E-3</v>
      </c>
    </row>
    <row r="2025" spans="6:7" x14ac:dyDescent="0.25">
      <c r="F2025">
        <v>2022</v>
      </c>
      <c r="G2025">
        <f ca="1">_xlfn.NORM.INV(RAND(),$M$7,$M$8)</f>
        <v>-2.1049938224951041E-2</v>
      </c>
    </row>
    <row r="2026" spans="6:7" x14ac:dyDescent="0.25">
      <c r="F2026">
        <v>2023</v>
      </c>
      <c r="G2026">
        <f ca="1">_xlfn.NORM.INV(RAND(),$M$7,$M$8)</f>
        <v>-2.1149547930006461E-3</v>
      </c>
    </row>
    <row r="2027" spans="6:7" x14ac:dyDescent="0.25">
      <c r="F2027">
        <v>2024</v>
      </c>
      <c r="G2027">
        <f ca="1">_xlfn.NORM.INV(RAND(),$M$7,$M$8)</f>
        <v>3.4751624376801685E-3</v>
      </c>
    </row>
    <row r="2028" spans="6:7" x14ac:dyDescent="0.25">
      <c r="F2028">
        <v>2025</v>
      </c>
      <c r="G2028">
        <f ca="1">_xlfn.NORM.INV(RAND(),$M$7,$M$8)</f>
        <v>-1.3281367811777928E-2</v>
      </c>
    </row>
    <row r="2029" spans="6:7" x14ac:dyDescent="0.25">
      <c r="F2029">
        <v>2026</v>
      </c>
      <c r="G2029">
        <f ca="1">_xlfn.NORM.INV(RAND(),$M$7,$M$8)</f>
        <v>-3.0158601023574941E-2</v>
      </c>
    </row>
    <row r="2030" spans="6:7" x14ac:dyDescent="0.25">
      <c r="F2030">
        <v>2027</v>
      </c>
      <c r="G2030">
        <f ca="1">_xlfn.NORM.INV(RAND(),$M$7,$M$8)</f>
        <v>-2.0703297056028601E-2</v>
      </c>
    </row>
    <row r="2031" spans="6:7" x14ac:dyDescent="0.25">
      <c r="F2031">
        <v>2028</v>
      </c>
      <c r="G2031">
        <f ca="1">_xlfn.NORM.INV(RAND(),$M$7,$M$8)</f>
        <v>-1.0871707823588235E-2</v>
      </c>
    </row>
    <row r="2032" spans="6:7" x14ac:dyDescent="0.25">
      <c r="F2032">
        <v>2029</v>
      </c>
      <c r="G2032">
        <f ca="1">_xlfn.NORM.INV(RAND(),$M$7,$M$8)</f>
        <v>-4.0624424522053497E-2</v>
      </c>
    </row>
    <row r="2033" spans="6:7" x14ac:dyDescent="0.25">
      <c r="F2033">
        <v>2030</v>
      </c>
      <c r="G2033">
        <f ca="1">_xlfn.NORM.INV(RAND(),$M$7,$M$8)</f>
        <v>1.3720606050325735E-2</v>
      </c>
    </row>
    <row r="2034" spans="6:7" x14ac:dyDescent="0.25">
      <c r="F2034">
        <v>2031</v>
      </c>
      <c r="G2034">
        <f ca="1">_xlfn.NORM.INV(RAND(),$M$7,$M$8)</f>
        <v>1.3578187287171929E-2</v>
      </c>
    </row>
    <row r="2035" spans="6:7" x14ac:dyDescent="0.25">
      <c r="F2035">
        <v>2032</v>
      </c>
      <c r="G2035">
        <f ca="1">_xlfn.NORM.INV(RAND(),$M$7,$M$8)</f>
        <v>-4.7153168730751385E-2</v>
      </c>
    </row>
    <row r="2036" spans="6:7" x14ac:dyDescent="0.25">
      <c r="F2036">
        <v>2033</v>
      </c>
      <c r="G2036">
        <f ca="1">_xlfn.NORM.INV(RAND(),$M$7,$M$8)</f>
        <v>2.5580938130675711E-2</v>
      </c>
    </row>
    <row r="2037" spans="6:7" x14ac:dyDescent="0.25">
      <c r="F2037">
        <v>2034</v>
      </c>
      <c r="G2037">
        <f ca="1">_xlfn.NORM.INV(RAND(),$M$7,$M$8)</f>
        <v>-1.7106591387396283E-2</v>
      </c>
    </row>
    <row r="2038" spans="6:7" x14ac:dyDescent="0.25">
      <c r="F2038">
        <v>2035</v>
      </c>
      <c r="G2038">
        <f ca="1">_xlfn.NORM.INV(RAND(),$M$7,$M$8)</f>
        <v>-3.5711090736214153E-2</v>
      </c>
    </row>
    <row r="2039" spans="6:7" x14ac:dyDescent="0.25">
      <c r="F2039">
        <v>2036</v>
      </c>
      <c r="G2039">
        <f ca="1">_xlfn.NORM.INV(RAND(),$M$7,$M$8)</f>
        <v>2.0203096129338034E-2</v>
      </c>
    </row>
    <row r="2040" spans="6:7" x14ac:dyDescent="0.25">
      <c r="F2040">
        <v>2037</v>
      </c>
      <c r="G2040">
        <f ca="1">_xlfn.NORM.INV(RAND(),$M$7,$M$8)</f>
        <v>2.4687936086033618E-2</v>
      </c>
    </row>
    <row r="2041" spans="6:7" x14ac:dyDescent="0.25">
      <c r="F2041">
        <v>2038</v>
      </c>
      <c r="G2041">
        <f ca="1">_xlfn.NORM.INV(RAND(),$M$7,$M$8)</f>
        <v>4.0051938076311314E-2</v>
      </c>
    </row>
    <row r="2042" spans="6:7" x14ac:dyDescent="0.25">
      <c r="F2042">
        <v>2039</v>
      </c>
      <c r="G2042">
        <f ca="1">_xlfn.NORM.INV(RAND(),$M$7,$M$8)</f>
        <v>1.0997136883251461E-2</v>
      </c>
    </row>
    <row r="2043" spans="6:7" x14ac:dyDescent="0.25">
      <c r="F2043">
        <v>2040</v>
      </c>
      <c r="G2043">
        <f ca="1">_xlfn.NORM.INV(RAND(),$M$7,$M$8)</f>
        <v>1.5063136436196528E-3</v>
      </c>
    </row>
    <row r="2044" spans="6:7" x14ac:dyDescent="0.25">
      <c r="F2044">
        <v>2041</v>
      </c>
      <c r="G2044">
        <f ca="1">_xlfn.NORM.INV(RAND(),$M$7,$M$8)</f>
        <v>-7.8718908191614898E-3</v>
      </c>
    </row>
    <row r="2045" spans="6:7" x14ac:dyDescent="0.25">
      <c r="F2045">
        <v>2042</v>
      </c>
      <c r="G2045">
        <f ca="1">_xlfn.NORM.INV(RAND(),$M$7,$M$8)</f>
        <v>4.479815622943762E-2</v>
      </c>
    </row>
    <row r="2046" spans="6:7" x14ac:dyDescent="0.25">
      <c r="F2046">
        <v>2043</v>
      </c>
      <c r="G2046">
        <f ca="1">_xlfn.NORM.INV(RAND(),$M$7,$M$8)</f>
        <v>1.8448309215222322E-2</v>
      </c>
    </row>
    <row r="2047" spans="6:7" x14ac:dyDescent="0.25">
      <c r="F2047">
        <v>2044</v>
      </c>
      <c r="G2047">
        <f ca="1">_xlfn.NORM.INV(RAND(),$M$7,$M$8)</f>
        <v>3.3201636904708502E-2</v>
      </c>
    </row>
    <row r="2048" spans="6:7" x14ac:dyDescent="0.25">
      <c r="F2048">
        <v>2045</v>
      </c>
      <c r="G2048">
        <f ca="1">_xlfn.NORM.INV(RAND(),$M$7,$M$8)</f>
        <v>-9.7472778062828221E-3</v>
      </c>
    </row>
    <row r="2049" spans="6:7" x14ac:dyDescent="0.25">
      <c r="F2049">
        <v>2046</v>
      </c>
      <c r="G2049">
        <f ca="1">_xlfn.NORM.INV(RAND(),$M$7,$M$8)</f>
        <v>5.2778939013018958E-2</v>
      </c>
    </row>
    <row r="2050" spans="6:7" x14ac:dyDescent="0.25">
      <c r="F2050">
        <v>2047</v>
      </c>
      <c r="G2050">
        <f ca="1">_xlfn.NORM.INV(RAND(),$M$7,$M$8)</f>
        <v>-9.5957702296470947E-3</v>
      </c>
    </row>
    <row r="2051" spans="6:7" x14ac:dyDescent="0.25">
      <c r="F2051">
        <v>2048</v>
      </c>
      <c r="G2051">
        <f ca="1">_xlfn.NORM.INV(RAND(),$M$7,$M$8)</f>
        <v>1.3830873844973205E-2</v>
      </c>
    </row>
    <row r="2052" spans="6:7" x14ac:dyDescent="0.25">
      <c r="F2052">
        <v>2049</v>
      </c>
      <c r="G2052">
        <f ca="1">_xlfn.NORM.INV(RAND(),$M$7,$M$8)</f>
        <v>-4.0269409282316905E-2</v>
      </c>
    </row>
    <row r="2053" spans="6:7" x14ac:dyDescent="0.25">
      <c r="F2053">
        <v>2050</v>
      </c>
      <c r="G2053">
        <f ca="1">_xlfn.NORM.INV(RAND(),$M$7,$M$8)</f>
        <v>-7.1281730549422294E-4</v>
      </c>
    </row>
    <row r="2054" spans="6:7" x14ac:dyDescent="0.25">
      <c r="F2054">
        <v>2051</v>
      </c>
      <c r="G2054">
        <f ca="1">_xlfn.NORM.INV(RAND(),$M$7,$M$8)</f>
        <v>-2.5684805196075433E-3</v>
      </c>
    </row>
    <row r="2055" spans="6:7" x14ac:dyDescent="0.25">
      <c r="F2055">
        <v>2052</v>
      </c>
      <c r="G2055">
        <f ca="1">_xlfn.NORM.INV(RAND(),$M$7,$M$8)</f>
        <v>-1.7625958198800775E-2</v>
      </c>
    </row>
    <row r="2056" spans="6:7" x14ac:dyDescent="0.25">
      <c r="F2056">
        <v>2053</v>
      </c>
      <c r="G2056">
        <f ca="1">_xlfn.NORM.INV(RAND(),$M$7,$M$8)</f>
        <v>-6.0490905436469747E-2</v>
      </c>
    </row>
    <row r="2057" spans="6:7" x14ac:dyDescent="0.25">
      <c r="F2057">
        <v>2054</v>
      </c>
      <c r="G2057">
        <f ca="1">_xlfn.NORM.INV(RAND(),$M$7,$M$8)</f>
        <v>4.0244289966877393E-3</v>
      </c>
    </row>
    <row r="2058" spans="6:7" x14ac:dyDescent="0.25">
      <c r="F2058">
        <v>2055</v>
      </c>
      <c r="G2058">
        <f ca="1">_xlfn.NORM.INV(RAND(),$M$7,$M$8)</f>
        <v>2.8707893505927505E-3</v>
      </c>
    </row>
    <row r="2059" spans="6:7" x14ac:dyDescent="0.25">
      <c r="F2059">
        <v>2056</v>
      </c>
      <c r="G2059">
        <f ca="1">_xlfn.NORM.INV(RAND(),$M$7,$M$8)</f>
        <v>-3.7865688868957757E-3</v>
      </c>
    </row>
    <row r="2060" spans="6:7" x14ac:dyDescent="0.25">
      <c r="F2060">
        <v>2057</v>
      </c>
      <c r="G2060">
        <f ca="1">_xlfn.NORM.INV(RAND(),$M$7,$M$8)</f>
        <v>3.817867384380131E-2</v>
      </c>
    </row>
    <row r="2061" spans="6:7" x14ac:dyDescent="0.25">
      <c r="F2061">
        <v>2058</v>
      </c>
      <c r="G2061">
        <f ca="1">_xlfn.NORM.INV(RAND(),$M$7,$M$8)</f>
        <v>-6.3503422206444299E-3</v>
      </c>
    </row>
    <row r="2062" spans="6:7" x14ac:dyDescent="0.25">
      <c r="F2062">
        <v>2059</v>
      </c>
      <c r="G2062">
        <f ca="1">_xlfn.NORM.INV(RAND(),$M$7,$M$8)</f>
        <v>-1.6971146143103199E-2</v>
      </c>
    </row>
    <row r="2063" spans="6:7" x14ac:dyDescent="0.25">
      <c r="F2063">
        <v>2060</v>
      </c>
      <c r="G2063">
        <f ca="1">_xlfn.NORM.INV(RAND(),$M$7,$M$8)</f>
        <v>3.3930237132247978E-2</v>
      </c>
    </row>
    <row r="2064" spans="6:7" x14ac:dyDescent="0.25">
      <c r="F2064">
        <v>2061</v>
      </c>
      <c r="G2064">
        <f ca="1">_xlfn.NORM.INV(RAND(),$M$7,$M$8)</f>
        <v>-4.817117413970036E-2</v>
      </c>
    </row>
    <row r="2065" spans="6:7" x14ac:dyDescent="0.25">
      <c r="F2065">
        <v>2062</v>
      </c>
      <c r="G2065">
        <f ca="1">_xlfn.NORM.INV(RAND(),$M$7,$M$8)</f>
        <v>1.6397759402396975E-2</v>
      </c>
    </row>
    <row r="2066" spans="6:7" x14ac:dyDescent="0.25">
      <c r="F2066">
        <v>2063</v>
      </c>
      <c r="G2066">
        <f ca="1">_xlfn.NORM.INV(RAND(),$M$7,$M$8)</f>
        <v>4.5184143666511065E-2</v>
      </c>
    </row>
    <row r="2067" spans="6:7" x14ac:dyDescent="0.25">
      <c r="F2067">
        <v>2064</v>
      </c>
      <c r="G2067">
        <f ca="1">_xlfn.NORM.INV(RAND(),$M$7,$M$8)</f>
        <v>-8.2424117090395873E-3</v>
      </c>
    </row>
    <row r="2068" spans="6:7" x14ac:dyDescent="0.25">
      <c r="F2068">
        <v>2065</v>
      </c>
      <c r="G2068">
        <f ca="1">_xlfn.NORM.INV(RAND(),$M$7,$M$8)</f>
        <v>3.4025366111869841E-2</v>
      </c>
    </row>
    <row r="2069" spans="6:7" x14ac:dyDescent="0.25">
      <c r="F2069">
        <v>2066</v>
      </c>
      <c r="G2069">
        <f ca="1">_xlfn.NORM.INV(RAND(),$M$7,$M$8)</f>
        <v>-1.9081259265297402E-2</v>
      </c>
    </row>
    <row r="2070" spans="6:7" x14ac:dyDescent="0.25">
      <c r="F2070">
        <v>2067</v>
      </c>
      <c r="G2070">
        <f ca="1">_xlfn.NORM.INV(RAND(),$M$7,$M$8)</f>
        <v>3.3566262466699179E-2</v>
      </c>
    </row>
    <row r="2071" spans="6:7" x14ac:dyDescent="0.25">
      <c r="F2071">
        <v>2068</v>
      </c>
      <c r="G2071">
        <f ca="1">_xlfn.NORM.INV(RAND(),$M$7,$M$8)</f>
        <v>1.251838420711595E-2</v>
      </c>
    </row>
    <row r="2072" spans="6:7" x14ac:dyDescent="0.25">
      <c r="F2072">
        <v>2069</v>
      </c>
      <c r="G2072">
        <f ca="1">_xlfn.NORM.INV(RAND(),$M$7,$M$8)</f>
        <v>-1.7629681645828787E-2</v>
      </c>
    </row>
    <row r="2073" spans="6:7" x14ac:dyDescent="0.25">
      <c r="F2073">
        <v>2070</v>
      </c>
      <c r="G2073">
        <f ca="1">_xlfn.NORM.INV(RAND(),$M$7,$M$8)</f>
        <v>8.0572837108915732E-3</v>
      </c>
    </row>
    <row r="2074" spans="6:7" x14ac:dyDescent="0.25">
      <c r="F2074">
        <v>2071</v>
      </c>
      <c r="G2074">
        <f ca="1">_xlfn.NORM.INV(RAND(),$M$7,$M$8)</f>
        <v>-2.7668552672918397E-2</v>
      </c>
    </row>
    <row r="2075" spans="6:7" x14ac:dyDescent="0.25">
      <c r="F2075">
        <v>2072</v>
      </c>
      <c r="G2075">
        <f ca="1">_xlfn.NORM.INV(RAND(),$M$7,$M$8)</f>
        <v>2.0880285513081142E-2</v>
      </c>
    </row>
    <row r="2076" spans="6:7" x14ac:dyDescent="0.25">
      <c r="F2076">
        <v>2073</v>
      </c>
      <c r="G2076">
        <f ca="1">_xlfn.NORM.INV(RAND(),$M$7,$M$8)</f>
        <v>7.4316116545316835E-3</v>
      </c>
    </row>
    <row r="2077" spans="6:7" x14ac:dyDescent="0.25">
      <c r="F2077">
        <v>2074</v>
      </c>
      <c r="G2077">
        <f ca="1">_xlfn.NORM.INV(RAND(),$M$7,$M$8)</f>
        <v>3.4383037488671555E-3</v>
      </c>
    </row>
    <row r="2078" spans="6:7" x14ac:dyDescent="0.25">
      <c r="F2078">
        <v>2075</v>
      </c>
      <c r="G2078">
        <f ca="1">_xlfn.NORM.INV(RAND(),$M$7,$M$8)</f>
        <v>-5.0376673875675935E-3</v>
      </c>
    </row>
    <row r="2079" spans="6:7" x14ac:dyDescent="0.25">
      <c r="F2079">
        <v>2076</v>
      </c>
      <c r="G2079">
        <f ca="1">_xlfn.NORM.INV(RAND(),$M$7,$M$8)</f>
        <v>-5.01927514871848E-2</v>
      </c>
    </row>
    <row r="2080" spans="6:7" x14ac:dyDescent="0.25">
      <c r="F2080">
        <v>2077</v>
      </c>
      <c r="G2080">
        <f ca="1">_xlfn.NORM.INV(RAND(),$M$7,$M$8)</f>
        <v>9.0354600014327328E-3</v>
      </c>
    </row>
    <row r="2081" spans="6:7" x14ac:dyDescent="0.25">
      <c r="F2081">
        <v>2078</v>
      </c>
      <c r="G2081">
        <f ca="1">_xlfn.NORM.INV(RAND(),$M$7,$M$8)</f>
        <v>-2.9912727581857531E-2</v>
      </c>
    </row>
    <row r="2082" spans="6:7" x14ac:dyDescent="0.25">
      <c r="F2082">
        <v>2079</v>
      </c>
      <c r="G2082">
        <f ca="1">_xlfn.NORM.INV(RAND(),$M$7,$M$8)</f>
        <v>-1.6254315075821335E-3</v>
      </c>
    </row>
    <row r="2083" spans="6:7" x14ac:dyDescent="0.25">
      <c r="F2083">
        <v>2080</v>
      </c>
      <c r="G2083">
        <f ca="1">_xlfn.NORM.INV(RAND(),$M$7,$M$8)</f>
        <v>3.0517236925230416E-2</v>
      </c>
    </row>
    <row r="2084" spans="6:7" x14ac:dyDescent="0.25">
      <c r="F2084">
        <v>2081</v>
      </c>
      <c r="G2084">
        <f ca="1">_xlfn.NORM.INV(RAND(),$M$7,$M$8)</f>
        <v>-7.5791493528925793E-2</v>
      </c>
    </row>
    <row r="2085" spans="6:7" x14ac:dyDescent="0.25">
      <c r="F2085">
        <v>2082</v>
      </c>
      <c r="G2085">
        <f ca="1">_xlfn.NORM.INV(RAND(),$M$7,$M$8)</f>
        <v>-1.2359130435166671E-2</v>
      </c>
    </row>
    <row r="2086" spans="6:7" x14ac:dyDescent="0.25">
      <c r="F2086">
        <v>2083</v>
      </c>
      <c r="G2086">
        <f ca="1">_xlfn.NORM.INV(RAND(),$M$7,$M$8)</f>
        <v>1.0114528095305686E-2</v>
      </c>
    </row>
    <row r="2087" spans="6:7" x14ac:dyDescent="0.25">
      <c r="F2087">
        <v>2084</v>
      </c>
      <c r="G2087">
        <f ca="1">_xlfn.NORM.INV(RAND(),$M$7,$M$8)</f>
        <v>1.0668662062780838E-2</v>
      </c>
    </row>
    <row r="2088" spans="6:7" x14ac:dyDescent="0.25">
      <c r="F2088">
        <v>2085</v>
      </c>
      <c r="G2088">
        <f ca="1">_xlfn.NORM.INV(RAND(),$M$7,$M$8)</f>
        <v>2.3199166597469158E-2</v>
      </c>
    </row>
    <row r="2089" spans="6:7" x14ac:dyDescent="0.25">
      <c r="F2089">
        <v>2086</v>
      </c>
      <c r="G2089">
        <f ca="1">_xlfn.NORM.INV(RAND(),$M$7,$M$8)</f>
        <v>-3.2733075719960224E-2</v>
      </c>
    </row>
    <row r="2090" spans="6:7" x14ac:dyDescent="0.25">
      <c r="F2090">
        <v>2087</v>
      </c>
      <c r="G2090">
        <f ca="1">_xlfn.NORM.INV(RAND(),$M$7,$M$8)</f>
        <v>-3.9624099990843181E-2</v>
      </c>
    </row>
    <row r="2091" spans="6:7" x14ac:dyDescent="0.25">
      <c r="F2091">
        <v>2088</v>
      </c>
      <c r="G2091">
        <f ca="1">_xlfn.NORM.INV(RAND(),$M$7,$M$8)</f>
        <v>3.464670512574024E-3</v>
      </c>
    </row>
    <row r="2092" spans="6:7" x14ac:dyDescent="0.25">
      <c r="F2092">
        <v>2089</v>
      </c>
      <c r="G2092">
        <f ca="1">_xlfn.NORM.INV(RAND(),$M$7,$M$8)</f>
        <v>-1.8546255146167218E-2</v>
      </c>
    </row>
    <row r="2093" spans="6:7" x14ac:dyDescent="0.25">
      <c r="F2093">
        <v>2090</v>
      </c>
      <c r="G2093">
        <f ca="1">_xlfn.NORM.INV(RAND(),$M$7,$M$8)</f>
        <v>3.0726030384251699E-3</v>
      </c>
    </row>
    <row r="2094" spans="6:7" x14ac:dyDescent="0.25">
      <c r="F2094">
        <v>2091</v>
      </c>
      <c r="G2094">
        <f ca="1">_xlfn.NORM.INV(RAND(),$M$7,$M$8)</f>
        <v>3.1946317279761743E-2</v>
      </c>
    </row>
    <row r="2095" spans="6:7" x14ac:dyDescent="0.25">
      <c r="F2095">
        <v>2092</v>
      </c>
      <c r="G2095">
        <f ca="1">_xlfn.NORM.INV(RAND(),$M$7,$M$8)</f>
        <v>-3.5553808785074435E-2</v>
      </c>
    </row>
    <row r="2096" spans="6:7" x14ac:dyDescent="0.25">
      <c r="F2096">
        <v>2093</v>
      </c>
      <c r="G2096">
        <f ca="1">_xlfn.NORM.INV(RAND(),$M$7,$M$8)</f>
        <v>7.5394255285008913E-3</v>
      </c>
    </row>
    <row r="2097" spans="6:7" x14ac:dyDescent="0.25">
      <c r="F2097">
        <v>2094</v>
      </c>
      <c r="G2097">
        <f ca="1">_xlfn.NORM.INV(RAND(),$M$7,$M$8)</f>
        <v>9.8761374043110969E-3</v>
      </c>
    </row>
    <row r="2098" spans="6:7" x14ac:dyDescent="0.25">
      <c r="F2098">
        <v>2095</v>
      </c>
      <c r="G2098">
        <f ca="1">_xlfn.NORM.INV(RAND(),$M$7,$M$8)</f>
        <v>3.5339121581450292E-2</v>
      </c>
    </row>
    <row r="2099" spans="6:7" x14ac:dyDescent="0.25">
      <c r="F2099">
        <v>2096</v>
      </c>
      <c r="G2099">
        <f ca="1">_xlfn.NORM.INV(RAND(),$M$7,$M$8)</f>
        <v>5.0073592546514036E-3</v>
      </c>
    </row>
    <row r="2100" spans="6:7" x14ac:dyDescent="0.25">
      <c r="F2100">
        <v>2097</v>
      </c>
      <c r="G2100">
        <f ca="1">_xlfn.NORM.INV(RAND(),$M$7,$M$8)</f>
        <v>-7.787146063201739E-3</v>
      </c>
    </row>
    <row r="2101" spans="6:7" x14ac:dyDescent="0.25">
      <c r="F2101">
        <v>2098</v>
      </c>
      <c r="G2101">
        <f ca="1">_xlfn.NORM.INV(RAND(),$M$7,$M$8)</f>
        <v>1.4408876494293951E-2</v>
      </c>
    </row>
    <row r="2102" spans="6:7" x14ac:dyDescent="0.25">
      <c r="F2102">
        <v>2099</v>
      </c>
      <c r="G2102">
        <f ca="1">_xlfn.NORM.INV(RAND(),$M$7,$M$8)</f>
        <v>-2.179402371131085E-2</v>
      </c>
    </row>
    <row r="2103" spans="6:7" x14ac:dyDescent="0.25">
      <c r="F2103">
        <v>2100</v>
      </c>
      <c r="G2103">
        <f ca="1">_xlfn.NORM.INV(RAND(),$M$7,$M$8)</f>
        <v>-1.2231090831869011E-2</v>
      </c>
    </row>
    <row r="2104" spans="6:7" x14ac:dyDescent="0.25">
      <c r="F2104">
        <v>2101</v>
      </c>
      <c r="G2104">
        <f ca="1">_xlfn.NORM.INV(RAND(),$M$7,$M$8)</f>
        <v>-7.0951335269375457E-3</v>
      </c>
    </row>
    <row r="2105" spans="6:7" x14ac:dyDescent="0.25">
      <c r="F2105">
        <v>2102</v>
      </c>
      <c r="G2105">
        <f ca="1">_xlfn.NORM.INV(RAND(),$M$7,$M$8)</f>
        <v>-2.4619773475305425E-2</v>
      </c>
    </row>
    <row r="2106" spans="6:7" x14ac:dyDescent="0.25">
      <c r="F2106">
        <v>2103</v>
      </c>
      <c r="G2106">
        <f ca="1">_xlfn.NORM.INV(RAND(),$M$7,$M$8)</f>
        <v>-3.687353340793087E-2</v>
      </c>
    </row>
    <row r="2107" spans="6:7" x14ac:dyDescent="0.25">
      <c r="F2107">
        <v>2104</v>
      </c>
      <c r="G2107">
        <f ca="1">_xlfn.NORM.INV(RAND(),$M$7,$M$8)</f>
        <v>2.4625672089606542E-2</v>
      </c>
    </row>
    <row r="2108" spans="6:7" x14ac:dyDescent="0.25">
      <c r="F2108">
        <v>2105</v>
      </c>
      <c r="G2108">
        <f ca="1">_xlfn.NORM.INV(RAND(),$M$7,$M$8)</f>
        <v>2.2900196408013322E-2</v>
      </c>
    </row>
    <row r="2109" spans="6:7" x14ac:dyDescent="0.25">
      <c r="F2109">
        <v>2106</v>
      </c>
      <c r="G2109">
        <f ca="1">_xlfn.NORM.INV(RAND(),$M$7,$M$8)</f>
        <v>-1.5607195457920418E-2</v>
      </c>
    </row>
    <row r="2110" spans="6:7" x14ac:dyDescent="0.25">
      <c r="F2110">
        <v>2107</v>
      </c>
      <c r="G2110">
        <f ca="1">_xlfn.NORM.INV(RAND(),$M$7,$M$8)</f>
        <v>-1.8136334853637151E-2</v>
      </c>
    </row>
    <row r="2111" spans="6:7" x14ac:dyDescent="0.25">
      <c r="F2111">
        <v>2108</v>
      </c>
      <c r="G2111">
        <f ca="1">_xlfn.NORM.INV(RAND(),$M$7,$M$8)</f>
        <v>1.1413366750664967E-2</v>
      </c>
    </row>
    <row r="2112" spans="6:7" x14ac:dyDescent="0.25">
      <c r="F2112">
        <v>2109</v>
      </c>
      <c r="G2112">
        <f ca="1">_xlfn.NORM.INV(RAND(),$M$7,$M$8)</f>
        <v>7.3431425090357497E-3</v>
      </c>
    </row>
    <row r="2113" spans="6:7" x14ac:dyDescent="0.25">
      <c r="F2113">
        <v>2110</v>
      </c>
      <c r="G2113">
        <f ca="1">_xlfn.NORM.INV(RAND(),$M$7,$M$8)</f>
        <v>-3.9781114752380602E-3</v>
      </c>
    </row>
    <row r="2114" spans="6:7" x14ac:dyDescent="0.25">
      <c r="F2114">
        <v>2111</v>
      </c>
      <c r="G2114">
        <f ca="1">_xlfn.NORM.INV(RAND(),$M$7,$M$8)</f>
        <v>-3.3112202689937732E-2</v>
      </c>
    </row>
    <row r="2115" spans="6:7" x14ac:dyDescent="0.25">
      <c r="F2115">
        <v>2112</v>
      </c>
      <c r="G2115">
        <f ca="1">_xlfn.NORM.INV(RAND(),$M$7,$M$8)</f>
        <v>-3.5860903064421495E-2</v>
      </c>
    </row>
    <row r="2116" spans="6:7" x14ac:dyDescent="0.25">
      <c r="F2116">
        <v>2113</v>
      </c>
      <c r="G2116">
        <f ca="1">_xlfn.NORM.INV(RAND(),$M$7,$M$8)</f>
        <v>4.0249879044223384E-2</v>
      </c>
    </row>
    <row r="2117" spans="6:7" x14ac:dyDescent="0.25">
      <c r="F2117">
        <v>2114</v>
      </c>
      <c r="G2117">
        <f ca="1">_xlfn.NORM.INV(RAND(),$M$7,$M$8)</f>
        <v>-6.840987742742546E-3</v>
      </c>
    </row>
    <row r="2118" spans="6:7" x14ac:dyDescent="0.25">
      <c r="F2118">
        <v>2115</v>
      </c>
      <c r="G2118">
        <f ca="1">_xlfn.NORM.INV(RAND(),$M$7,$M$8)</f>
        <v>2.1948413336773422E-2</v>
      </c>
    </row>
    <row r="2119" spans="6:7" x14ac:dyDescent="0.25">
      <c r="F2119">
        <v>2116</v>
      </c>
      <c r="G2119">
        <f ca="1">_xlfn.NORM.INV(RAND(),$M$7,$M$8)</f>
        <v>2.0740719934811042E-2</v>
      </c>
    </row>
    <row r="2120" spans="6:7" x14ac:dyDescent="0.25">
      <c r="F2120">
        <v>2117</v>
      </c>
      <c r="G2120">
        <f ca="1">_xlfn.NORM.INV(RAND(),$M$7,$M$8)</f>
        <v>-1.936922948434467E-2</v>
      </c>
    </row>
    <row r="2121" spans="6:7" x14ac:dyDescent="0.25">
      <c r="F2121">
        <v>2118</v>
      </c>
      <c r="G2121">
        <f ca="1">_xlfn.NORM.INV(RAND(),$M$7,$M$8)</f>
        <v>7.9389015846722019E-2</v>
      </c>
    </row>
    <row r="2122" spans="6:7" x14ac:dyDescent="0.25">
      <c r="F2122">
        <v>2119</v>
      </c>
      <c r="G2122">
        <f ca="1">_xlfn.NORM.INV(RAND(),$M$7,$M$8)</f>
        <v>-2.0871127487120136E-2</v>
      </c>
    </row>
    <row r="2123" spans="6:7" x14ac:dyDescent="0.25">
      <c r="F2123">
        <v>2120</v>
      </c>
      <c r="G2123">
        <f ca="1">_xlfn.NORM.INV(RAND(),$M$7,$M$8)</f>
        <v>2.7088897290543385E-2</v>
      </c>
    </row>
    <row r="2124" spans="6:7" x14ac:dyDescent="0.25">
      <c r="F2124">
        <v>2121</v>
      </c>
      <c r="G2124">
        <f ca="1">_xlfn.NORM.INV(RAND(),$M$7,$M$8)</f>
        <v>2.2237625238550954E-2</v>
      </c>
    </row>
    <row r="2125" spans="6:7" x14ac:dyDescent="0.25">
      <c r="F2125">
        <v>2122</v>
      </c>
      <c r="G2125">
        <f ca="1">_xlfn.NORM.INV(RAND(),$M$7,$M$8)</f>
        <v>-3.4442220108914429E-2</v>
      </c>
    </row>
    <row r="2126" spans="6:7" x14ac:dyDescent="0.25">
      <c r="F2126">
        <v>2123</v>
      </c>
      <c r="G2126">
        <f ca="1">_xlfn.NORM.INV(RAND(),$M$7,$M$8)</f>
        <v>3.2137266501714265E-2</v>
      </c>
    </row>
    <row r="2127" spans="6:7" x14ac:dyDescent="0.25">
      <c r="F2127">
        <v>2124</v>
      </c>
      <c r="G2127">
        <f ca="1">_xlfn.NORM.INV(RAND(),$M$7,$M$8)</f>
        <v>-1.839038392922895E-2</v>
      </c>
    </row>
    <row r="2128" spans="6:7" x14ac:dyDescent="0.25">
      <c r="F2128">
        <v>2125</v>
      </c>
      <c r="G2128">
        <f ca="1">_xlfn.NORM.INV(RAND(),$M$7,$M$8)</f>
        <v>2.3345120146740853E-2</v>
      </c>
    </row>
    <row r="2129" spans="6:7" x14ac:dyDescent="0.25">
      <c r="F2129">
        <v>2126</v>
      </c>
      <c r="G2129">
        <f ca="1">_xlfn.NORM.INV(RAND(),$M$7,$M$8)</f>
        <v>-6.0823446511057463E-2</v>
      </c>
    </row>
    <row r="2130" spans="6:7" x14ac:dyDescent="0.25">
      <c r="F2130">
        <v>2127</v>
      </c>
      <c r="G2130">
        <f ca="1">_xlfn.NORM.INV(RAND(),$M$7,$M$8)</f>
        <v>2.9910527366453919E-3</v>
      </c>
    </row>
    <row r="2131" spans="6:7" x14ac:dyDescent="0.25">
      <c r="F2131">
        <v>2128</v>
      </c>
      <c r="G2131">
        <f ca="1">_xlfn.NORM.INV(RAND(),$M$7,$M$8)</f>
        <v>-2.3617588853724607E-2</v>
      </c>
    </row>
    <row r="2132" spans="6:7" x14ac:dyDescent="0.25">
      <c r="F2132">
        <v>2129</v>
      </c>
      <c r="G2132">
        <f ca="1">_xlfn.NORM.INV(RAND(),$M$7,$M$8)</f>
        <v>-7.0902977046750471E-2</v>
      </c>
    </row>
    <row r="2133" spans="6:7" x14ac:dyDescent="0.25">
      <c r="F2133">
        <v>2130</v>
      </c>
      <c r="G2133">
        <f ca="1">_xlfn.NORM.INV(RAND(),$M$7,$M$8)</f>
        <v>1.7135175203070788E-2</v>
      </c>
    </row>
    <row r="2134" spans="6:7" x14ac:dyDescent="0.25">
      <c r="F2134">
        <v>2131</v>
      </c>
      <c r="G2134">
        <f ca="1">_xlfn.NORM.INV(RAND(),$M$7,$M$8)</f>
        <v>-4.3521882554374725E-2</v>
      </c>
    </row>
    <row r="2135" spans="6:7" x14ac:dyDescent="0.25">
      <c r="F2135">
        <v>2132</v>
      </c>
      <c r="G2135">
        <f ca="1">_xlfn.NORM.INV(RAND(),$M$7,$M$8)</f>
        <v>-1.2670717930875455E-2</v>
      </c>
    </row>
    <row r="2136" spans="6:7" x14ac:dyDescent="0.25">
      <c r="F2136">
        <v>2133</v>
      </c>
      <c r="G2136">
        <f ca="1">_xlfn.NORM.INV(RAND(),$M$7,$M$8)</f>
        <v>-1.3421913257973848E-2</v>
      </c>
    </row>
    <row r="2137" spans="6:7" x14ac:dyDescent="0.25">
      <c r="F2137">
        <v>2134</v>
      </c>
      <c r="G2137">
        <f ca="1">_xlfn.NORM.INV(RAND(),$M$7,$M$8)</f>
        <v>2.2240437196656534E-4</v>
      </c>
    </row>
    <row r="2138" spans="6:7" x14ac:dyDescent="0.25">
      <c r="F2138">
        <v>2135</v>
      </c>
      <c r="G2138">
        <f ca="1">_xlfn.NORM.INV(RAND(),$M$7,$M$8)</f>
        <v>1.6379482236482504E-2</v>
      </c>
    </row>
    <row r="2139" spans="6:7" x14ac:dyDescent="0.25">
      <c r="F2139">
        <v>2136</v>
      </c>
      <c r="G2139">
        <f ca="1">_xlfn.NORM.INV(RAND(),$M$7,$M$8)</f>
        <v>-2.7534184467468848E-2</v>
      </c>
    </row>
    <row r="2140" spans="6:7" x14ac:dyDescent="0.25">
      <c r="F2140">
        <v>2137</v>
      </c>
      <c r="G2140">
        <f ca="1">_xlfn.NORM.INV(RAND(),$M$7,$M$8)</f>
        <v>-1.5891517882282609E-2</v>
      </c>
    </row>
    <row r="2141" spans="6:7" x14ac:dyDescent="0.25">
      <c r="F2141">
        <v>2138</v>
      </c>
      <c r="G2141">
        <f ca="1">_xlfn.NORM.INV(RAND(),$M$7,$M$8)</f>
        <v>2.8947867542036671E-2</v>
      </c>
    </row>
    <row r="2142" spans="6:7" x14ac:dyDescent="0.25">
      <c r="F2142">
        <v>2139</v>
      </c>
      <c r="G2142">
        <f ca="1">_xlfn.NORM.INV(RAND(),$M$7,$M$8)</f>
        <v>-4.6979054536766436E-3</v>
      </c>
    </row>
    <row r="2143" spans="6:7" x14ac:dyDescent="0.25">
      <c r="F2143">
        <v>2140</v>
      </c>
      <c r="G2143">
        <f ca="1">_xlfn.NORM.INV(RAND(),$M$7,$M$8)</f>
        <v>5.9259711515628598E-3</v>
      </c>
    </row>
    <row r="2144" spans="6:7" x14ac:dyDescent="0.25">
      <c r="F2144">
        <v>2141</v>
      </c>
      <c r="G2144">
        <f ca="1">_xlfn.NORM.INV(RAND(),$M$7,$M$8)</f>
        <v>-4.7424743365155959E-2</v>
      </c>
    </row>
    <row r="2145" spans="6:7" x14ac:dyDescent="0.25">
      <c r="F2145">
        <v>2142</v>
      </c>
      <c r="G2145">
        <f ca="1">_xlfn.NORM.INV(RAND(),$M$7,$M$8)</f>
        <v>1.1618253399371288E-2</v>
      </c>
    </row>
    <row r="2146" spans="6:7" x14ac:dyDescent="0.25">
      <c r="F2146">
        <v>2143</v>
      </c>
      <c r="G2146">
        <f ca="1">_xlfn.NORM.INV(RAND(),$M$7,$M$8)</f>
        <v>3.732548105693468E-2</v>
      </c>
    </row>
    <row r="2147" spans="6:7" x14ac:dyDescent="0.25">
      <c r="F2147">
        <v>2144</v>
      </c>
      <c r="G2147">
        <f ca="1">_xlfn.NORM.INV(RAND(),$M$7,$M$8)</f>
        <v>-8.8769538608745608E-3</v>
      </c>
    </row>
    <row r="2148" spans="6:7" x14ac:dyDescent="0.25">
      <c r="F2148">
        <v>2145</v>
      </c>
      <c r="G2148">
        <f ca="1">_xlfn.NORM.INV(RAND(),$M$7,$M$8)</f>
        <v>2.5451316132404549E-3</v>
      </c>
    </row>
    <row r="2149" spans="6:7" x14ac:dyDescent="0.25">
      <c r="F2149">
        <v>2146</v>
      </c>
      <c r="G2149">
        <f ca="1">_xlfn.NORM.INV(RAND(),$M$7,$M$8)</f>
        <v>1.192426585607333E-2</v>
      </c>
    </row>
    <row r="2150" spans="6:7" x14ac:dyDescent="0.25">
      <c r="F2150">
        <v>2147</v>
      </c>
      <c r="G2150">
        <f ca="1">_xlfn.NORM.INV(RAND(),$M$7,$M$8)</f>
        <v>-1.3425084645523208E-2</v>
      </c>
    </row>
    <row r="2151" spans="6:7" x14ac:dyDescent="0.25">
      <c r="F2151">
        <v>2148</v>
      </c>
      <c r="G2151">
        <f ca="1">_xlfn.NORM.INV(RAND(),$M$7,$M$8)</f>
        <v>-2.2491893915585585E-3</v>
      </c>
    </row>
    <row r="2152" spans="6:7" x14ac:dyDescent="0.25">
      <c r="F2152">
        <v>2149</v>
      </c>
      <c r="G2152">
        <f ca="1">_xlfn.NORM.INV(RAND(),$M$7,$M$8)</f>
        <v>7.0013603308178452E-3</v>
      </c>
    </row>
    <row r="2153" spans="6:7" x14ac:dyDescent="0.25">
      <c r="F2153">
        <v>2150</v>
      </c>
      <c r="G2153">
        <f ca="1">_xlfn.NORM.INV(RAND(),$M$7,$M$8)</f>
        <v>-1.7998462265042117E-2</v>
      </c>
    </row>
    <row r="2154" spans="6:7" x14ac:dyDescent="0.25">
      <c r="F2154">
        <v>2151</v>
      </c>
      <c r="G2154">
        <f ca="1">_xlfn.NORM.INV(RAND(),$M$7,$M$8)</f>
        <v>1.3751838508015875E-2</v>
      </c>
    </row>
    <row r="2155" spans="6:7" x14ac:dyDescent="0.25">
      <c r="F2155">
        <v>2152</v>
      </c>
      <c r="G2155">
        <f ca="1">_xlfn.NORM.INV(RAND(),$M$7,$M$8)</f>
        <v>2.3835958917924092E-2</v>
      </c>
    </row>
    <row r="2156" spans="6:7" x14ac:dyDescent="0.25">
      <c r="F2156">
        <v>2153</v>
      </c>
      <c r="G2156">
        <f ca="1">_xlfn.NORM.INV(RAND(),$M$7,$M$8)</f>
        <v>1.5882315194041201E-2</v>
      </c>
    </row>
    <row r="2157" spans="6:7" x14ac:dyDescent="0.25">
      <c r="F2157">
        <v>2154</v>
      </c>
      <c r="G2157">
        <f ca="1">_xlfn.NORM.INV(RAND(),$M$7,$M$8)</f>
        <v>1.5368132950812653E-4</v>
      </c>
    </row>
    <row r="2158" spans="6:7" x14ac:dyDescent="0.25">
      <c r="F2158">
        <v>2155</v>
      </c>
      <c r="G2158">
        <f ca="1">_xlfn.NORM.INV(RAND(),$M$7,$M$8)</f>
        <v>9.4564039251296746E-3</v>
      </c>
    </row>
    <row r="2159" spans="6:7" x14ac:dyDescent="0.25">
      <c r="F2159">
        <v>2156</v>
      </c>
      <c r="G2159">
        <f ca="1">_xlfn.NORM.INV(RAND(),$M$7,$M$8)</f>
        <v>2.7154849779737573E-3</v>
      </c>
    </row>
    <row r="2160" spans="6:7" x14ac:dyDescent="0.25">
      <c r="F2160">
        <v>2157</v>
      </c>
      <c r="G2160">
        <f ca="1">_xlfn.NORM.INV(RAND(),$M$7,$M$8)</f>
        <v>3.2568990359424293E-3</v>
      </c>
    </row>
    <row r="2161" spans="6:7" x14ac:dyDescent="0.25">
      <c r="F2161">
        <v>2158</v>
      </c>
      <c r="G2161">
        <f ca="1">_xlfn.NORM.INV(RAND(),$M$7,$M$8)</f>
        <v>1.2305506456161006E-2</v>
      </c>
    </row>
    <row r="2162" spans="6:7" x14ac:dyDescent="0.25">
      <c r="F2162">
        <v>2159</v>
      </c>
      <c r="G2162">
        <f ca="1">_xlfn.NORM.INV(RAND(),$M$7,$M$8)</f>
        <v>-4.1307788612271308E-2</v>
      </c>
    </row>
    <row r="2163" spans="6:7" x14ac:dyDescent="0.25">
      <c r="F2163">
        <v>2160</v>
      </c>
      <c r="G2163">
        <f ca="1">_xlfn.NORM.INV(RAND(),$M$7,$M$8)</f>
        <v>-8.2987473670373554E-4</v>
      </c>
    </row>
    <row r="2164" spans="6:7" x14ac:dyDescent="0.25">
      <c r="F2164">
        <v>2161</v>
      </c>
      <c r="G2164">
        <f ca="1">_xlfn.NORM.INV(RAND(),$M$7,$M$8)</f>
        <v>2.3605485655383528E-2</v>
      </c>
    </row>
    <row r="2165" spans="6:7" x14ac:dyDescent="0.25">
      <c r="F2165">
        <v>2162</v>
      </c>
      <c r="G2165">
        <f ca="1">_xlfn.NORM.INV(RAND(),$M$7,$M$8)</f>
        <v>-1.6972487773640597E-2</v>
      </c>
    </row>
    <row r="2166" spans="6:7" x14ac:dyDescent="0.25">
      <c r="F2166">
        <v>2163</v>
      </c>
      <c r="G2166">
        <f ca="1">_xlfn.NORM.INV(RAND(),$M$7,$M$8)</f>
        <v>-3.5998341243000657E-2</v>
      </c>
    </row>
    <row r="2167" spans="6:7" x14ac:dyDescent="0.25">
      <c r="F2167">
        <v>2164</v>
      </c>
      <c r="G2167">
        <f ca="1">_xlfn.NORM.INV(RAND(),$M$7,$M$8)</f>
        <v>-1.1008601699697258E-2</v>
      </c>
    </row>
    <row r="2168" spans="6:7" x14ac:dyDescent="0.25">
      <c r="F2168">
        <v>2165</v>
      </c>
      <c r="G2168">
        <f ca="1">_xlfn.NORM.INV(RAND(),$M$7,$M$8)</f>
        <v>2.761828257902375E-2</v>
      </c>
    </row>
    <row r="2169" spans="6:7" x14ac:dyDescent="0.25">
      <c r="F2169">
        <v>2166</v>
      </c>
      <c r="G2169">
        <f ca="1">_xlfn.NORM.INV(RAND(),$M$7,$M$8)</f>
        <v>7.8108344639908362E-3</v>
      </c>
    </row>
    <row r="2170" spans="6:7" x14ac:dyDescent="0.25">
      <c r="F2170">
        <v>2167</v>
      </c>
      <c r="G2170">
        <f ca="1">_xlfn.NORM.INV(RAND(),$M$7,$M$8)</f>
        <v>-2.1404337470799516E-2</v>
      </c>
    </row>
    <row r="2171" spans="6:7" x14ac:dyDescent="0.25">
      <c r="F2171">
        <v>2168</v>
      </c>
      <c r="G2171">
        <f ca="1">_xlfn.NORM.INV(RAND(),$M$7,$M$8)</f>
        <v>-1.9307210894289151E-2</v>
      </c>
    </row>
    <row r="2172" spans="6:7" x14ac:dyDescent="0.25">
      <c r="F2172">
        <v>2169</v>
      </c>
      <c r="G2172">
        <f ca="1">_xlfn.NORM.INV(RAND(),$M$7,$M$8)</f>
        <v>-2.1943605900111622E-2</v>
      </c>
    </row>
    <row r="2173" spans="6:7" x14ac:dyDescent="0.25">
      <c r="F2173">
        <v>2170</v>
      </c>
      <c r="G2173">
        <f ca="1">_xlfn.NORM.INV(RAND(),$M$7,$M$8)</f>
        <v>6.7740758629518828E-4</v>
      </c>
    </row>
    <row r="2174" spans="6:7" x14ac:dyDescent="0.25">
      <c r="F2174">
        <v>2171</v>
      </c>
      <c r="G2174">
        <f ca="1">_xlfn.NORM.INV(RAND(),$M$7,$M$8)</f>
        <v>1.0251707756085998E-2</v>
      </c>
    </row>
    <row r="2175" spans="6:7" x14ac:dyDescent="0.25">
      <c r="F2175">
        <v>2172</v>
      </c>
      <c r="G2175">
        <f ca="1">_xlfn.NORM.INV(RAND(),$M$7,$M$8)</f>
        <v>8.8889725146075113E-3</v>
      </c>
    </row>
    <row r="2176" spans="6:7" x14ac:dyDescent="0.25">
      <c r="F2176">
        <v>2173</v>
      </c>
      <c r="G2176">
        <f ca="1">_xlfn.NORM.INV(RAND(),$M$7,$M$8)</f>
        <v>-3.6590700350123982E-2</v>
      </c>
    </row>
    <row r="2177" spans="6:7" x14ac:dyDescent="0.25">
      <c r="F2177">
        <v>2174</v>
      </c>
      <c r="G2177">
        <f ca="1">_xlfn.NORM.INV(RAND(),$M$7,$M$8)</f>
        <v>5.078843530942144E-2</v>
      </c>
    </row>
    <row r="2178" spans="6:7" x14ac:dyDescent="0.25">
      <c r="F2178">
        <v>2175</v>
      </c>
      <c r="G2178">
        <f ca="1">_xlfn.NORM.INV(RAND(),$M$7,$M$8)</f>
        <v>-1.7679087934157334E-2</v>
      </c>
    </row>
    <row r="2179" spans="6:7" x14ac:dyDescent="0.25">
      <c r="F2179">
        <v>2176</v>
      </c>
      <c r="G2179">
        <f ca="1">_xlfn.NORM.INV(RAND(),$M$7,$M$8)</f>
        <v>1.6749212192885654E-3</v>
      </c>
    </row>
    <row r="2180" spans="6:7" x14ac:dyDescent="0.25">
      <c r="F2180">
        <v>2177</v>
      </c>
      <c r="G2180">
        <f ca="1">_xlfn.NORM.INV(RAND(),$M$7,$M$8)</f>
        <v>1.8848651830053142E-2</v>
      </c>
    </row>
    <row r="2181" spans="6:7" x14ac:dyDescent="0.25">
      <c r="F2181">
        <v>2178</v>
      </c>
      <c r="G2181">
        <f ca="1">_xlfn.NORM.INV(RAND(),$M$7,$M$8)</f>
        <v>-9.4882220853535477E-4</v>
      </c>
    </row>
    <row r="2182" spans="6:7" x14ac:dyDescent="0.25">
      <c r="F2182">
        <v>2179</v>
      </c>
      <c r="G2182">
        <f ca="1">_xlfn.NORM.INV(RAND(),$M$7,$M$8)</f>
        <v>-2.2727518479083501E-2</v>
      </c>
    </row>
    <row r="2183" spans="6:7" x14ac:dyDescent="0.25">
      <c r="F2183">
        <v>2180</v>
      </c>
      <c r="G2183">
        <f ca="1">_xlfn.NORM.INV(RAND(),$M$7,$M$8)</f>
        <v>-2.1866975072312791E-2</v>
      </c>
    </row>
    <row r="2184" spans="6:7" x14ac:dyDescent="0.25">
      <c r="F2184">
        <v>2181</v>
      </c>
      <c r="G2184">
        <f ca="1">_xlfn.NORM.INV(RAND(),$M$7,$M$8)</f>
        <v>-3.0073901136777405E-2</v>
      </c>
    </row>
    <row r="2185" spans="6:7" x14ac:dyDescent="0.25">
      <c r="F2185">
        <v>2182</v>
      </c>
      <c r="G2185">
        <f ca="1">_xlfn.NORM.INV(RAND(),$M$7,$M$8)</f>
        <v>1.5468180436373364E-2</v>
      </c>
    </row>
    <row r="2186" spans="6:7" x14ac:dyDescent="0.25">
      <c r="F2186">
        <v>2183</v>
      </c>
      <c r="G2186">
        <f ca="1">_xlfn.NORM.INV(RAND(),$M$7,$M$8)</f>
        <v>2.7374449149809379E-2</v>
      </c>
    </row>
    <row r="2187" spans="6:7" x14ac:dyDescent="0.25">
      <c r="F2187">
        <v>2184</v>
      </c>
      <c r="G2187">
        <f ca="1">_xlfn.NORM.INV(RAND(),$M$7,$M$8)</f>
        <v>1.2531069822635127E-2</v>
      </c>
    </row>
    <row r="2188" spans="6:7" x14ac:dyDescent="0.25">
      <c r="F2188">
        <v>2185</v>
      </c>
      <c r="G2188">
        <f ca="1">_xlfn.NORM.INV(RAND(),$M$7,$M$8)</f>
        <v>1.4676824527709447E-2</v>
      </c>
    </row>
    <row r="2189" spans="6:7" x14ac:dyDescent="0.25">
      <c r="F2189">
        <v>2186</v>
      </c>
      <c r="G2189">
        <f ca="1">_xlfn.NORM.INV(RAND(),$M$7,$M$8)</f>
        <v>5.2279848231283148E-4</v>
      </c>
    </row>
    <row r="2190" spans="6:7" x14ac:dyDescent="0.25">
      <c r="F2190">
        <v>2187</v>
      </c>
      <c r="G2190">
        <f ca="1">_xlfn.NORM.INV(RAND(),$M$7,$M$8)</f>
        <v>-7.6721620562398927E-3</v>
      </c>
    </row>
    <row r="2191" spans="6:7" x14ac:dyDescent="0.25">
      <c r="F2191">
        <v>2188</v>
      </c>
      <c r="G2191">
        <f ca="1">_xlfn.NORM.INV(RAND(),$M$7,$M$8)</f>
        <v>-3.5161274997110151E-2</v>
      </c>
    </row>
    <row r="2192" spans="6:7" x14ac:dyDescent="0.25">
      <c r="F2192">
        <v>2189</v>
      </c>
      <c r="G2192">
        <f ca="1">_xlfn.NORM.INV(RAND(),$M$7,$M$8)</f>
        <v>-1.7262459694223665E-2</v>
      </c>
    </row>
    <row r="2193" spans="6:7" x14ac:dyDescent="0.25">
      <c r="F2193">
        <v>2190</v>
      </c>
      <c r="G2193">
        <f ca="1">_xlfn.NORM.INV(RAND(),$M$7,$M$8)</f>
        <v>2.4791405364196741E-2</v>
      </c>
    </row>
    <row r="2194" spans="6:7" x14ac:dyDescent="0.25">
      <c r="F2194">
        <v>2191</v>
      </c>
      <c r="G2194">
        <f ca="1">_xlfn.NORM.INV(RAND(),$M$7,$M$8)</f>
        <v>-8.791480791681015E-3</v>
      </c>
    </row>
    <row r="2195" spans="6:7" x14ac:dyDescent="0.25">
      <c r="F2195">
        <v>2192</v>
      </c>
      <c r="G2195">
        <f ca="1">_xlfn.NORM.INV(RAND(),$M$7,$M$8)</f>
        <v>-1.2383781083999694E-2</v>
      </c>
    </row>
    <row r="2196" spans="6:7" x14ac:dyDescent="0.25">
      <c r="F2196">
        <v>2193</v>
      </c>
      <c r="G2196">
        <f ca="1">_xlfn.NORM.INV(RAND(),$M$7,$M$8)</f>
        <v>1.1583558472354519E-2</v>
      </c>
    </row>
    <row r="2197" spans="6:7" x14ac:dyDescent="0.25">
      <c r="F2197">
        <v>2194</v>
      </c>
      <c r="G2197">
        <f ca="1">_xlfn.NORM.INV(RAND(),$M$7,$M$8)</f>
        <v>4.4236219675328051E-2</v>
      </c>
    </row>
    <row r="2198" spans="6:7" x14ac:dyDescent="0.25">
      <c r="F2198">
        <v>2195</v>
      </c>
      <c r="G2198">
        <f ca="1">_xlfn.NORM.INV(RAND(),$M$7,$M$8)</f>
        <v>1.8192491661706379E-2</v>
      </c>
    </row>
    <row r="2199" spans="6:7" x14ac:dyDescent="0.25">
      <c r="F2199">
        <v>2196</v>
      </c>
      <c r="G2199">
        <f ca="1">_xlfn.NORM.INV(RAND(),$M$7,$M$8)</f>
        <v>-3.5549486448430347E-2</v>
      </c>
    </row>
    <row r="2200" spans="6:7" x14ac:dyDescent="0.25">
      <c r="F2200">
        <v>2197</v>
      </c>
      <c r="G2200">
        <f ca="1">_xlfn.NORM.INV(RAND(),$M$7,$M$8)</f>
        <v>-1.5889804842112772E-2</v>
      </c>
    </row>
    <row r="2201" spans="6:7" x14ac:dyDescent="0.25">
      <c r="F2201">
        <v>2198</v>
      </c>
      <c r="G2201">
        <f ca="1">_xlfn.NORM.INV(RAND(),$M$7,$M$8)</f>
        <v>3.7816020765922926E-3</v>
      </c>
    </row>
    <row r="2202" spans="6:7" x14ac:dyDescent="0.25">
      <c r="F2202">
        <v>2199</v>
      </c>
      <c r="G2202">
        <f ca="1">_xlfn.NORM.INV(RAND(),$M$7,$M$8)</f>
        <v>-2.174132535344795E-2</v>
      </c>
    </row>
    <row r="2203" spans="6:7" x14ac:dyDescent="0.25">
      <c r="F2203">
        <v>2200</v>
      </c>
      <c r="G2203">
        <f ca="1">_xlfn.NORM.INV(RAND(),$M$7,$M$8)</f>
        <v>-1.5729634010242812E-4</v>
      </c>
    </row>
    <row r="2204" spans="6:7" x14ac:dyDescent="0.25">
      <c r="F2204">
        <v>2201</v>
      </c>
      <c r="G2204">
        <f ca="1">_xlfn.NORM.INV(RAND(),$M$7,$M$8)</f>
        <v>-3.5219483035834151E-2</v>
      </c>
    </row>
    <row r="2205" spans="6:7" x14ac:dyDescent="0.25">
      <c r="F2205">
        <v>2202</v>
      </c>
      <c r="G2205">
        <f ca="1">_xlfn.NORM.INV(RAND(),$M$7,$M$8)</f>
        <v>4.6936792214238555E-2</v>
      </c>
    </row>
    <row r="2206" spans="6:7" x14ac:dyDescent="0.25">
      <c r="F2206">
        <v>2203</v>
      </c>
      <c r="G2206">
        <f ca="1">_xlfn.NORM.INV(RAND(),$M$7,$M$8)</f>
        <v>-2.1181001170524304E-2</v>
      </c>
    </row>
    <row r="2207" spans="6:7" x14ac:dyDescent="0.25">
      <c r="F2207">
        <v>2204</v>
      </c>
      <c r="G2207">
        <f ca="1">_xlfn.NORM.INV(RAND(),$M$7,$M$8)</f>
        <v>3.7519644805752974E-3</v>
      </c>
    </row>
    <row r="2208" spans="6:7" x14ac:dyDescent="0.25">
      <c r="F2208">
        <v>2205</v>
      </c>
      <c r="G2208">
        <f ca="1">_xlfn.NORM.INV(RAND(),$M$7,$M$8)</f>
        <v>2.520153337281456E-3</v>
      </c>
    </row>
    <row r="2209" spans="6:7" x14ac:dyDescent="0.25">
      <c r="F2209">
        <v>2206</v>
      </c>
      <c r="G2209">
        <f ca="1">_xlfn.NORM.INV(RAND(),$M$7,$M$8)</f>
        <v>-1.567969295008026E-2</v>
      </c>
    </row>
    <row r="2210" spans="6:7" x14ac:dyDescent="0.25">
      <c r="F2210">
        <v>2207</v>
      </c>
      <c r="G2210">
        <f ca="1">_xlfn.NORM.INV(RAND(),$M$7,$M$8)</f>
        <v>-1.7375448486068718E-2</v>
      </c>
    </row>
    <row r="2211" spans="6:7" x14ac:dyDescent="0.25">
      <c r="F2211">
        <v>2208</v>
      </c>
      <c r="G2211">
        <f ca="1">_xlfn.NORM.INV(RAND(),$M$7,$M$8)</f>
        <v>-2.4293218729721467E-3</v>
      </c>
    </row>
    <row r="2212" spans="6:7" x14ac:dyDescent="0.25">
      <c r="F2212">
        <v>2209</v>
      </c>
      <c r="G2212">
        <f ca="1">_xlfn.NORM.INV(RAND(),$M$7,$M$8)</f>
        <v>-1.6562078278319011E-2</v>
      </c>
    </row>
    <row r="2213" spans="6:7" x14ac:dyDescent="0.25">
      <c r="F2213">
        <v>2210</v>
      </c>
      <c r="G2213">
        <f ca="1">_xlfn.NORM.INV(RAND(),$M$7,$M$8)</f>
        <v>-4.9047853542247906E-4</v>
      </c>
    </row>
    <row r="2214" spans="6:7" x14ac:dyDescent="0.25">
      <c r="F2214">
        <v>2211</v>
      </c>
      <c r="G2214">
        <f ca="1">_xlfn.NORM.INV(RAND(),$M$7,$M$8)</f>
        <v>6.6868420075542334E-3</v>
      </c>
    </row>
    <row r="2215" spans="6:7" x14ac:dyDescent="0.25">
      <c r="F2215">
        <v>2212</v>
      </c>
      <c r="G2215">
        <f ca="1">_xlfn.NORM.INV(RAND(),$M$7,$M$8)</f>
        <v>1.161045999711699E-2</v>
      </c>
    </row>
    <row r="2216" spans="6:7" x14ac:dyDescent="0.25">
      <c r="F2216">
        <v>2213</v>
      </c>
      <c r="G2216">
        <f ca="1">_xlfn.NORM.INV(RAND(),$M$7,$M$8)</f>
        <v>-2.3168441057883085E-2</v>
      </c>
    </row>
    <row r="2217" spans="6:7" x14ac:dyDescent="0.25">
      <c r="F2217">
        <v>2214</v>
      </c>
      <c r="G2217">
        <f ca="1">_xlfn.NORM.INV(RAND(),$M$7,$M$8)</f>
        <v>-1.4492509466380733E-2</v>
      </c>
    </row>
    <row r="2218" spans="6:7" x14ac:dyDescent="0.25">
      <c r="F2218">
        <v>2215</v>
      </c>
      <c r="G2218">
        <f ca="1">_xlfn.NORM.INV(RAND(),$M$7,$M$8)</f>
        <v>1.1539454574940679E-2</v>
      </c>
    </row>
    <row r="2219" spans="6:7" x14ac:dyDescent="0.25">
      <c r="F2219">
        <v>2216</v>
      </c>
      <c r="G2219">
        <f ca="1">_xlfn.NORM.INV(RAND(),$M$7,$M$8)</f>
        <v>-5.7501172991663886E-3</v>
      </c>
    </row>
    <row r="2220" spans="6:7" x14ac:dyDescent="0.25">
      <c r="F2220">
        <v>2217</v>
      </c>
      <c r="G2220">
        <f ca="1">_xlfn.NORM.INV(RAND(),$M$7,$M$8)</f>
        <v>1.9378246732791652E-2</v>
      </c>
    </row>
    <row r="2221" spans="6:7" x14ac:dyDescent="0.25">
      <c r="F2221">
        <v>2218</v>
      </c>
      <c r="G2221">
        <f ca="1">_xlfn.NORM.INV(RAND(),$M$7,$M$8)</f>
        <v>-2.0307598816056247E-2</v>
      </c>
    </row>
    <row r="2222" spans="6:7" x14ac:dyDescent="0.25">
      <c r="F2222">
        <v>2219</v>
      </c>
      <c r="G2222">
        <f ca="1">_xlfn.NORM.INV(RAND(),$M$7,$M$8)</f>
        <v>-1.5419150007179583E-2</v>
      </c>
    </row>
    <row r="2223" spans="6:7" x14ac:dyDescent="0.25">
      <c r="F2223">
        <v>2220</v>
      </c>
      <c r="G2223">
        <f ca="1">_xlfn.NORM.INV(RAND(),$M$7,$M$8)</f>
        <v>-2.3067361567373902E-3</v>
      </c>
    </row>
    <row r="2224" spans="6:7" x14ac:dyDescent="0.25">
      <c r="F2224">
        <v>2221</v>
      </c>
      <c r="G2224">
        <f ca="1">_xlfn.NORM.INV(RAND(),$M$7,$M$8)</f>
        <v>-2.3972835557653484E-2</v>
      </c>
    </row>
    <row r="2225" spans="6:7" x14ac:dyDescent="0.25">
      <c r="F2225">
        <v>2222</v>
      </c>
      <c r="G2225">
        <f ca="1">_xlfn.NORM.INV(RAND(),$M$7,$M$8)</f>
        <v>-1.5799767074626456E-3</v>
      </c>
    </row>
    <row r="2226" spans="6:7" x14ac:dyDescent="0.25">
      <c r="F2226">
        <v>2223</v>
      </c>
      <c r="G2226">
        <f ca="1">_xlfn.NORM.INV(RAND(),$M$7,$M$8)</f>
        <v>2.8814661731712026E-2</v>
      </c>
    </row>
    <row r="2227" spans="6:7" x14ac:dyDescent="0.25">
      <c r="F2227">
        <v>2224</v>
      </c>
      <c r="G2227">
        <f ca="1">_xlfn.NORM.INV(RAND(),$M$7,$M$8)</f>
        <v>-4.5550056577377318E-2</v>
      </c>
    </row>
    <row r="2228" spans="6:7" x14ac:dyDescent="0.25">
      <c r="F2228">
        <v>2225</v>
      </c>
      <c r="G2228">
        <f ca="1">_xlfn.NORM.INV(RAND(),$M$7,$M$8)</f>
        <v>-1.9850760899557522E-3</v>
      </c>
    </row>
    <row r="2229" spans="6:7" x14ac:dyDescent="0.25">
      <c r="F2229">
        <v>2226</v>
      </c>
      <c r="G2229">
        <f ca="1">_xlfn.NORM.INV(RAND(),$M$7,$M$8)</f>
        <v>6.325485866488921E-2</v>
      </c>
    </row>
    <row r="2230" spans="6:7" x14ac:dyDescent="0.25">
      <c r="F2230">
        <v>2227</v>
      </c>
      <c r="G2230">
        <f ca="1">_xlfn.NORM.INV(RAND(),$M$7,$M$8)</f>
        <v>1.5694428480249684E-2</v>
      </c>
    </row>
    <row r="2231" spans="6:7" x14ac:dyDescent="0.25">
      <c r="F2231">
        <v>2228</v>
      </c>
      <c r="G2231">
        <f ca="1">_xlfn.NORM.INV(RAND(),$M$7,$M$8)</f>
        <v>-8.9267976080508373E-3</v>
      </c>
    </row>
    <row r="2232" spans="6:7" x14ac:dyDescent="0.25">
      <c r="F2232">
        <v>2229</v>
      </c>
      <c r="G2232">
        <f ca="1">_xlfn.NORM.INV(RAND(),$M$7,$M$8)</f>
        <v>-1.4854840284693985E-2</v>
      </c>
    </row>
    <row r="2233" spans="6:7" x14ac:dyDescent="0.25">
      <c r="F2233">
        <v>2230</v>
      </c>
      <c r="G2233">
        <f ca="1">_xlfn.NORM.INV(RAND(),$M$7,$M$8)</f>
        <v>-2.3485898706026426E-2</v>
      </c>
    </row>
    <row r="2234" spans="6:7" x14ac:dyDescent="0.25">
      <c r="F2234">
        <v>2231</v>
      </c>
      <c r="G2234">
        <f ca="1">_xlfn.NORM.INV(RAND(),$M$7,$M$8)</f>
        <v>2.5566452419006111E-2</v>
      </c>
    </row>
    <row r="2235" spans="6:7" x14ac:dyDescent="0.25">
      <c r="F2235">
        <v>2232</v>
      </c>
      <c r="G2235">
        <f ca="1">_xlfn.NORM.INV(RAND(),$M$7,$M$8)</f>
        <v>-1.492994638187501E-2</v>
      </c>
    </row>
    <row r="2236" spans="6:7" x14ac:dyDescent="0.25">
      <c r="F2236">
        <v>2233</v>
      </c>
      <c r="G2236">
        <f ca="1">_xlfn.NORM.INV(RAND(),$M$7,$M$8)</f>
        <v>-2.8125078222328428E-2</v>
      </c>
    </row>
    <row r="2237" spans="6:7" x14ac:dyDescent="0.25">
      <c r="F2237">
        <v>2234</v>
      </c>
      <c r="G2237">
        <f ca="1">_xlfn.NORM.INV(RAND(),$M$7,$M$8)</f>
        <v>4.672233183190445E-3</v>
      </c>
    </row>
    <row r="2238" spans="6:7" x14ac:dyDescent="0.25">
      <c r="F2238">
        <v>2235</v>
      </c>
      <c r="G2238">
        <f ca="1">_xlfn.NORM.INV(RAND(),$M$7,$M$8)</f>
        <v>3.1902417601830754E-2</v>
      </c>
    </row>
    <row r="2239" spans="6:7" x14ac:dyDescent="0.25">
      <c r="F2239">
        <v>2236</v>
      </c>
      <c r="G2239">
        <f ca="1">_xlfn.NORM.INV(RAND(),$M$7,$M$8)</f>
        <v>2.7551375240187026E-2</v>
      </c>
    </row>
    <row r="2240" spans="6:7" x14ac:dyDescent="0.25">
      <c r="F2240">
        <v>2237</v>
      </c>
      <c r="G2240">
        <f ca="1">_xlfn.NORM.INV(RAND(),$M$7,$M$8)</f>
        <v>1.2003606924717424E-3</v>
      </c>
    </row>
    <row r="2241" spans="6:7" x14ac:dyDescent="0.25">
      <c r="F2241">
        <v>2238</v>
      </c>
      <c r="G2241">
        <f ca="1">_xlfn.NORM.INV(RAND(),$M$7,$M$8)</f>
        <v>2.5191772794052578E-2</v>
      </c>
    </row>
    <row r="2242" spans="6:7" x14ac:dyDescent="0.25">
      <c r="F2242">
        <v>2239</v>
      </c>
      <c r="G2242">
        <f ca="1">_xlfn.NORM.INV(RAND(),$M$7,$M$8)</f>
        <v>2.2785960415280079E-2</v>
      </c>
    </row>
    <row r="2243" spans="6:7" x14ac:dyDescent="0.25">
      <c r="F2243">
        <v>2240</v>
      </c>
      <c r="G2243">
        <f ca="1">_xlfn.NORM.INV(RAND(),$M$7,$M$8)</f>
        <v>-1.3418538144431917E-2</v>
      </c>
    </row>
    <row r="2244" spans="6:7" x14ac:dyDescent="0.25">
      <c r="F2244">
        <v>2241</v>
      </c>
      <c r="G2244">
        <f ca="1">_xlfn.NORM.INV(RAND(),$M$7,$M$8)</f>
        <v>-3.1116534217810374E-3</v>
      </c>
    </row>
    <row r="2245" spans="6:7" x14ac:dyDescent="0.25">
      <c r="F2245">
        <v>2242</v>
      </c>
      <c r="G2245">
        <f ca="1">_xlfn.NORM.INV(RAND(),$M$7,$M$8)</f>
        <v>2.0112288565894892E-2</v>
      </c>
    </row>
    <row r="2246" spans="6:7" x14ac:dyDescent="0.25">
      <c r="F2246">
        <v>2243</v>
      </c>
      <c r="G2246">
        <f ca="1">_xlfn.NORM.INV(RAND(),$M$7,$M$8)</f>
        <v>-7.6843329267923359E-3</v>
      </c>
    </row>
    <row r="2247" spans="6:7" x14ac:dyDescent="0.25">
      <c r="F2247">
        <v>2244</v>
      </c>
      <c r="G2247">
        <f ca="1">_xlfn.NORM.INV(RAND(),$M$7,$M$8)</f>
        <v>3.4948345437340038E-2</v>
      </c>
    </row>
    <row r="2248" spans="6:7" x14ac:dyDescent="0.25">
      <c r="F2248">
        <v>2245</v>
      </c>
      <c r="G2248">
        <f ca="1">_xlfn.NORM.INV(RAND(),$M$7,$M$8)</f>
        <v>1.0385833021583806E-2</v>
      </c>
    </row>
    <row r="2249" spans="6:7" x14ac:dyDescent="0.25">
      <c r="F2249">
        <v>2246</v>
      </c>
      <c r="G2249">
        <f ca="1">_xlfn.NORM.INV(RAND(),$M$7,$M$8)</f>
        <v>-2.0949475384187635E-2</v>
      </c>
    </row>
    <row r="2250" spans="6:7" x14ac:dyDescent="0.25">
      <c r="F2250">
        <v>2247</v>
      </c>
      <c r="G2250">
        <f ca="1">_xlfn.NORM.INV(RAND(),$M$7,$M$8)</f>
        <v>1.2464302640064427E-2</v>
      </c>
    </row>
    <row r="2251" spans="6:7" x14ac:dyDescent="0.25">
      <c r="F2251">
        <v>2248</v>
      </c>
      <c r="G2251">
        <f ca="1">_xlfn.NORM.INV(RAND(),$M$7,$M$8)</f>
        <v>5.9485106371615463E-3</v>
      </c>
    </row>
    <row r="2252" spans="6:7" x14ac:dyDescent="0.25">
      <c r="F2252">
        <v>2249</v>
      </c>
      <c r="G2252">
        <f ca="1">_xlfn.NORM.INV(RAND(),$M$7,$M$8)</f>
        <v>5.6429042597425073E-2</v>
      </c>
    </row>
    <row r="2253" spans="6:7" x14ac:dyDescent="0.25">
      <c r="F2253">
        <v>2250</v>
      </c>
      <c r="G2253">
        <f ca="1">_xlfn.NORM.INV(RAND(),$M$7,$M$8)</f>
        <v>1.8726867607516563E-2</v>
      </c>
    </row>
    <row r="2254" spans="6:7" x14ac:dyDescent="0.25">
      <c r="F2254">
        <v>2251</v>
      </c>
      <c r="G2254">
        <f ca="1">_xlfn.NORM.INV(RAND(),$M$7,$M$8)</f>
        <v>1.7294802473963682E-2</v>
      </c>
    </row>
    <row r="2255" spans="6:7" x14ac:dyDescent="0.25">
      <c r="F2255">
        <v>2252</v>
      </c>
      <c r="G2255">
        <f ca="1">_xlfn.NORM.INV(RAND(),$M$7,$M$8)</f>
        <v>2.4529664370795231E-2</v>
      </c>
    </row>
    <row r="2256" spans="6:7" x14ac:dyDescent="0.25">
      <c r="F2256">
        <v>2253</v>
      </c>
      <c r="G2256">
        <f ca="1">_xlfn.NORM.INV(RAND(),$M$7,$M$8)</f>
        <v>-2.0974321770784947E-2</v>
      </c>
    </row>
    <row r="2257" spans="6:7" x14ac:dyDescent="0.25">
      <c r="F2257">
        <v>2254</v>
      </c>
      <c r="G2257">
        <f ca="1">_xlfn.NORM.INV(RAND(),$M$7,$M$8)</f>
        <v>-5.1843181918889984E-4</v>
      </c>
    </row>
    <row r="2258" spans="6:7" x14ac:dyDescent="0.25">
      <c r="F2258">
        <v>2255</v>
      </c>
      <c r="G2258">
        <f ca="1">_xlfn.NORM.INV(RAND(),$M$7,$M$8)</f>
        <v>-1.5068187394914542E-2</v>
      </c>
    </row>
    <row r="2259" spans="6:7" x14ac:dyDescent="0.25">
      <c r="F2259">
        <v>2256</v>
      </c>
      <c r="G2259">
        <f ca="1">_xlfn.NORM.INV(RAND(),$M$7,$M$8)</f>
        <v>-4.4449820870884754E-3</v>
      </c>
    </row>
    <row r="2260" spans="6:7" x14ac:dyDescent="0.25">
      <c r="F2260">
        <v>2257</v>
      </c>
      <c r="G2260">
        <f ca="1">_xlfn.NORM.INV(RAND(),$M$7,$M$8)</f>
        <v>1.3961473104343249E-3</v>
      </c>
    </row>
    <row r="2261" spans="6:7" x14ac:dyDescent="0.25">
      <c r="F2261">
        <v>2258</v>
      </c>
      <c r="G2261">
        <f ca="1">_xlfn.NORM.INV(RAND(),$M$7,$M$8)</f>
        <v>2.7841327821632532E-2</v>
      </c>
    </row>
    <row r="2262" spans="6:7" x14ac:dyDescent="0.25">
      <c r="F2262">
        <v>2259</v>
      </c>
      <c r="G2262">
        <f ca="1">_xlfn.NORM.INV(RAND(),$M$7,$M$8)</f>
        <v>3.6789653375476718E-2</v>
      </c>
    </row>
    <row r="2263" spans="6:7" x14ac:dyDescent="0.25">
      <c r="F2263">
        <v>2260</v>
      </c>
      <c r="G2263">
        <f ca="1">_xlfn.NORM.INV(RAND(),$M$7,$M$8)</f>
        <v>5.3975643699189196E-4</v>
      </c>
    </row>
    <row r="2264" spans="6:7" x14ac:dyDescent="0.25">
      <c r="F2264">
        <v>2261</v>
      </c>
      <c r="G2264">
        <f ca="1">_xlfn.NORM.INV(RAND(),$M$7,$M$8)</f>
        <v>-6.2471832995946472E-4</v>
      </c>
    </row>
    <row r="2265" spans="6:7" x14ac:dyDescent="0.25">
      <c r="F2265">
        <v>2262</v>
      </c>
      <c r="G2265">
        <f ca="1">_xlfn.NORM.INV(RAND(),$M$7,$M$8)</f>
        <v>-5.1619163338724339E-3</v>
      </c>
    </row>
    <row r="2266" spans="6:7" x14ac:dyDescent="0.25">
      <c r="F2266">
        <v>2263</v>
      </c>
      <c r="G2266">
        <f ca="1">_xlfn.NORM.INV(RAND(),$M$7,$M$8)</f>
        <v>-2.4522416620940558E-2</v>
      </c>
    </row>
    <row r="2267" spans="6:7" x14ac:dyDescent="0.25">
      <c r="F2267">
        <v>2264</v>
      </c>
      <c r="G2267">
        <f ca="1">_xlfn.NORM.INV(RAND(),$M$7,$M$8)</f>
        <v>1.5532984706099933E-2</v>
      </c>
    </row>
    <row r="2268" spans="6:7" x14ac:dyDescent="0.25">
      <c r="F2268">
        <v>2265</v>
      </c>
      <c r="G2268">
        <f ca="1">_xlfn.NORM.INV(RAND(),$M$7,$M$8)</f>
        <v>1.473838715794411E-2</v>
      </c>
    </row>
    <row r="2269" spans="6:7" x14ac:dyDescent="0.25">
      <c r="F2269">
        <v>2266</v>
      </c>
      <c r="G2269">
        <f ca="1">_xlfn.NORM.INV(RAND(),$M$7,$M$8)</f>
        <v>2.3949110256820435E-4</v>
      </c>
    </row>
    <row r="2270" spans="6:7" x14ac:dyDescent="0.25">
      <c r="F2270">
        <v>2267</v>
      </c>
      <c r="G2270">
        <f ca="1">_xlfn.NORM.INV(RAND(),$M$7,$M$8)</f>
        <v>-4.902601640763499E-3</v>
      </c>
    </row>
    <row r="2271" spans="6:7" x14ac:dyDescent="0.25">
      <c r="F2271">
        <v>2268</v>
      </c>
      <c r="G2271">
        <f ca="1">_xlfn.NORM.INV(RAND(),$M$7,$M$8)</f>
        <v>2.5276665123392375E-3</v>
      </c>
    </row>
    <row r="2272" spans="6:7" x14ac:dyDescent="0.25">
      <c r="F2272">
        <v>2269</v>
      </c>
      <c r="G2272">
        <f ca="1">_xlfn.NORM.INV(RAND(),$M$7,$M$8)</f>
        <v>-3.882214952144742E-2</v>
      </c>
    </row>
    <row r="2273" spans="6:7" x14ac:dyDescent="0.25">
      <c r="F2273">
        <v>2270</v>
      </c>
      <c r="G2273">
        <f ca="1">_xlfn.NORM.INV(RAND(),$M$7,$M$8)</f>
        <v>-1.1464780886969011E-2</v>
      </c>
    </row>
    <row r="2274" spans="6:7" x14ac:dyDescent="0.25">
      <c r="F2274">
        <v>2271</v>
      </c>
      <c r="G2274">
        <f ca="1">_xlfn.NORM.INV(RAND(),$M$7,$M$8)</f>
        <v>8.5535750474442958E-3</v>
      </c>
    </row>
    <row r="2275" spans="6:7" x14ac:dyDescent="0.25">
      <c r="F2275">
        <v>2272</v>
      </c>
      <c r="G2275">
        <f ca="1">_xlfn.NORM.INV(RAND(),$M$7,$M$8)</f>
        <v>6.2587298682693568E-3</v>
      </c>
    </row>
    <row r="2276" spans="6:7" x14ac:dyDescent="0.25">
      <c r="F2276">
        <v>2273</v>
      </c>
      <c r="G2276">
        <f ca="1">_xlfn.NORM.INV(RAND(),$M$7,$M$8)</f>
        <v>6.2288961089543172E-3</v>
      </c>
    </row>
    <row r="2277" spans="6:7" x14ac:dyDescent="0.25">
      <c r="F2277">
        <v>2274</v>
      </c>
      <c r="G2277">
        <f ca="1">_xlfn.NORM.INV(RAND(),$M$7,$M$8)</f>
        <v>2.7368063054241994E-2</v>
      </c>
    </row>
    <row r="2278" spans="6:7" x14ac:dyDescent="0.25">
      <c r="F2278">
        <v>2275</v>
      </c>
      <c r="G2278">
        <f ca="1">_xlfn.NORM.INV(RAND(),$M$7,$M$8)</f>
        <v>1.6297678388038413E-2</v>
      </c>
    </row>
    <row r="2279" spans="6:7" x14ac:dyDescent="0.25">
      <c r="F2279">
        <v>2276</v>
      </c>
      <c r="G2279">
        <f ca="1">_xlfn.NORM.INV(RAND(),$M$7,$M$8)</f>
        <v>5.9282063868910662E-2</v>
      </c>
    </row>
    <row r="2280" spans="6:7" x14ac:dyDescent="0.25">
      <c r="F2280">
        <v>2277</v>
      </c>
      <c r="G2280">
        <f ca="1">_xlfn.NORM.INV(RAND(),$M$7,$M$8)</f>
        <v>-2.3213971526275723E-3</v>
      </c>
    </row>
    <row r="2281" spans="6:7" x14ac:dyDescent="0.25">
      <c r="F2281">
        <v>2278</v>
      </c>
      <c r="G2281">
        <f ca="1">_xlfn.NORM.INV(RAND(),$M$7,$M$8)</f>
        <v>1.2082977844167337E-2</v>
      </c>
    </row>
    <row r="2282" spans="6:7" x14ac:dyDescent="0.25">
      <c r="F2282">
        <v>2279</v>
      </c>
      <c r="G2282">
        <f ca="1">_xlfn.NORM.INV(RAND(),$M$7,$M$8)</f>
        <v>-2.8486307422241258E-2</v>
      </c>
    </row>
    <row r="2283" spans="6:7" x14ac:dyDescent="0.25">
      <c r="F2283">
        <v>2280</v>
      </c>
      <c r="G2283">
        <f ca="1">_xlfn.NORM.INV(RAND(),$M$7,$M$8)</f>
        <v>1.5563301953109522E-2</v>
      </c>
    </row>
    <row r="2284" spans="6:7" x14ac:dyDescent="0.25">
      <c r="F2284">
        <v>2281</v>
      </c>
      <c r="G2284">
        <f ca="1">_xlfn.NORM.INV(RAND(),$M$7,$M$8)</f>
        <v>3.7966381618210705E-2</v>
      </c>
    </row>
    <row r="2285" spans="6:7" x14ac:dyDescent="0.25">
      <c r="F2285">
        <v>2282</v>
      </c>
      <c r="G2285">
        <f ca="1">_xlfn.NORM.INV(RAND(),$M$7,$M$8)</f>
        <v>1.4942530720482511E-2</v>
      </c>
    </row>
    <row r="2286" spans="6:7" x14ac:dyDescent="0.25">
      <c r="F2286">
        <v>2283</v>
      </c>
      <c r="G2286">
        <f ca="1">_xlfn.NORM.INV(RAND(),$M$7,$M$8)</f>
        <v>-7.3703771877127525E-3</v>
      </c>
    </row>
    <row r="2287" spans="6:7" x14ac:dyDescent="0.25">
      <c r="F2287">
        <v>2284</v>
      </c>
      <c r="G2287">
        <f ca="1">_xlfn.NORM.INV(RAND(),$M$7,$M$8)</f>
        <v>-5.2162679999169063E-3</v>
      </c>
    </row>
    <row r="2288" spans="6:7" x14ac:dyDescent="0.25">
      <c r="F2288">
        <v>2285</v>
      </c>
      <c r="G2288">
        <f ca="1">_xlfn.NORM.INV(RAND(),$M$7,$M$8)</f>
        <v>-2.2474266130068633E-2</v>
      </c>
    </row>
    <row r="2289" spans="6:7" x14ac:dyDescent="0.25">
      <c r="F2289">
        <v>2286</v>
      </c>
      <c r="G2289">
        <f ca="1">_xlfn.NORM.INV(RAND(),$M$7,$M$8)</f>
        <v>-2.421811973732757E-2</v>
      </c>
    </row>
    <row r="2290" spans="6:7" x14ac:dyDescent="0.25">
      <c r="F2290">
        <v>2287</v>
      </c>
      <c r="G2290">
        <f ca="1">_xlfn.NORM.INV(RAND(),$M$7,$M$8)</f>
        <v>6.3434723593777304E-2</v>
      </c>
    </row>
    <row r="2291" spans="6:7" x14ac:dyDescent="0.25">
      <c r="F2291">
        <v>2288</v>
      </c>
      <c r="G2291">
        <f ca="1">_xlfn.NORM.INV(RAND(),$M$7,$M$8)</f>
        <v>-2.3474072391762666E-2</v>
      </c>
    </row>
    <row r="2292" spans="6:7" x14ac:dyDescent="0.25">
      <c r="F2292">
        <v>2289</v>
      </c>
      <c r="G2292">
        <f ca="1">_xlfn.NORM.INV(RAND(),$M$7,$M$8)</f>
        <v>7.396950133122325E-3</v>
      </c>
    </row>
    <row r="2293" spans="6:7" x14ac:dyDescent="0.25">
      <c r="F2293">
        <v>2290</v>
      </c>
      <c r="G2293">
        <f ca="1">_xlfn.NORM.INV(RAND(),$M$7,$M$8)</f>
        <v>2.7936035114607991E-2</v>
      </c>
    </row>
    <row r="2294" spans="6:7" x14ac:dyDescent="0.25">
      <c r="F2294">
        <v>2291</v>
      </c>
      <c r="G2294">
        <f ca="1">_xlfn.NORM.INV(RAND(),$M$7,$M$8)</f>
        <v>4.7889277289012648E-2</v>
      </c>
    </row>
    <row r="2295" spans="6:7" x14ac:dyDescent="0.25">
      <c r="F2295">
        <v>2292</v>
      </c>
      <c r="G2295">
        <f ca="1">_xlfn.NORM.INV(RAND(),$M$7,$M$8)</f>
        <v>1.5676204220366335E-2</v>
      </c>
    </row>
    <row r="2296" spans="6:7" x14ac:dyDescent="0.25">
      <c r="F2296">
        <v>2293</v>
      </c>
      <c r="G2296">
        <f ca="1">_xlfn.NORM.INV(RAND(),$M$7,$M$8)</f>
        <v>1.5791530511206891E-2</v>
      </c>
    </row>
    <row r="2297" spans="6:7" x14ac:dyDescent="0.25">
      <c r="F2297">
        <v>2294</v>
      </c>
      <c r="G2297">
        <f ca="1">_xlfn.NORM.INV(RAND(),$M$7,$M$8)</f>
        <v>-1.0214544226251373E-2</v>
      </c>
    </row>
    <row r="2298" spans="6:7" x14ac:dyDescent="0.25">
      <c r="F2298">
        <v>2295</v>
      </c>
      <c r="G2298">
        <f ca="1">_xlfn.NORM.INV(RAND(),$M$7,$M$8)</f>
        <v>2.3150753960071636E-2</v>
      </c>
    </row>
    <row r="2299" spans="6:7" x14ac:dyDescent="0.25">
      <c r="F2299">
        <v>2296</v>
      </c>
      <c r="G2299">
        <f ca="1">_xlfn.NORM.INV(RAND(),$M$7,$M$8)</f>
        <v>9.7100958671694181E-3</v>
      </c>
    </row>
    <row r="2300" spans="6:7" x14ac:dyDescent="0.25">
      <c r="F2300">
        <v>2297</v>
      </c>
      <c r="G2300">
        <f ca="1">_xlfn.NORM.INV(RAND(),$M$7,$M$8)</f>
        <v>-3.2431638479027892E-2</v>
      </c>
    </row>
    <row r="2301" spans="6:7" x14ac:dyDescent="0.25">
      <c r="F2301">
        <v>2298</v>
      </c>
      <c r="G2301">
        <f ca="1">_xlfn.NORM.INV(RAND(),$M$7,$M$8)</f>
        <v>-1.5641026818311535E-2</v>
      </c>
    </row>
    <row r="2302" spans="6:7" x14ac:dyDescent="0.25">
      <c r="F2302">
        <v>2299</v>
      </c>
      <c r="G2302">
        <f ca="1">_xlfn.NORM.INV(RAND(),$M$7,$M$8)</f>
        <v>-2.205621584596967E-2</v>
      </c>
    </row>
    <row r="2303" spans="6:7" x14ac:dyDescent="0.25">
      <c r="F2303">
        <v>2300</v>
      </c>
      <c r="G2303">
        <f ca="1">_xlfn.NORM.INV(RAND(),$M$7,$M$8)</f>
        <v>2.09680877388955E-2</v>
      </c>
    </row>
    <row r="2304" spans="6:7" x14ac:dyDescent="0.25">
      <c r="F2304">
        <v>2301</v>
      </c>
      <c r="G2304">
        <f ca="1">_xlfn.NORM.INV(RAND(),$M$7,$M$8)</f>
        <v>1.2536695607312073E-2</v>
      </c>
    </row>
    <row r="2305" spans="6:7" x14ac:dyDescent="0.25">
      <c r="F2305">
        <v>2302</v>
      </c>
      <c r="G2305">
        <f ca="1">_xlfn.NORM.INV(RAND(),$M$7,$M$8)</f>
        <v>-2.5791075991161642E-2</v>
      </c>
    </row>
    <row r="2306" spans="6:7" x14ac:dyDescent="0.25">
      <c r="F2306">
        <v>2303</v>
      </c>
      <c r="G2306">
        <f ca="1">_xlfn.NORM.INV(RAND(),$M$7,$M$8)</f>
        <v>-1.0623040341971812E-2</v>
      </c>
    </row>
    <row r="2307" spans="6:7" x14ac:dyDescent="0.25">
      <c r="F2307">
        <v>2304</v>
      </c>
      <c r="G2307">
        <f ca="1">_xlfn.NORM.INV(RAND(),$M$7,$M$8)</f>
        <v>-1.2155386044774091E-2</v>
      </c>
    </row>
    <row r="2308" spans="6:7" x14ac:dyDescent="0.25">
      <c r="F2308">
        <v>2305</v>
      </c>
      <c r="G2308">
        <f ca="1">_xlfn.NORM.INV(RAND(),$M$7,$M$8)</f>
        <v>8.1725210904535373E-3</v>
      </c>
    </row>
    <row r="2309" spans="6:7" x14ac:dyDescent="0.25">
      <c r="F2309">
        <v>2306</v>
      </c>
      <c r="G2309">
        <f ca="1">_xlfn.NORM.INV(RAND(),$M$7,$M$8)</f>
        <v>5.0932417449763227E-2</v>
      </c>
    </row>
    <row r="2310" spans="6:7" x14ac:dyDescent="0.25">
      <c r="F2310">
        <v>2307</v>
      </c>
      <c r="G2310">
        <f ca="1">_xlfn.NORM.INV(RAND(),$M$7,$M$8)</f>
        <v>4.9031596117841324E-2</v>
      </c>
    </row>
    <row r="2311" spans="6:7" x14ac:dyDescent="0.25">
      <c r="F2311">
        <v>2308</v>
      </c>
      <c r="G2311">
        <f ca="1">_xlfn.NORM.INV(RAND(),$M$7,$M$8)</f>
        <v>-2.4576554972991247E-2</v>
      </c>
    </row>
    <row r="2312" spans="6:7" x14ac:dyDescent="0.25">
      <c r="F2312">
        <v>2309</v>
      </c>
      <c r="G2312">
        <f ca="1">_xlfn.NORM.INV(RAND(),$M$7,$M$8)</f>
        <v>3.349519076313806E-3</v>
      </c>
    </row>
    <row r="2313" spans="6:7" x14ac:dyDescent="0.25">
      <c r="F2313">
        <v>2310</v>
      </c>
      <c r="G2313">
        <f ca="1">_xlfn.NORM.INV(RAND(),$M$7,$M$8)</f>
        <v>2.6927651134948018E-2</v>
      </c>
    </row>
    <row r="2314" spans="6:7" x14ac:dyDescent="0.25">
      <c r="F2314">
        <v>2311</v>
      </c>
      <c r="G2314">
        <f ca="1">_xlfn.NORM.INV(RAND(),$M$7,$M$8)</f>
        <v>-2.1783985783740526E-2</v>
      </c>
    </row>
    <row r="2315" spans="6:7" x14ac:dyDescent="0.25">
      <c r="F2315">
        <v>2312</v>
      </c>
      <c r="G2315">
        <f ca="1">_xlfn.NORM.INV(RAND(),$M$7,$M$8)</f>
        <v>-2.1017658094004989E-2</v>
      </c>
    </row>
    <row r="2316" spans="6:7" x14ac:dyDescent="0.25">
      <c r="F2316">
        <v>2313</v>
      </c>
      <c r="G2316">
        <f ca="1">_xlfn.NORM.INV(RAND(),$M$7,$M$8)</f>
        <v>4.249838685970108E-2</v>
      </c>
    </row>
    <row r="2317" spans="6:7" x14ac:dyDescent="0.25">
      <c r="F2317">
        <v>2314</v>
      </c>
      <c r="G2317">
        <f ca="1">_xlfn.NORM.INV(RAND(),$M$7,$M$8)</f>
        <v>-2.372235030764484E-2</v>
      </c>
    </row>
    <row r="2318" spans="6:7" x14ac:dyDescent="0.25">
      <c r="F2318">
        <v>2315</v>
      </c>
      <c r="G2318">
        <f ca="1">_xlfn.NORM.INV(RAND(),$M$7,$M$8)</f>
        <v>-2.1062810505219532E-3</v>
      </c>
    </row>
    <row r="2319" spans="6:7" x14ac:dyDescent="0.25">
      <c r="F2319">
        <v>2316</v>
      </c>
      <c r="G2319">
        <f ca="1">_xlfn.NORM.INV(RAND(),$M$7,$M$8)</f>
        <v>-2.0748802093171866E-2</v>
      </c>
    </row>
    <row r="2320" spans="6:7" x14ac:dyDescent="0.25">
      <c r="F2320">
        <v>2317</v>
      </c>
      <c r="G2320">
        <f ca="1">_xlfn.NORM.INV(RAND(),$M$7,$M$8)</f>
        <v>-1.5998120241636743E-2</v>
      </c>
    </row>
    <row r="2321" spans="6:7" x14ac:dyDescent="0.25">
      <c r="F2321">
        <v>2318</v>
      </c>
      <c r="G2321">
        <f ca="1">_xlfn.NORM.INV(RAND(),$M$7,$M$8)</f>
        <v>-1.121378262465606E-2</v>
      </c>
    </row>
    <row r="2322" spans="6:7" x14ac:dyDescent="0.25">
      <c r="F2322">
        <v>2319</v>
      </c>
      <c r="G2322">
        <f ca="1">_xlfn.NORM.INV(RAND(),$M$7,$M$8)</f>
        <v>3.1107027036034927E-2</v>
      </c>
    </row>
    <row r="2323" spans="6:7" x14ac:dyDescent="0.25">
      <c r="F2323">
        <v>2320</v>
      </c>
      <c r="G2323">
        <f ca="1">_xlfn.NORM.INV(RAND(),$M$7,$M$8)</f>
        <v>-5.1949958018914638E-2</v>
      </c>
    </row>
    <row r="2324" spans="6:7" x14ac:dyDescent="0.25">
      <c r="F2324">
        <v>2321</v>
      </c>
      <c r="G2324">
        <f ca="1">_xlfn.NORM.INV(RAND(),$M$7,$M$8)</f>
        <v>-3.1563852001194194E-2</v>
      </c>
    </row>
    <row r="2325" spans="6:7" x14ac:dyDescent="0.25">
      <c r="F2325">
        <v>2322</v>
      </c>
      <c r="G2325">
        <f ca="1">_xlfn.NORM.INV(RAND(),$M$7,$M$8)</f>
        <v>-3.089687768853425E-2</v>
      </c>
    </row>
    <row r="2326" spans="6:7" x14ac:dyDescent="0.25">
      <c r="F2326">
        <v>2323</v>
      </c>
      <c r="G2326">
        <f ca="1">_xlfn.NORM.INV(RAND(),$M$7,$M$8)</f>
        <v>-2.4696009424643176E-2</v>
      </c>
    </row>
    <row r="2327" spans="6:7" x14ac:dyDescent="0.25">
      <c r="F2327">
        <v>2324</v>
      </c>
      <c r="G2327">
        <f ca="1">_xlfn.NORM.INV(RAND(),$M$7,$M$8)</f>
        <v>-7.4938545097281311E-5</v>
      </c>
    </row>
    <row r="2328" spans="6:7" x14ac:dyDescent="0.25">
      <c r="F2328">
        <v>2325</v>
      </c>
      <c r="G2328">
        <f ca="1">_xlfn.NORM.INV(RAND(),$M$7,$M$8)</f>
        <v>-5.0922051493311644E-3</v>
      </c>
    </row>
    <row r="2329" spans="6:7" x14ac:dyDescent="0.25">
      <c r="F2329">
        <v>2326</v>
      </c>
      <c r="G2329">
        <f ca="1">_xlfn.NORM.INV(RAND(),$M$7,$M$8)</f>
        <v>-6.5444932613745541E-3</v>
      </c>
    </row>
    <row r="2330" spans="6:7" x14ac:dyDescent="0.25">
      <c r="F2330">
        <v>2327</v>
      </c>
      <c r="G2330">
        <f ca="1">_xlfn.NORM.INV(RAND(),$M$7,$M$8)</f>
        <v>-8.7649779433575572E-3</v>
      </c>
    </row>
    <row r="2331" spans="6:7" x14ac:dyDescent="0.25">
      <c r="F2331">
        <v>2328</v>
      </c>
      <c r="G2331">
        <f ca="1">_xlfn.NORM.INV(RAND(),$M$7,$M$8)</f>
        <v>-7.9120366302849066E-3</v>
      </c>
    </row>
    <row r="2332" spans="6:7" x14ac:dyDescent="0.25">
      <c r="F2332">
        <v>2329</v>
      </c>
      <c r="G2332">
        <f ca="1">_xlfn.NORM.INV(RAND(),$M$7,$M$8)</f>
        <v>3.5841708901536137E-2</v>
      </c>
    </row>
    <row r="2333" spans="6:7" x14ac:dyDescent="0.25">
      <c r="F2333">
        <v>2330</v>
      </c>
      <c r="G2333">
        <f ca="1">_xlfn.NORM.INV(RAND(),$M$7,$M$8)</f>
        <v>4.0584669866389006E-2</v>
      </c>
    </row>
    <row r="2334" spans="6:7" x14ac:dyDescent="0.25">
      <c r="F2334">
        <v>2331</v>
      </c>
      <c r="G2334">
        <f ca="1">_xlfn.NORM.INV(RAND(),$M$7,$M$8)</f>
        <v>-8.9011179528472248E-3</v>
      </c>
    </row>
    <row r="2335" spans="6:7" x14ac:dyDescent="0.25">
      <c r="F2335">
        <v>2332</v>
      </c>
      <c r="G2335">
        <f ca="1">_xlfn.NORM.INV(RAND(),$M$7,$M$8)</f>
        <v>-5.362017652596314E-3</v>
      </c>
    </row>
    <row r="2336" spans="6:7" x14ac:dyDescent="0.25">
      <c r="F2336">
        <v>2333</v>
      </c>
      <c r="G2336">
        <f ca="1">_xlfn.NORM.INV(RAND(),$M$7,$M$8)</f>
        <v>1.4687574664535701E-2</v>
      </c>
    </row>
    <row r="2337" spans="6:7" x14ac:dyDescent="0.25">
      <c r="F2337">
        <v>2334</v>
      </c>
      <c r="G2337">
        <f ca="1">_xlfn.NORM.INV(RAND(),$M$7,$M$8)</f>
        <v>2.0427781930133102E-2</v>
      </c>
    </row>
    <row r="2338" spans="6:7" x14ac:dyDescent="0.25">
      <c r="F2338">
        <v>2335</v>
      </c>
      <c r="G2338">
        <f ca="1">_xlfn.NORM.INV(RAND(),$M$7,$M$8)</f>
        <v>-2.1274774284538956E-3</v>
      </c>
    </row>
    <row r="2339" spans="6:7" x14ac:dyDescent="0.25">
      <c r="F2339">
        <v>2336</v>
      </c>
      <c r="G2339">
        <f ca="1">_xlfn.NORM.INV(RAND(),$M$7,$M$8)</f>
        <v>4.5681625344970112E-2</v>
      </c>
    </row>
    <row r="2340" spans="6:7" x14ac:dyDescent="0.25">
      <c r="F2340">
        <v>2337</v>
      </c>
      <c r="G2340">
        <f ca="1">_xlfn.NORM.INV(RAND(),$M$7,$M$8)</f>
        <v>3.8695123019049328E-3</v>
      </c>
    </row>
    <row r="2341" spans="6:7" x14ac:dyDescent="0.25">
      <c r="F2341">
        <v>2338</v>
      </c>
      <c r="G2341">
        <f ca="1">_xlfn.NORM.INV(RAND(),$M$7,$M$8)</f>
        <v>-3.0715409003986834E-2</v>
      </c>
    </row>
    <row r="2342" spans="6:7" x14ac:dyDescent="0.25">
      <c r="F2342">
        <v>2339</v>
      </c>
      <c r="G2342">
        <f ca="1">_xlfn.NORM.INV(RAND(),$M$7,$M$8)</f>
        <v>2.6287974640745896E-2</v>
      </c>
    </row>
    <row r="2343" spans="6:7" x14ac:dyDescent="0.25">
      <c r="F2343">
        <v>2340</v>
      </c>
      <c r="G2343">
        <f ca="1">_xlfn.NORM.INV(RAND(),$M$7,$M$8)</f>
        <v>-4.358593889495185E-3</v>
      </c>
    </row>
    <row r="2344" spans="6:7" x14ac:dyDescent="0.25">
      <c r="F2344">
        <v>2341</v>
      </c>
      <c r="G2344">
        <f ca="1">_xlfn.NORM.INV(RAND(),$M$7,$M$8)</f>
        <v>-2.0460349433950375E-2</v>
      </c>
    </row>
    <row r="2345" spans="6:7" x14ac:dyDescent="0.25">
      <c r="F2345">
        <v>2342</v>
      </c>
      <c r="G2345">
        <f ca="1">_xlfn.NORM.INV(RAND(),$M$7,$M$8)</f>
        <v>1.1169217491485766E-3</v>
      </c>
    </row>
    <row r="2346" spans="6:7" x14ac:dyDescent="0.25">
      <c r="F2346">
        <v>2343</v>
      </c>
      <c r="G2346">
        <f ca="1">_xlfn.NORM.INV(RAND(),$M$7,$M$8)</f>
        <v>2.6581846549071898E-2</v>
      </c>
    </row>
    <row r="2347" spans="6:7" x14ac:dyDescent="0.25">
      <c r="F2347">
        <v>2344</v>
      </c>
      <c r="G2347">
        <f ca="1">_xlfn.NORM.INV(RAND(),$M$7,$M$8)</f>
        <v>5.9957248378525157E-3</v>
      </c>
    </row>
    <row r="2348" spans="6:7" x14ac:dyDescent="0.25">
      <c r="F2348">
        <v>2345</v>
      </c>
      <c r="G2348">
        <f ca="1">_xlfn.NORM.INV(RAND(),$M$7,$M$8)</f>
        <v>-1.7887770228163083E-2</v>
      </c>
    </row>
    <row r="2349" spans="6:7" x14ac:dyDescent="0.25">
      <c r="F2349">
        <v>2346</v>
      </c>
      <c r="G2349">
        <f ca="1">_xlfn.NORM.INV(RAND(),$M$7,$M$8)</f>
        <v>1.1651172851060465E-2</v>
      </c>
    </row>
    <row r="2350" spans="6:7" x14ac:dyDescent="0.25">
      <c r="F2350">
        <v>2347</v>
      </c>
      <c r="G2350">
        <f ca="1">_xlfn.NORM.INV(RAND(),$M$7,$M$8)</f>
        <v>2.0406790267229476E-2</v>
      </c>
    </row>
    <row r="2351" spans="6:7" x14ac:dyDescent="0.25">
      <c r="F2351">
        <v>2348</v>
      </c>
      <c r="G2351">
        <f ca="1">_xlfn.NORM.INV(RAND(),$M$7,$M$8)</f>
        <v>1.2122449306586583E-2</v>
      </c>
    </row>
    <row r="2352" spans="6:7" x14ac:dyDescent="0.25">
      <c r="F2352">
        <v>2349</v>
      </c>
      <c r="G2352">
        <f ca="1">_xlfn.NORM.INV(RAND(),$M$7,$M$8)</f>
        <v>-5.3431237600144184E-2</v>
      </c>
    </row>
    <row r="2353" spans="6:7" x14ac:dyDescent="0.25">
      <c r="F2353">
        <v>2350</v>
      </c>
      <c r="G2353">
        <f ca="1">_xlfn.NORM.INV(RAND(),$M$7,$M$8)</f>
        <v>-8.6299065080434802E-3</v>
      </c>
    </row>
    <row r="2354" spans="6:7" x14ac:dyDescent="0.25">
      <c r="F2354">
        <v>2351</v>
      </c>
      <c r="G2354">
        <f ca="1">_xlfn.NORM.INV(RAND(),$M$7,$M$8)</f>
        <v>-1.4958520768092134E-2</v>
      </c>
    </row>
    <row r="2355" spans="6:7" x14ac:dyDescent="0.25">
      <c r="F2355">
        <v>2352</v>
      </c>
      <c r="G2355">
        <f ca="1">_xlfn.NORM.INV(RAND(),$M$7,$M$8)</f>
        <v>-1.5221973573656448E-3</v>
      </c>
    </row>
    <row r="2356" spans="6:7" x14ac:dyDescent="0.25">
      <c r="F2356">
        <v>2353</v>
      </c>
      <c r="G2356">
        <f ca="1">_xlfn.NORM.INV(RAND(),$M$7,$M$8)</f>
        <v>5.6172069656584625E-3</v>
      </c>
    </row>
    <row r="2357" spans="6:7" x14ac:dyDescent="0.25">
      <c r="F2357">
        <v>2354</v>
      </c>
      <c r="G2357">
        <f ca="1">_xlfn.NORM.INV(RAND(),$M$7,$M$8)</f>
        <v>2.6276583360409344E-2</v>
      </c>
    </row>
    <row r="2358" spans="6:7" x14ac:dyDescent="0.25">
      <c r="F2358">
        <v>2355</v>
      </c>
      <c r="G2358">
        <f ca="1">_xlfn.NORM.INV(RAND(),$M$7,$M$8)</f>
        <v>-2.3931519413704055E-2</v>
      </c>
    </row>
    <row r="2359" spans="6:7" x14ac:dyDescent="0.25">
      <c r="F2359">
        <v>2356</v>
      </c>
      <c r="G2359">
        <f ca="1">_xlfn.NORM.INV(RAND(),$M$7,$M$8)</f>
        <v>6.6923187632589847E-3</v>
      </c>
    </row>
    <row r="2360" spans="6:7" x14ac:dyDescent="0.25">
      <c r="F2360">
        <v>2357</v>
      </c>
      <c r="G2360">
        <f ca="1">_xlfn.NORM.INV(RAND(),$M$7,$M$8)</f>
        <v>-4.0949256344860456E-2</v>
      </c>
    </row>
    <row r="2361" spans="6:7" x14ac:dyDescent="0.25">
      <c r="F2361">
        <v>2358</v>
      </c>
      <c r="G2361">
        <f ca="1">_xlfn.NORM.INV(RAND(),$M$7,$M$8)</f>
        <v>-4.3198745243314407E-3</v>
      </c>
    </row>
    <row r="2362" spans="6:7" x14ac:dyDescent="0.25">
      <c r="F2362">
        <v>2359</v>
      </c>
      <c r="G2362">
        <f ca="1">_xlfn.NORM.INV(RAND(),$M$7,$M$8)</f>
        <v>-3.3604593659850896E-3</v>
      </c>
    </row>
    <row r="2363" spans="6:7" x14ac:dyDescent="0.25">
      <c r="F2363">
        <v>2360</v>
      </c>
      <c r="G2363">
        <f ca="1">_xlfn.NORM.INV(RAND(),$M$7,$M$8)</f>
        <v>3.1505060545958377E-2</v>
      </c>
    </row>
    <row r="2364" spans="6:7" x14ac:dyDescent="0.25">
      <c r="F2364">
        <v>2361</v>
      </c>
      <c r="G2364">
        <f ca="1">_xlfn.NORM.INV(RAND(),$M$7,$M$8)</f>
        <v>-1.6077355510459032E-3</v>
      </c>
    </row>
    <row r="2365" spans="6:7" x14ac:dyDescent="0.25">
      <c r="F2365">
        <v>2362</v>
      </c>
      <c r="G2365">
        <f ca="1">_xlfn.NORM.INV(RAND(),$M$7,$M$8)</f>
        <v>1.0387151742616145E-2</v>
      </c>
    </row>
    <row r="2366" spans="6:7" x14ac:dyDescent="0.25">
      <c r="F2366">
        <v>2363</v>
      </c>
      <c r="G2366">
        <f ca="1">_xlfn.NORM.INV(RAND(),$M$7,$M$8)</f>
        <v>2.9512667547071013E-2</v>
      </c>
    </row>
    <row r="2367" spans="6:7" x14ac:dyDescent="0.25">
      <c r="F2367">
        <v>2364</v>
      </c>
      <c r="G2367">
        <f ca="1">_xlfn.NORM.INV(RAND(),$M$7,$M$8)</f>
        <v>-2.2163205432251712E-2</v>
      </c>
    </row>
    <row r="2368" spans="6:7" x14ac:dyDescent="0.25">
      <c r="F2368">
        <v>2365</v>
      </c>
      <c r="G2368">
        <f ca="1">_xlfn.NORM.INV(RAND(),$M$7,$M$8)</f>
        <v>-1.5467183891826816E-2</v>
      </c>
    </row>
    <row r="2369" spans="6:7" x14ac:dyDescent="0.25">
      <c r="F2369">
        <v>2366</v>
      </c>
      <c r="G2369">
        <f ca="1">_xlfn.NORM.INV(RAND(),$M$7,$M$8)</f>
        <v>-9.362293054836475E-4</v>
      </c>
    </row>
    <row r="2370" spans="6:7" x14ac:dyDescent="0.25">
      <c r="F2370">
        <v>2367</v>
      </c>
      <c r="G2370">
        <f ca="1">_xlfn.NORM.INV(RAND(),$M$7,$M$8)</f>
        <v>-3.8122842303226989E-2</v>
      </c>
    </row>
    <row r="2371" spans="6:7" x14ac:dyDescent="0.25">
      <c r="F2371">
        <v>2368</v>
      </c>
      <c r="G2371">
        <f ca="1">_xlfn.NORM.INV(RAND(),$M$7,$M$8)</f>
        <v>-1.6938229737330088E-2</v>
      </c>
    </row>
    <row r="2372" spans="6:7" x14ac:dyDescent="0.25">
      <c r="F2372">
        <v>2369</v>
      </c>
      <c r="G2372">
        <f ca="1">_xlfn.NORM.INV(RAND(),$M$7,$M$8)</f>
        <v>1.2742466375244744E-2</v>
      </c>
    </row>
    <row r="2373" spans="6:7" x14ac:dyDescent="0.25">
      <c r="F2373">
        <v>2370</v>
      </c>
      <c r="G2373">
        <f ca="1">_xlfn.NORM.INV(RAND(),$M$7,$M$8)</f>
        <v>8.2206846297686889E-2</v>
      </c>
    </row>
    <row r="2374" spans="6:7" x14ac:dyDescent="0.25">
      <c r="F2374">
        <v>2371</v>
      </c>
      <c r="G2374">
        <f ca="1">_xlfn.NORM.INV(RAND(),$M$7,$M$8)</f>
        <v>1.1676227700827659E-2</v>
      </c>
    </row>
    <row r="2375" spans="6:7" x14ac:dyDescent="0.25">
      <c r="F2375">
        <v>2372</v>
      </c>
      <c r="G2375">
        <f ca="1">_xlfn.NORM.INV(RAND(),$M$7,$M$8)</f>
        <v>-4.0472928247987615E-3</v>
      </c>
    </row>
    <row r="2376" spans="6:7" x14ac:dyDescent="0.25">
      <c r="F2376">
        <v>2373</v>
      </c>
      <c r="G2376">
        <f ca="1">_xlfn.NORM.INV(RAND(),$M$7,$M$8)</f>
        <v>5.5345575518204061E-3</v>
      </c>
    </row>
    <row r="2377" spans="6:7" x14ac:dyDescent="0.25">
      <c r="F2377">
        <v>2374</v>
      </c>
      <c r="G2377">
        <f ca="1">_xlfn.NORM.INV(RAND(),$M$7,$M$8)</f>
        <v>8.376889210326947E-3</v>
      </c>
    </row>
    <row r="2378" spans="6:7" x14ac:dyDescent="0.25">
      <c r="F2378">
        <v>2375</v>
      </c>
      <c r="G2378">
        <f ca="1">_xlfn.NORM.INV(RAND(),$M$7,$M$8)</f>
        <v>-1.8354377837953229E-2</v>
      </c>
    </row>
    <row r="2379" spans="6:7" x14ac:dyDescent="0.25">
      <c r="F2379">
        <v>2376</v>
      </c>
      <c r="G2379">
        <f ca="1">_xlfn.NORM.INV(RAND(),$M$7,$M$8)</f>
        <v>-1.2633309921900605E-2</v>
      </c>
    </row>
    <row r="2380" spans="6:7" x14ac:dyDescent="0.25">
      <c r="F2380">
        <v>2377</v>
      </c>
      <c r="G2380">
        <f ca="1">_xlfn.NORM.INV(RAND(),$M$7,$M$8)</f>
        <v>-8.1105213696701763E-5</v>
      </c>
    </row>
    <row r="2381" spans="6:7" x14ac:dyDescent="0.25">
      <c r="F2381">
        <v>2378</v>
      </c>
      <c r="G2381">
        <f ca="1">_xlfn.NORM.INV(RAND(),$M$7,$M$8)</f>
        <v>6.2630202597323461E-3</v>
      </c>
    </row>
    <row r="2382" spans="6:7" x14ac:dyDescent="0.25">
      <c r="F2382">
        <v>2379</v>
      </c>
      <c r="G2382">
        <f ca="1">_xlfn.NORM.INV(RAND(),$M$7,$M$8)</f>
        <v>-2.2635691613370652E-2</v>
      </c>
    </row>
    <row r="2383" spans="6:7" x14ac:dyDescent="0.25">
      <c r="F2383">
        <v>2380</v>
      </c>
      <c r="G2383">
        <f ca="1">_xlfn.NORM.INV(RAND(),$M$7,$M$8)</f>
        <v>1.43884141066695E-2</v>
      </c>
    </row>
    <row r="2384" spans="6:7" x14ac:dyDescent="0.25">
      <c r="F2384">
        <v>2381</v>
      </c>
      <c r="G2384">
        <f ca="1">_xlfn.NORM.INV(RAND(),$M$7,$M$8)</f>
        <v>-2.047585182533903E-2</v>
      </c>
    </row>
    <row r="2385" spans="6:7" x14ac:dyDescent="0.25">
      <c r="F2385">
        <v>2382</v>
      </c>
      <c r="G2385">
        <f ca="1">_xlfn.NORM.INV(RAND(),$M$7,$M$8)</f>
        <v>1.6413091810128917E-2</v>
      </c>
    </row>
    <row r="2386" spans="6:7" x14ac:dyDescent="0.25">
      <c r="F2386">
        <v>2383</v>
      </c>
      <c r="G2386">
        <f ca="1">_xlfn.NORM.INV(RAND(),$M$7,$M$8)</f>
        <v>5.069132829644455E-2</v>
      </c>
    </row>
    <row r="2387" spans="6:7" x14ac:dyDescent="0.25">
      <c r="F2387">
        <v>2384</v>
      </c>
      <c r="G2387">
        <f ca="1">_xlfn.NORM.INV(RAND(),$M$7,$M$8)</f>
        <v>-8.6730602280789913E-3</v>
      </c>
    </row>
    <row r="2388" spans="6:7" x14ac:dyDescent="0.25">
      <c r="F2388">
        <v>2385</v>
      </c>
      <c r="G2388">
        <f ca="1">_xlfn.NORM.INV(RAND(),$M$7,$M$8)</f>
        <v>2.2615063075168449E-2</v>
      </c>
    </row>
    <row r="2389" spans="6:7" x14ac:dyDescent="0.25">
      <c r="F2389">
        <v>2386</v>
      </c>
      <c r="G2389">
        <f ca="1">_xlfn.NORM.INV(RAND(),$M$7,$M$8)</f>
        <v>-5.8586563507218983E-2</v>
      </c>
    </row>
    <row r="2390" spans="6:7" x14ac:dyDescent="0.25">
      <c r="F2390">
        <v>2387</v>
      </c>
      <c r="G2390">
        <f ca="1">_xlfn.NORM.INV(RAND(),$M$7,$M$8)</f>
        <v>2.8170832288756484E-2</v>
      </c>
    </row>
    <row r="2391" spans="6:7" x14ac:dyDescent="0.25">
      <c r="F2391">
        <v>2388</v>
      </c>
      <c r="G2391">
        <f ca="1">_xlfn.NORM.INV(RAND(),$M$7,$M$8)</f>
        <v>-5.9468013232526623E-3</v>
      </c>
    </row>
    <row r="2392" spans="6:7" x14ac:dyDescent="0.25">
      <c r="F2392">
        <v>2389</v>
      </c>
      <c r="G2392">
        <f ca="1">_xlfn.NORM.INV(RAND(),$M$7,$M$8)</f>
        <v>-3.398853802123803E-3</v>
      </c>
    </row>
    <row r="2393" spans="6:7" x14ac:dyDescent="0.25">
      <c r="F2393">
        <v>2390</v>
      </c>
      <c r="G2393">
        <f ca="1">_xlfn.NORM.INV(RAND(),$M$7,$M$8)</f>
        <v>9.3679641008863057E-3</v>
      </c>
    </row>
    <row r="2394" spans="6:7" x14ac:dyDescent="0.25">
      <c r="F2394">
        <v>2391</v>
      </c>
      <c r="G2394">
        <f ca="1">_xlfn.NORM.INV(RAND(),$M$7,$M$8)</f>
        <v>5.8101526942801331E-2</v>
      </c>
    </row>
    <row r="2395" spans="6:7" x14ac:dyDescent="0.25">
      <c r="F2395">
        <v>2392</v>
      </c>
      <c r="G2395">
        <f ca="1">_xlfn.NORM.INV(RAND(),$M$7,$M$8)</f>
        <v>-1.4567642147644029E-2</v>
      </c>
    </row>
    <row r="2396" spans="6:7" x14ac:dyDescent="0.25">
      <c r="F2396">
        <v>2393</v>
      </c>
      <c r="G2396">
        <f ca="1">_xlfn.NORM.INV(RAND(),$M$7,$M$8)</f>
        <v>-9.330469877147583E-3</v>
      </c>
    </row>
    <row r="2397" spans="6:7" x14ac:dyDescent="0.25">
      <c r="F2397">
        <v>2394</v>
      </c>
      <c r="G2397">
        <f ca="1">_xlfn.NORM.INV(RAND(),$M$7,$M$8)</f>
        <v>4.3352751478881379E-3</v>
      </c>
    </row>
    <row r="2398" spans="6:7" x14ac:dyDescent="0.25">
      <c r="F2398">
        <v>2395</v>
      </c>
      <c r="G2398">
        <f ca="1">_xlfn.NORM.INV(RAND(),$M$7,$M$8)</f>
        <v>-6.8225966137185901E-3</v>
      </c>
    </row>
    <row r="2399" spans="6:7" x14ac:dyDescent="0.25">
      <c r="F2399">
        <v>2396</v>
      </c>
      <c r="G2399">
        <f ca="1">_xlfn.NORM.INV(RAND(),$M$7,$M$8)</f>
        <v>4.462155692657125E-3</v>
      </c>
    </row>
    <row r="2400" spans="6:7" x14ac:dyDescent="0.25">
      <c r="F2400">
        <v>2397</v>
      </c>
      <c r="G2400">
        <f ca="1">_xlfn.NORM.INV(RAND(),$M$7,$M$8)</f>
        <v>6.8316855635356158E-4</v>
      </c>
    </row>
    <row r="2401" spans="6:7" x14ac:dyDescent="0.25">
      <c r="F2401">
        <v>2398</v>
      </c>
      <c r="G2401">
        <f ca="1">_xlfn.NORM.INV(RAND(),$M$7,$M$8)</f>
        <v>-1.6250782304447615E-2</v>
      </c>
    </row>
    <row r="2402" spans="6:7" x14ac:dyDescent="0.25">
      <c r="F2402">
        <v>2399</v>
      </c>
      <c r="G2402">
        <f ca="1">_xlfn.NORM.INV(RAND(),$M$7,$M$8)</f>
        <v>1.5603256177263436E-2</v>
      </c>
    </row>
    <row r="2403" spans="6:7" x14ac:dyDescent="0.25">
      <c r="F2403">
        <v>2400</v>
      </c>
      <c r="G2403">
        <f ca="1">_xlfn.NORM.INV(RAND(),$M$7,$M$8)</f>
        <v>2.3950336504468101E-3</v>
      </c>
    </row>
    <row r="2404" spans="6:7" x14ac:dyDescent="0.25">
      <c r="F2404">
        <v>2401</v>
      </c>
      <c r="G2404">
        <f ca="1">_xlfn.NORM.INV(RAND(),$M$7,$M$8)</f>
        <v>2.9270714012718538E-2</v>
      </c>
    </row>
    <row r="2405" spans="6:7" x14ac:dyDescent="0.25">
      <c r="F2405">
        <v>2402</v>
      </c>
      <c r="G2405">
        <f ca="1">_xlfn.NORM.INV(RAND(),$M$7,$M$8)</f>
        <v>8.6250510780008314E-3</v>
      </c>
    </row>
    <row r="2406" spans="6:7" x14ac:dyDescent="0.25">
      <c r="F2406">
        <v>2403</v>
      </c>
      <c r="G2406">
        <f ca="1">_xlfn.NORM.INV(RAND(),$M$7,$M$8)</f>
        <v>-4.2405589732225434E-2</v>
      </c>
    </row>
    <row r="2407" spans="6:7" x14ac:dyDescent="0.25">
      <c r="F2407">
        <v>2404</v>
      </c>
      <c r="G2407">
        <f ca="1">_xlfn.NORM.INV(RAND(),$M$7,$M$8)</f>
        <v>1.6973443611604445E-2</v>
      </c>
    </row>
    <row r="2408" spans="6:7" x14ac:dyDescent="0.25">
      <c r="F2408">
        <v>2405</v>
      </c>
      <c r="G2408">
        <f ca="1">_xlfn.NORM.INV(RAND(),$M$7,$M$8)</f>
        <v>-1.1127082014403973E-2</v>
      </c>
    </row>
    <row r="2409" spans="6:7" x14ac:dyDescent="0.25">
      <c r="F2409">
        <v>2406</v>
      </c>
      <c r="G2409">
        <f ca="1">_xlfn.NORM.INV(RAND(),$M$7,$M$8)</f>
        <v>3.1877989403382302E-2</v>
      </c>
    </row>
    <row r="2410" spans="6:7" x14ac:dyDescent="0.25">
      <c r="F2410">
        <v>2407</v>
      </c>
      <c r="G2410">
        <f ca="1">_xlfn.NORM.INV(RAND(),$M$7,$M$8)</f>
        <v>-2.1507407725919517E-3</v>
      </c>
    </row>
    <row r="2411" spans="6:7" x14ac:dyDescent="0.25">
      <c r="F2411">
        <v>2408</v>
      </c>
      <c r="G2411">
        <f ca="1">_xlfn.NORM.INV(RAND(),$M$7,$M$8)</f>
        <v>3.9247199564044558E-2</v>
      </c>
    </row>
    <row r="2412" spans="6:7" x14ac:dyDescent="0.25">
      <c r="F2412">
        <v>2409</v>
      </c>
      <c r="G2412">
        <f ca="1">_xlfn.NORM.INV(RAND(),$M$7,$M$8)</f>
        <v>1.7682927071045552E-2</v>
      </c>
    </row>
    <row r="2413" spans="6:7" x14ac:dyDescent="0.25">
      <c r="F2413">
        <v>2410</v>
      </c>
      <c r="G2413">
        <f ca="1">_xlfn.NORM.INV(RAND(),$M$7,$M$8)</f>
        <v>-1.2957651640869436E-2</v>
      </c>
    </row>
    <row r="2414" spans="6:7" x14ac:dyDescent="0.25">
      <c r="F2414">
        <v>2411</v>
      </c>
      <c r="G2414">
        <f ca="1">_xlfn.NORM.INV(RAND(),$M$7,$M$8)</f>
        <v>2.9081478742317084E-2</v>
      </c>
    </row>
    <row r="2415" spans="6:7" x14ac:dyDescent="0.25">
      <c r="F2415">
        <v>2412</v>
      </c>
      <c r="G2415">
        <f ca="1">_xlfn.NORM.INV(RAND(),$M$7,$M$8)</f>
        <v>-1.9969900395187173E-2</v>
      </c>
    </row>
    <row r="2416" spans="6:7" x14ac:dyDescent="0.25">
      <c r="F2416">
        <v>2413</v>
      </c>
      <c r="G2416">
        <f ca="1">_xlfn.NORM.INV(RAND(),$M$7,$M$8)</f>
        <v>-2.5807260284515444E-2</v>
      </c>
    </row>
    <row r="2417" spans="6:7" x14ac:dyDescent="0.25">
      <c r="F2417">
        <v>2414</v>
      </c>
      <c r="G2417">
        <f ca="1">_xlfn.NORM.INV(RAND(),$M$7,$M$8)</f>
        <v>-4.2792158925006128E-3</v>
      </c>
    </row>
    <row r="2418" spans="6:7" x14ac:dyDescent="0.25">
      <c r="F2418">
        <v>2415</v>
      </c>
      <c r="G2418">
        <f ca="1">_xlfn.NORM.INV(RAND(),$M$7,$M$8)</f>
        <v>-1.7365398740916166E-2</v>
      </c>
    </row>
    <row r="2419" spans="6:7" x14ac:dyDescent="0.25">
      <c r="F2419">
        <v>2416</v>
      </c>
      <c r="G2419">
        <f ca="1">_xlfn.NORM.INV(RAND(),$M$7,$M$8)</f>
        <v>9.6184651044797648E-3</v>
      </c>
    </row>
    <row r="2420" spans="6:7" x14ac:dyDescent="0.25">
      <c r="F2420">
        <v>2417</v>
      </c>
      <c r="G2420">
        <f ca="1">_xlfn.NORM.INV(RAND(),$M$7,$M$8)</f>
        <v>-4.7864887437547732E-3</v>
      </c>
    </row>
    <row r="2421" spans="6:7" x14ac:dyDescent="0.25">
      <c r="F2421">
        <v>2418</v>
      </c>
      <c r="G2421">
        <f ca="1">_xlfn.NORM.INV(RAND(),$M$7,$M$8)</f>
        <v>-1.4364236285631528E-2</v>
      </c>
    </row>
    <row r="2422" spans="6:7" x14ac:dyDescent="0.25">
      <c r="F2422">
        <v>2419</v>
      </c>
      <c r="G2422">
        <f ca="1">_xlfn.NORM.INV(RAND(),$M$7,$M$8)</f>
        <v>-2.2767420596757442E-2</v>
      </c>
    </row>
    <row r="2423" spans="6:7" x14ac:dyDescent="0.25">
      <c r="F2423">
        <v>2420</v>
      </c>
      <c r="G2423">
        <f ca="1">_xlfn.NORM.INV(RAND(),$M$7,$M$8)</f>
        <v>1.6424032575504774E-2</v>
      </c>
    </row>
    <row r="2424" spans="6:7" x14ac:dyDescent="0.25">
      <c r="F2424">
        <v>2421</v>
      </c>
      <c r="G2424">
        <f ca="1">_xlfn.NORM.INV(RAND(),$M$7,$M$8)</f>
        <v>-2.9352554041151637E-2</v>
      </c>
    </row>
    <row r="2425" spans="6:7" x14ac:dyDescent="0.25">
      <c r="F2425">
        <v>2422</v>
      </c>
      <c r="G2425">
        <f ca="1">_xlfn.NORM.INV(RAND(),$M$7,$M$8)</f>
        <v>2.0130315094267341E-5</v>
      </c>
    </row>
    <row r="2426" spans="6:7" x14ac:dyDescent="0.25">
      <c r="F2426">
        <v>2423</v>
      </c>
      <c r="G2426">
        <f ca="1">_xlfn.NORM.INV(RAND(),$M$7,$M$8)</f>
        <v>-3.9305108892398473E-2</v>
      </c>
    </row>
    <row r="2427" spans="6:7" x14ac:dyDescent="0.25">
      <c r="F2427">
        <v>2424</v>
      </c>
      <c r="G2427">
        <f ca="1">_xlfn.NORM.INV(RAND(),$M$7,$M$8)</f>
        <v>8.2360058748095245E-3</v>
      </c>
    </row>
    <row r="2428" spans="6:7" x14ac:dyDescent="0.25">
      <c r="F2428">
        <v>2425</v>
      </c>
      <c r="G2428">
        <f ca="1">_xlfn.NORM.INV(RAND(),$M$7,$M$8)</f>
        <v>-7.1009356911040829E-3</v>
      </c>
    </row>
    <row r="2429" spans="6:7" x14ac:dyDescent="0.25">
      <c r="F2429">
        <v>2426</v>
      </c>
      <c r="G2429">
        <f ca="1">_xlfn.NORM.INV(RAND(),$M$7,$M$8)</f>
        <v>-1.7825660152538027E-2</v>
      </c>
    </row>
    <row r="2430" spans="6:7" x14ac:dyDescent="0.25">
      <c r="F2430">
        <v>2427</v>
      </c>
      <c r="G2430">
        <f ca="1">_xlfn.NORM.INV(RAND(),$M$7,$M$8)</f>
        <v>-2.6711157157095867E-2</v>
      </c>
    </row>
    <row r="2431" spans="6:7" x14ac:dyDescent="0.25">
      <c r="F2431">
        <v>2428</v>
      </c>
      <c r="G2431">
        <f ca="1">_xlfn.NORM.INV(RAND(),$M$7,$M$8)</f>
        <v>-3.6243478864622952E-2</v>
      </c>
    </row>
    <row r="2432" spans="6:7" x14ac:dyDescent="0.25">
      <c r="F2432">
        <v>2429</v>
      </c>
      <c r="G2432">
        <f ca="1">_xlfn.NORM.INV(RAND(),$M$7,$M$8)</f>
        <v>6.4284464238280586E-3</v>
      </c>
    </row>
    <row r="2433" spans="6:7" x14ac:dyDescent="0.25">
      <c r="F2433">
        <v>2430</v>
      </c>
      <c r="G2433">
        <f ca="1">_xlfn.NORM.INV(RAND(),$M$7,$M$8)</f>
        <v>-6.4387858832263885E-3</v>
      </c>
    </row>
    <row r="2434" spans="6:7" x14ac:dyDescent="0.25">
      <c r="F2434">
        <v>2431</v>
      </c>
      <c r="G2434">
        <f ca="1">_xlfn.NORM.INV(RAND(),$M$7,$M$8)</f>
        <v>2.114394963604826E-3</v>
      </c>
    </row>
    <row r="2435" spans="6:7" x14ac:dyDescent="0.25">
      <c r="F2435">
        <v>2432</v>
      </c>
      <c r="G2435">
        <f ca="1">_xlfn.NORM.INV(RAND(),$M$7,$M$8)</f>
        <v>-2.6543190369824814E-2</v>
      </c>
    </row>
    <row r="2436" spans="6:7" x14ac:dyDescent="0.25">
      <c r="F2436">
        <v>2433</v>
      </c>
      <c r="G2436">
        <f ca="1">_xlfn.NORM.INV(RAND(),$M$7,$M$8)</f>
        <v>-2.4148301413877398E-2</v>
      </c>
    </row>
    <row r="2437" spans="6:7" x14ac:dyDescent="0.25">
      <c r="F2437">
        <v>2434</v>
      </c>
      <c r="G2437">
        <f ca="1">_xlfn.NORM.INV(RAND(),$M$7,$M$8)</f>
        <v>-1.0982748901088508E-2</v>
      </c>
    </row>
    <row r="2438" spans="6:7" x14ac:dyDescent="0.25">
      <c r="F2438">
        <v>2435</v>
      </c>
      <c r="G2438">
        <f ca="1">_xlfn.NORM.INV(RAND(),$M$7,$M$8)</f>
        <v>-1.8080449873158377E-2</v>
      </c>
    </row>
    <row r="2439" spans="6:7" x14ac:dyDescent="0.25">
      <c r="F2439">
        <v>2436</v>
      </c>
      <c r="G2439">
        <f ca="1">_xlfn.NORM.INV(RAND(),$M$7,$M$8)</f>
        <v>2.5364567838699805E-2</v>
      </c>
    </row>
    <row r="2440" spans="6:7" x14ac:dyDescent="0.25">
      <c r="F2440">
        <v>2437</v>
      </c>
      <c r="G2440">
        <f ca="1">_xlfn.NORM.INV(RAND(),$M$7,$M$8)</f>
        <v>1.0949493673152986E-2</v>
      </c>
    </row>
    <row r="2441" spans="6:7" x14ac:dyDescent="0.25">
      <c r="F2441">
        <v>2438</v>
      </c>
      <c r="G2441">
        <f ca="1">_xlfn.NORM.INV(RAND(),$M$7,$M$8)</f>
        <v>8.7627115660679645E-3</v>
      </c>
    </row>
    <row r="2442" spans="6:7" x14ac:dyDescent="0.25">
      <c r="F2442">
        <v>2439</v>
      </c>
      <c r="G2442">
        <f ca="1">_xlfn.NORM.INV(RAND(),$M$7,$M$8)</f>
        <v>2.1568856769979803E-2</v>
      </c>
    </row>
    <row r="2443" spans="6:7" x14ac:dyDescent="0.25">
      <c r="F2443">
        <v>2440</v>
      </c>
      <c r="G2443">
        <f ca="1">_xlfn.NORM.INV(RAND(),$M$7,$M$8)</f>
        <v>-8.2919916991320269E-3</v>
      </c>
    </row>
    <row r="2444" spans="6:7" x14ac:dyDescent="0.25">
      <c r="F2444">
        <v>2441</v>
      </c>
      <c r="G2444">
        <f ca="1">_xlfn.NORM.INV(RAND(),$M$7,$M$8)</f>
        <v>-3.1904537396574019E-3</v>
      </c>
    </row>
    <row r="2445" spans="6:7" x14ac:dyDescent="0.25">
      <c r="F2445">
        <v>2442</v>
      </c>
      <c r="G2445">
        <f ca="1">_xlfn.NORM.INV(RAND(),$M$7,$M$8)</f>
        <v>6.8114839990682741E-2</v>
      </c>
    </row>
    <row r="2446" spans="6:7" x14ac:dyDescent="0.25">
      <c r="F2446">
        <v>2443</v>
      </c>
      <c r="G2446">
        <f ca="1">_xlfn.NORM.INV(RAND(),$M$7,$M$8)</f>
        <v>1.7569888081657572E-2</v>
      </c>
    </row>
    <row r="2447" spans="6:7" x14ac:dyDescent="0.25">
      <c r="F2447">
        <v>2444</v>
      </c>
      <c r="G2447">
        <f ca="1">_xlfn.NORM.INV(RAND(),$M$7,$M$8)</f>
        <v>-5.5640977976622475E-3</v>
      </c>
    </row>
    <row r="2448" spans="6:7" x14ac:dyDescent="0.25">
      <c r="F2448">
        <v>2445</v>
      </c>
      <c r="G2448">
        <f ca="1">_xlfn.NORM.INV(RAND(),$M$7,$M$8)</f>
        <v>4.610130533213192E-3</v>
      </c>
    </row>
    <row r="2449" spans="6:7" x14ac:dyDescent="0.25">
      <c r="F2449">
        <v>2446</v>
      </c>
      <c r="G2449">
        <f ca="1">_xlfn.NORM.INV(RAND(),$M$7,$M$8)</f>
        <v>-4.7571943806026668E-2</v>
      </c>
    </row>
    <row r="2450" spans="6:7" x14ac:dyDescent="0.25">
      <c r="F2450">
        <v>2447</v>
      </c>
      <c r="G2450">
        <f ca="1">_xlfn.NORM.INV(RAND(),$M$7,$M$8)</f>
        <v>8.2449101499663582E-3</v>
      </c>
    </row>
    <row r="2451" spans="6:7" x14ac:dyDescent="0.25">
      <c r="F2451">
        <v>2448</v>
      </c>
      <c r="G2451">
        <f ca="1">_xlfn.NORM.INV(RAND(),$M$7,$M$8)</f>
        <v>-1.7211694407952803E-2</v>
      </c>
    </row>
    <row r="2452" spans="6:7" x14ac:dyDescent="0.25">
      <c r="F2452">
        <v>2449</v>
      </c>
      <c r="G2452">
        <f ca="1">_xlfn.NORM.INV(RAND(),$M$7,$M$8)</f>
        <v>1.1949745145817496E-2</v>
      </c>
    </row>
    <row r="2453" spans="6:7" x14ac:dyDescent="0.25">
      <c r="F2453">
        <v>2450</v>
      </c>
      <c r="G2453">
        <f ca="1">_xlfn.NORM.INV(RAND(),$M$7,$M$8)</f>
        <v>-1.7106284171729803E-2</v>
      </c>
    </row>
    <row r="2454" spans="6:7" x14ac:dyDescent="0.25">
      <c r="F2454">
        <v>2451</v>
      </c>
      <c r="G2454">
        <f ca="1">_xlfn.NORM.INV(RAND(),$M$7,$M$8)</f>
        <v>1.2081747113360042E-2</v>
      </c>
    </row>
    <row r="2455" spans="6:7" x14ac:dyDescent="0.25">
      <c r="F2455">
        <v>2452</v>
      </c>
      <c r="G2455">
        <f ca="1">_xlfn.NORM.INV(RAND(),$M$7,$M$8)</f>
        <v>5.5060045984306277E-2</v>
      </c>
    </row>
    <row r="2456" spans="6:7" x14ac:dyDescent="0.25">
      <c r="F2456">
        <v>2453</v>
      </c>
      <c r="G2456">
        <f ca="1">_xlfn.NORM.INV(RAND(),$M$7,$M$8)</f>
        <v>-4.5408014148643552E-3</v>
      </c>
    </row>
    <row r="2457" spans="6:7" x14ac:dyDescent="0.25">
      <c r="F2457">
        <v>2454</v>
      </c>
      <c r="G2457">
        <f ca="1">_xlfn.NORM.INV(RAND(),$M$7,$M$8)</f>
        <v>-8.5358879553733245E-3</v>
      </c>
    </row>
    <row r="2458" spans="6:7" x14ac:dyDescent="0.25">
      <c r="F2458">
        <v>2455</v>
      </c>
      <c r="G2458">
        <f ca="1">_xlfn.NORM.INV(RAND(),$M$7,$M$8)</f>
        <v>-1.6575987648505307E-3</v>
      </c>
    </row>
    <row r="2459" spans="6:7" x14ac:dyDescent="0.25">
      <c r="F2459">
        <v>2456</v>
      </c>
      <c r="G2459">
        <f ca="1">_xlfn.NORM.INV(RAND(),$M$7,$M$8)</f>
        <v>-2.4758292867188881E-2</v>
      </c>
    </row>
    <row r="2460" spans="6:7" x14ac:dyDescent="0.25">
      <c r="F2460">
        <v>2457</v>
      </c>
      <c r="G2460">
        <f ca="1">_xlfn.NORM.INV(RAND(),$M$7,$M$8)</f>
        <v>1.0051409785677295E-3</v>
      </c>
    </row>
    <row r="2461" spans="6:7" x14ac:dyDescent="0.25">
      <c r="F2461">
        <v>2458</v>
      </c>
      <c r="G2461">
        <f ca="1">_xlfn.NORM.INV(RAND(),$M$7,$M$8)</f>
        <v>-1.4123533187807102E-2</v>
      </c>
    </row>
    <row r="2462" spans="6:7" x14ac:dyDescent="0.25">
      <c r="F2462">
        <v>2459</v>
      </c>
      <c r="G2462">
        <f ca="1">_xlfn.NORM.INV(RAND(),$M$7,$M$8)</f>
        <v>1.8002124422679543E-3</v>
      </c>
    </row>
    <row r="2463" spans="6:7" x14ac:dyDescent="0.25">
      <c r="F2463">
        <v>2460</v>
      </c>
      <c r="G2463">
        <f ca="1">_xlfn.NORM.INV(RAND(),$M$7,$M$8)</f>
        <v>-2.1090237769998816E-2</v>
      </c>
    </row>
    <row r="2464" spans="6:7" x14ac:dyDescent="0.25">
      <c r="F2464">
        <v>2461</v>
      </c>
      <c r="G2464">
        <f ca="1">_xlfn.NORM.INV(RAND(),$M$7,$M$8)</f>
        <v>-1.3359249549469241E-2</v>
      </c>
    </row>
    <row r="2465" spans="6:7" x14ac:dyDescent="0.25">
      <c r="F2465">
        <v>2462</v>
      </c>
      <c r="G2465">
        <f ca="1">_xlfn.NORM.INV(RAND(),$M$7,$M$8)</f>
        <v>-2.8530247142426041E-2</v>
      </c>
    </row>
    <row r="2466" spans="6:7" x14ac:dyDescent="0.25">
      <c r="F2466">
        <v>2463</v>
      </c>
      <c r="G2466">
        <f ca="1">_xlfn.NORM.INV(RAND(),$M$7,$M$8)</f>
        <v>9.968986630924364E-3</v>
      </c>
    </row>
    <row r="2467" spans="6:7" x14ac:dyDescent="0.25">
      <c r="F2467">
        <v>2464</v>
      </c>
      <c r="G2467">
        <f ca="1">_xlfn.NORM.INV(RAND(),$M$7,$M$8)</f>
        <v>1.1871720955578403E-2</v>
      </c>
    </row>
    <row r="2468" spans="6:7" x14ac:dyDescent="0.25">
      <c r="F2468">
        <v>2465</v>
      </c>
      <c r="G2468">
        <f ca="1">_xlfn.NORM.INV(RAND(),$M$7,$M$8)</f>
        <v>5.3506854270201146E-2</v>
      </c>
    </row>
    <row r="2469" spans="6:7" x14ac:dyDescent="0.25">
      <c r="F2469">
        <v>2466</v>
      </c>
      <c r="G2469">
        <f ca="1">_xlfn.NORM.INV(RAND(),$M$7,$M$8)</f>
        <v>2.2848212781459355E-2</v>
      </c>
    </row>
    <row r="2470" spans="6:7" x14ac:dyDescent="0.25">
      <c r="F2470">
        <v>2467</v>
      </c>
      <c r="G2470">
        <f ca="1">_xlfn.NORM.INV(RAND(),$M$7,$M$8)</f>
        <v>1.7129065120350302E-2</v>
      </c>
    </row>
    <row r="2471" spans="6:7" x14ac:dyDescent="0.25">
      <c r="F2471">
        <v>2468</v>
      </c>
      <c r="G2471">
        <f ca="1">_xlfn.NORM.INV(RAND(),$M$7,$M$8)</f>
        <v>5.6948963147628283E-3</v>
      </c>
    </row>
    <row r="2472" spans="6:7" x14ac:dyDescent="0.25">
      <c r="F2472">
        <v>2469</v>
      </c>
      <c r="G2472">
        <f ca="1">_xlfn.NORM.INV(RAND(),$M$7,$M$8)</f>
        <v>-2.2519555456963165E-2</v>
      </c>
    </row>
    <row r="2473" spans="6:7" x14ac:dyDescent="0.25">
      <c r="F2473">
        <v>2470</v>
      </c>
      <c r="G2473">
        <f ca="1">_xlfn.NORM.INV(RAND(),$M$7,$M$8)</f>
        <v>-3.6867740529858882E-2</v>
      </c>
    </row>
    <row r="2474" spans="6:7" x14ac:dyDescent="0.25">
      <c r="F2474">
        <v>2471</v>
      </c>
      <c r="G2474">
        <f ca="1">_xlfn.NORM.INV(RAND(),$M$7,$M$8)</f>
        <v>2.5976515316323077E-2</v>
      </c>
    </row>
    <row r="2475" spans="6:7" x14ac:dyDescent="0.25">
      <c r="F2475">
        <v>2472</v>
      </c>
      <c r="G2475">
        <f ca="1">_xlfn.NORM.INV(RAND(),$M$7,$M$8)</f>
        <v>6.0595508873939476E-2</v>
      </c>
    </row>
    <row r="2476" spans="6:7" x14ac:dyDescent="0.25">
      <c r="F2476">
        <v>2473</v>
      </c>
      <c r="G2476">
        <f ca="1">_xlfn.NORM.INV(RAND(),$M$7,$M$8)</f>
        <v>9.8340898648400597E-3</v>
      </c>
    </row>
    <row r="2477" spans="6:7" x14ac:dyDescent="0.25">
      <c r="F2477">
        <v>2474</v>
      </c>
      <c r="G2477">
        <f ca="1">_xlfn.NORM.INV(RAND(),$M$7,$M$8)</f>
        <v>1.7810476809535982E-2</v>
      </c>
    </row>
    <row r="2478" spans="6:7" x14ac:dyDescent="0.25">
      <c r="F2478">
        <v>2475</v>
      </c>
      <c r="G2478">
        <f ca="1">_xlfn.NORM.INV(RAND(),$M$7,$M$8)</f>
        <v>1.5743697185681797E-2</v>
      </c>
    </row>
    <row r="2479" spans="6:7" x14ac:dyDescent="0.25">
      <c r="F2479">
        <v>2476</v>
      </c>
      <c r="G2479">
        <f ca="1">_xlfn.NORM.INV(RAND(),$M$7,$M$8)</f>
        <v>4.4328743710047927E-2</v>
      </c>
    </row>
    <row r="2480" spans="6:7" x14ac:dyDescent="0.25">
      <c r="F2480">
        <v>2477</v>
      </c>
      <c r="G2480">
        <f ca="1">_xlfn.NORM.INV(RAND(),$M$7,$M$8)</f>
        <v>2.9004878907330004E-2</v>
      </c>
    </row>
    <row r="2481" spans="6:7" x14ac:dyDescent="0.25">
      <c r="F2481">
        <v>2478</v>
      </c>
      <c r="G2481">
        <f ca="1">_xlfn.NORM.INV(RAND(),$M$7,$M$8)</f>
        <v>3.7165771464656196E-3</v>
      </c>
    </row>
    <row r="2482" spans="6:7" x14ac:dyDescent="0.25">
      <c r="F2482">
        <v>2479</v>
      </c>
      <c r="G2482">
        <f ca="1">_xlfn.NORM.INV(RAND(),$M$7,$M$8)</f>
        <v>-1.4942710781720825E-2</v>
      </c>
    </row>
    <row r="2483" spans="6:7" x14ac:dyDescent="0.25">
      <c r="F2483">
        <v>2480</v>
      </c>
      <c r="G2483">
        <f ca="1">_xlfn.NORM.INV(RAND(),$M$7,$M$8)</f>
        <v>-4.6083961960986103E-3</v>
      </c>
    </row>
    <row r="2484" spans="6:7" x14ac:dyDescent="0.25">
      <c r="F2484">
        <v>2481</v>
      </c>
      <c r="G2484">
        <f ca="1">_xlfn.NORM.INV(RAND(),$M$7,$M$8)</f>
        <v>4.3021962089677124E-2</v>
      </c>
    </row>
    <row r="2485" spans="6:7" x14ac:dyDescent="0.25">
      <c r="F2485">
        <v>2482</v>
      </c>
      <c r="G2485">
        <f ca="1">_xlfn.NORM.INV(RAND(),$M$7,$M$8)</f>
        <v>3.297265030085057E-3</v>
      </c>
    </row>
    <row r="2486" spans="6:7" x14ac:dyDescent="0.25">
      <c r="F2486">
        <v>2483</v>
      </c>
      <c r="G2486">
        <f ca="1">_xlfn.NORM.INV(RAND(),$M$7,$M$8)</f>
        <v>4.8694208880559933E-2</v>
      </c>
    </row>
    <row r="2487" spans="6:7" x14ac:dyDescent="0.25">
      <c r="F2487">
        <v>2484</v>
      </c>
      <c r="G2487">
        <f ca="1">_xlfn.NORM.INV(RAND(),$M$7,$M$8)</f>
        <v>3.3723491365598005E-2</v>
      </c>
    </row>
    <row r="2488" spans="6:7" x14ac:dyDescent="0.25">
      <c r="F2488">
        <v>2485</v>
      </c>
      <c r="G2488">
        <f ca="1">_xlfn.NORM.INV(RAND(),$M$7,$M$8)</f>
        <v>3.1801774065791599E-2</v>
      </c>
    </row>
    <row r="2489" spans="6:7" x14ac:dyDescent="0.25">
      <c r="F2489">
        <v>2486</v>
      </c>
      <c r="G2489">
        <f ca="1">_xlfn.NORM.INV(RAND(),$M$7,$M$8)</f>
        <v>-2.0502784001765065E-3</v>
      </c>
    </row>
    <row r="2490" spans="6:7" x14ac:dyDescent="0.25">
      <c r="F2490">
        <v>2487</v>
      </c>
      <c r="G2490">
        <f ca="1">_xlfn.NORM.INV(RAND(),$M$7,$M$8)</f>
        <v>-1.5709193627631759E-2</v>
      </c>
    </row>
    <row r="2491" spans="6:7" x14ac:dyDescent="0.25">
      <c r="F2491">
        <v>2488</v>
      </c>
      <c r="G2491">
        <f ca="1">_xlfn.NORM.INV(RAND(),$M$7,$M$8)</f>
        <v>-8.7997169787606289E-3</v>
      </c>
    </row>
    <row r="2492" spans="6:7" x14ac:dyDescent="0.25">
      <c r="F2492">
        <v>2489</v>
      </c>
      <c r="G2492">
        <f ca="1">_xlfn.NORM.INV(RAND(),$M$7,$M$8)</f>
        <v>-1.659445394083587E-2</v>
      </c>
    </row>
    <row r="2493" spans="6:7" x14ac:dyDescent="0.25">
      <c r="F2493">
        <v>2490</v>
      </c>
      <c r="G2493">
        <f ca="1">_xlfn.NORM.INV(RAND(),$M$7,$M$8)</f>
        <v>2.180209630494408E-2</v>
      </c>
    </row>
    <row r="2494" spans="6:7" x14ac:dyDescent="0.25">
      <c r="F2494">
        <v>2491</v>
      </c>
      <c r="G2494">
        <f ca="1">_xlfn.NORM.INV(RAND(),$M$7,$M$8)</f>
        <v>6.6232563113377326E-3</v>
      </c>
    </row>
    <row r="2495" spans="6:7" x14ac:dyDescent="0.25">
      <c r="F2495">
        <v>2492</v>
      </c>
      <c r="G2495">
        <f ca="1">_xlfn.NORM.INV(RAND(),$M$7,$M$8)</f>
        <v>-5.413459651830551E-2</v>
      </c>
    </row>
    <row r="2496" spans="6:7" x14ac:dyDescent="0.25">
      <c r="F2496">
        <v>2493</v>
      </c>
      <c r="G2496">
        <f ca="1">_xlfn.NORM.INV(RAND(),$M$7,$M$8)</f>
        <v>-3.0136638861350176E-2</v>
      </c>
    </row>
    <row r="2497" spans="6:7" x14ac:dyDescent="0.25">
      <c r="F2497">
        <v>2494</v>
      </c>
      <c r="G2497">
        <f ca="1">_xlfn.NORM.INV(RAND(),$M$7,$M$8)</f>
        <v>1.278164956597035E-2</v>
      </c>
    </row>
    <row r="2498" spans="6:7" x14ac:dyDescent="0.25">
      <c r="F2498">
        <v>2495</v>
      </c>
      <c r="G2498">
        <f ca="1">_xlfn.NORM.INV(RAND(),$M$7,$M$8)</f>
        <v>5.9034419756634777E-3</v>
      </c>
    </row>
    <row r="2499" spans="6:7" x14ac:dyDescent="0.25">
      <c r="F2499">
        <v>2496</v>
      </c>
      <c r="G2499">
        <f ca="1">_xlfn.NORM.INV(RAND(),$M$7,$M$8)</f>
        <v>-1.9411158883683548E-2</v>
      </c>
    </row>
    <row r="2500" spans="6:7" x14ac:dyDescent="0.25">
      <c r="F2500">
        <v>2497</v>
      </c>
      <c r="G2500">
        <f ca="1">_xlfn.NORM.INV(RAND(),$M$7,$M$8)</f>
        <v>2.3509737833231643E-2</v>
      </c>
    </row>
    <row r="2501" spans="6:7" x14ac:dyDescent="0.25">
      <c r="F2501">
        <v>2498</v>
      </c>
      <c r="G2501">
        <f ca="1">_xlfn.NORM.INV(RAND(),$M$7,$M$8)</f>
        <v>1.4190994688756611E-2</v>
      </c>
    </row>
    <row r="2502" spans="6:7" x14ac:dyDescent="0.25">
      <c r="F2502">
        <v>2499</v>
      </c>
      <c r="G2502">
        <f ca="1">_xlfn.NORM.INV(RAND(),$M$7,$M$8)</f>
        <v>-1.0207343319404524E-2</v>
      </c>
    </row>
    <row r="2503" spans="6:7" x14ac:dyDescent="0.25">
      <c r="F2503">
        <v>2500</v>
      </c>
      <c r="G2503">
        <f ca="1">_xlfn.NORM.INV(RAND(),$M$7,$M$8)</f>
        <v>4.1526983011084075E-4</v>
      </c>
    </row>
    <row r="2504" spans="6:7" x14ac:dyDescent="0.25">
      <c r="F2504">
        <v>2501</v>
      </c>
      <c r="G2504">
        <f ca="1">_xlfn.NORM.INV(RAND(),$M$7,$M$8)</f>
        <v>4.8633827963219731E-3</v>
      </c>
    </row>
    <row r="2505" spans="6:7" x14ac:dyDescent="0.25">
      <c r="F2505">
        <v>2502</v>
      </c>
      <c r="G2505">
        <f ca="1">_xlfn.NORM.INV(RAND(),$M$7,$M$8)</f>
        <v>-2.2818713161030335E-3</v>
      </c>
    </row>
    <row r="2506" spans="6:7" x14ac:dyDescent="0.25">
      <c r="F2506">
        <v>2503</v>
      </c>
      <c r="G2506">
        <f ca="1">_xlfn.NORM.INV(RAND(),$M$7,$M$8)</f>
        <v>1.3018862589938793E-2</v>
      </c>
    </row>
    <row r="2507" spans="6:7" x14ac:dyDescent="0.25">
      <c r="F2507">
        <v>2504</v>
      </c>
      <c r="G2507">
        <f ca="1">_xlfn.NORM.INV(RAND(),$M$7,$M$8)</f>
        <v>-2.4539921553659749E-2</v>
      </c>
    </row>
    <row r="2508" spans="6:7" x14ac:dyDescent="0.25">
      <c r="F2508">
        <v>2505</v>
      </c>
      <c r="G2508">
        <f ca="1">_xlfn.NORM.INV(RAND(),$M$7,$M$8)</f>
        <v>-7.0268302951453868E-3</v>
      </c>
    </row>
    <row r="2509" spans="6:7" x14ac:dyDescent="0.25">
      <c r="F2509">
        <v>2506</v>
      </c>
      <c r="G2509">
        <f ca="1">_xlfn.NORM.INV(RAND(),$M$7,$M$8)</f>
        <v>-1.7736292267333968E-2</v>
      </c>
    </row>
    <row r="2510" spans="6:7" x14ac:dyDescent="0.25">
      <c r="F2510">
        <v>2507</v>
      </c>
      <c r="G2510">
        <f ca="1">_xlfn.NORM.INV(RAND(),$M$7,$M$8)</f>
        <v>1.3411623558186455E-2</v>
      </c>
    </row>
    <row r="2511" spans="6:7" x14ac:dyDescent="0.25">
      <c r="F2511">
        <v>2508</v>
      </c>
      <c r="G2511">
        <f ca="1">_xlfn.NORM.INV(RAND(),$M$7,$M$8)</f>
        <v>1.930847228943143E-2</v>
      </c>
    </row>
    <row r="2512" spans="6:7" x14ac:dyDescent="0.25">
      <c r="F2512">
        <v>2509</v>
      </c>
      <c r="G2512">
        <f ca="1">_xlfn.NORM.INV(RAND(),$M$7,$M$8)</f>
        <v>-9.3273035660834166E-3</v>
      </c>
    </row>
    <row r="2513" spans="6:7" x14ac:dyDescent="0.25">
      <c r="F2513">
        <v>2510</v>
      </c>
      <c r="G2513">
        <f ca="1">_xlfn.NORM.INV(RAND(),$M$7,$M$8)</f>
        <v>7.938744805965561E-3</v>
      </c>
    </row>
    <row r="2514" spans="6:7" x14ac:dyDescent="0.25">
      <c r="F2514">
        <v>2511</v>
      </c>
      <c r="G2514">
        <f ca="1">_xlfn.NORM.INV(RAND(),$M$7,$M$8)</f>
        <v>-2.7418801053671935E-2</v>
      </c>
    </row>
    <row r="2515" spans="6:7" x14ac:dyDescent="0.25">
      <c r="F2515">
        <v>2512</v>
      </c>
      <c r="G2515">
        <f ca="1">_xlfn.NORM.INV(RAND(),$M$7,$M$8)</f>
        <v>3.3224827619715721E-3</v>
      </c>
    </row>
    <row r="2516" spans="6:7" x14ac:dyDescent="0.25">
      <c r="F2516">
        <v>2513</v>
      </c>
      <c r="G2516">
        <f ca="1">_xlfn.NORM.INV(RAND(),$M$7,$M$8)</f>
        <v>3.6587882587845767E-2</v>
      </c>
    </row>
    <row r="2517" spans="6:7" x14ac:dyDescent="0.25">
      <c r="F2517">
        <v>2514</v>
      </c>
      <c r="G2517">
        <f ca="1">_xlfn.NORM.INV(RAND(),$M$7,$M$8)</f>
        <v>-1.4854733750583063E-2</v>
      </c>
    </row>
    <row r="2518" spans="6:7" x14ac:dyDescent="0.25">
      <c r="F2518">
        <v>2515</v>
      </c>
      <c r="G2518">
        <f ca="1">_xlfn.NORM.INV(RAND(),$M$7,$M$8)</f>
        <v>-1.6774518926578664E-3</v>
      </c>
    </row>
    <row r="2519" spans="6:7" x14ac:dyDescent="0.25">
      <c r="F2519">
        <v>2516</v>
      </c>
      <c r="G2519">
        <f ca="1">_xlfn.NORM.INV(RAND(),$M$7,$M$8)</f>
        <v>7.3645611927591961E-3</v>
      </c>
    </row>
    <row r="2520" spans="6:7" x14ac:dyDescent="0.25">
      <c r="F2520">
        <v>2517</v>
      </c>
      <c r="G2520">
        <f ca="1">_xlfn.NORM.INV(RAND(),$M$7,$M$8)</f>
        <v>2.0005329472538087E-2</v>
      </c>
    </row>
    <row r="2521" spans="6:7" x14ac:dyDescent="0.25">
      <c r="F2521">
        <v>2518</v>
      </c>
      <c r="G2521">
        <f ca="1">_xlfn.NORM.INV(RAND(),$M$7,$M$8)</f>
        <v>-1.9578024894669373E-2</v>
      </c>
    </row>
    <row r="2522" spans="6:7" x14ac:dyDescent="0.25">
      <c r="F2522">
        <v>2519</v>
      </c>
      <c r="G2522">
        <f ca="1">_xlfn.NORM.INV(RAND(),$M$7,$M$8)</f>
        <v>8.7910168668956547E-3</v>
      </c>
    </row>
    <row r="2523" spans="6:7" x14ac:dyDescent="0.25">
      <c r="F2523">
        <v>2520</v>
      </c>
      <c r="G2523">
        <f ca="1">_xlfn.NORM.INV(RAND(),$M$7,$M$8)</f>
        <v>1.334496981534123E-2</v>
      </c>
    </row>
    <row r="2524" spans="6:7" x14ac:dyDescent="0.25">
      <c r="F2524">
        <v>2521</v>
      </c>
      <c r="G2524">
        <f ca="1">_xlfn.NORM.INV(RAND(),$M$7,$M$8)</f>
        <v>3.6597644536376303E-2</v>
      </c>
    </row>
    <row r="2525" spans="6:7" x14ac:dyDescent="0.25">
      <c r="F2525">
        <v>2522</v>
      </c>
      <c r="G2525">
        <f ca="1">_xlfn.NORM.INV(RAND(),$M$7,$M$8)</f>
        <v>-2.8101558764797363E-2</v>
      </c>
    </row>
    <row r="2526" spans="6:7" x14ac:dyDescent="0.25">
      <c r="F2526">
        <v>2523</v>
      </c>
      <c r="G2526">
        <f ca="1">_xlfn.NORM.INV(RAND(),$M$7,$M$8)</f>
        <v>-2.9729737960889047E-3</v>
      </c>
    </row>
    <row r="2527" spans="6:7" x14ac:dyDescent="0.25">
      <c r="F2527">
        <v>2524</v>
      </c>
      <c r="G2527">
        <f ca="1">_xlfn.NORM.INV(RAND(),$M$7,$M$8)</f>
        <v>-1.244998013447567E-3</v>
      </c>
    </row>
    <row r="2528" spans="6:7" x14ac:dyDescent="0.25">
      <c r="F2528">
        <v>2525</v>
      </c>
      <c r="G2528">
        <f ca="1">_xlfn.NORM.INV(RAND(),$M$7,$M$8)</f>
        <v>1.5364934641893032E-2</v>
      </c>
    </row>
    <row r="2529" spans="6:7" x14ac:dyDescent="0.25">
      <c r="F2529">
        <v>2526</v>
      </c>
      <c r="G2529">
        <f ca="1">_xlfn.NORM.INV(RAND(),$M$7,$M$8)</f>
        <v>-4.3655233708773614E-3</v>
      </c>
    </row>
    <row r="2530" spans="6:7" x14ac:dyDescent="0.25">
      <c r="F2530">
        <v>2527</v>
      </c>
      <c r="G2530">
        <f ca="1">_xlfn.NORM.INV(RAND(),$M$7,$M$8)</f>
        <v>1.8537264028925068E-2</v>
      </c>
    </row>
    <row r="2531" spans="6:7" x14ac:dyDescent="0.25">
      <c r="F2531">
        <v>2528</v>
      </c>
      <c r="G2531">
        <f ca="1">_xlfn.NORM.INV(RAND(),$M$7,$M$8)</f>
        <v>2.0317356102188155E-2</v>
      </c>
    </row>
    <row r="2532" spans="6:7" x14ac:dyDescent="0.25">
      <c r="F2532">
        <v>2529</v>
      </c>
      <c r="G2532">
        <f ca="1">_xlfn.NORM.INV(RAND(),$M$7,$M$8)</f>
        <v>6.7455915372547193E-2</v>
      </c>
    </row>
    <row r="2533" spans="6:7" x14ac:dyDescent="0.25">
      <c r="F2533">
        <v>2530</v>
      </c>
      <c r="G2533">
        <f ca="1">_xlfn.NORM.INV(RAND(),$M$7,$M$8)</f>
        <v>-7.4219705357259861E-3</v>
      </c>
    </row>
    <row r="2534" spans="6:7" x14ac:dyDescent="0.25">
      <c r="F2534">
        <v>2531</v>
      </c>
      <c r="G2534">
        <f ca="1">_xlfn.NORM.INV(RAND(),$M$7,$M$8)</f>
        <v>-4.3953919164903245E-2</v>
      </c>
    </row>
    <row r="2535" spans="6:7" x14ac:dyDescent="0.25">
      <c r="F2535">
        <v>2532</v>
      </c>
      <c r="G2535">
        <f ca="1">_xlfn.NORM.INV(RAND(),$M$7,$M$8)</f>
        <v>-1.711142144679938E-2</v>
      </c>
    </row>
    <row r="2536" spans="6:7" x14ac:dyDescent="0.25">
      <c r="F2536">
        <v>2533</v>
      </c>
      <c r="G2536">
        <f ca="1">_xlfn.NORM.INV(RAND(),$M$7,$M$8)</f>
        <v>-1.5258835502608658E-2</v>
      </c>
    </row>
    <row r="2537" spans="6:7" x14ac:dyDescent="0.25">
      <c r="F2537">
        <v>2534</v>
      </c>
      <c r="G2537">
        <f ca="1">_xlfn.NORM.INV(RAND(),$M$7,$M$8)</f>
        <v>1.3938603164974639E-2</v>
      </c>
    </row>
    <row r="2538" spans="6:7" x14ac:dyDescent="0.25">
      <c r="F2538">
        <v>2535</v>
      </c>
      <c r="G2538">
        <f ca="1">_xlfn.NORM.INV(RAND(),$M$7,$M$8)</f>
        <v>-3.7309885262513998E-2</v>
      </c>
    </row>
    <row r="2539" spans="6:7" x14ac:dyDescent="0.25">
      <c r="F2539">
        <v>2536</v>
      </c>
      <c r="G2539">
        <f ca="1">_xlfn.NORM.INV(RAND(),$M$7,$M$8)</f>
        <v>-9.4134257112379032E-3</v>
      </c>
    </row>
    <row r="2540" spans="6:7" x14ac:dyDescent="0.25">
      <c r="F2540">
        <v>2537</v>
      </c>
      <c r="G2540">
        <f ca="1">_xlfn.NORM.INV(RAND(),$M$7,$M$8)</f>
        <v>1.6360736216021996E-2</v>
      </c>
    </row>
    <row r="2541" spans="6:7" x14ac:dyDescent="0.25">
      <c r="F2541">
        <v>2538</v>
      </c>
      <c r="G2541">
        <f ca="1">_xlfn.NORM.INV(RAND(),$M$7,$M$8)</f>
        <v>1.6810921709174399E-2</v>
      </c>
    </row>
    <row r="2542" spans="6:7" x14ac:dyDescent="0.25">
      <c r="F2542">
        <v>2539</v>
      </c>
      <c r="G2542">
        <f ca="1">_xlfn.NORM.INV(RAND(),$M$7,$M$8)</f>
        <v>1.7445202869845844E-3</v>
      </c>
    </row>
    <row r="2543" spans="6:7" x14ac:dyDescent="0.25">
      <c r="F2543">
        <v>2540</v>
      </c>
      <c r="G2543">
        <f ca="1">_xlfn.NORM.INV(RAND(),$M$7,$M$8)</f>
        <v>1.4403053280822272E-2</v>
      </c>
    </row>
    <row r="2544" spans="6:7" x14ac:dyDescent="0.25">
      <c r="F2544">
        <v>2541</v>
      </c>
      <c r="G2544">
        <f ca="1">_xlfn.NORM.INV(RAND(),$M$7,$M$8)</f>
        <v>-1.4170354741046555E-2</v>
      </c>
    </row>
    <row r="2545" spans="6:7" x14ac:dyDescent="0.25">
      <c r="F2545">
        <v>2542</v>
      </c>
      <c r="G2545">
        <f ca="1">_xlfn.NORM.INV(RAND(),$M$7,$M$8)</f>
        <v>3.0985950611751512E-2</v>
      </c>
    </row>
    <row r="2546" spans="6:7" x14ac:dyDescent="0.25">
      <c r="F2546">
        <v>2543</v>
      </c>
      <c r="G2546">
        <f ca="1">_xlfn.NORM.INV(RAND(),$M$7,$M$8)</f>
        <v>1.5461980403299481E-3</v>
      </c>
    </row>
    <row r="2547" spans="6:7" x14ac:dyDescent="0.25">
      <c r="F2547">
        <v>2544</v>
      </c>
      <c r="G2547">
        <f ca="1">_xlfn.NORM.INV(RAND(),$M$7,$M$8)</f>
        <v>1.3630531622600263E-3</v>
      </c>
    </row>
    <row r="2548" spans="6:7" x14ac:dyDescent="0.25">
      <c r="F2548">
        <v>2545</v>
      </c>
      <c r="G2548">
        <f ca="1">_xlfn.NORM.INV(RAND(),$M$7,$M$8)</f>
        <v>-2.3822314434996692E-2</v>
      </c>
    </row>
    <row r="2549" spans="6:7" x14ac:dyDescent="0.25">
      <c r="F2549">
        <v>2546</v>
      </c>
      <c r="G2549">
        <f ca="1">_xlfn.NORM.INV(RAND(),$M$7,$M$8)</f>
        <v>1.5234300602334846E-2</v>
      </c>
    </row>
    <row r="2550" spans="6:7" x14ac:dyDescent="0.25">
      <c r="F2550">
        <v>2547</v>
      </c>
      <c r="G2550">
        <f ca="1">_xlfn.NORM.INV(RAND(),$M$7,$M$8)</f>
        <v>-8.0442333297930466E-3</v>
      </c>
    </row>
    <row r="2551" spans="6:7" x14ac:dyDescent="0.25">
      <c r="F2551">
        <v>2548</v>
      </c>
      <c r="G2551">
        <f ca="1">_xlfn.NORM.INV(RAND(),$M$7,$M$8)</f>
        <v>6.960798124033836E-3</v>
      </c>
    </row>
    <row r="2552" spans="6:7" x14ac:dyDescent="0.25">
      <c r="F2552">
        <v>2549</v>
      </c>
      <c r="G2552">
        <f ca="1">_xlfn.NORM.INV(RAND(),$M$7,$M$8)</f>
        <v>-2.9058770946497237E-3</v>
      </c>
    </row>
    <row r="2553" spans="6:7" x14ac:dyDescent="0.25">
      <c r="F2553">
        <v>2550</v>
      </c>
      <c r="G2553">
        <f ca="1">_xlfn.NORM.INV(RAND(),$M$7,$M$8)</f>
        <v>-4.9443628485732749E-3</v>
      </c>
    </row>
    <row r="2554" spans="6:7" x14ac:dyDescent="0.25">
      <c r="F2554">
        <v>2551</v>
      </c>
      <c r="G2554">
        <f ca="1">_xlfn.NORM.INV(RAND(),$M$7,$M$8)</f>
        <v>-1.6726201780058722E-2</v>
      </c>
    </row>
    <row r="2555" spans="6:7" x14ac:dyDescent="0.25">
      <c r="F2555">
        <v>2552</v>
      </c>
      <c r="G2555">
        <f ca="1">_xlfn.NORM.INV(RAND(),$M$7,$M$8)</f>
        <v>-3.438276673544688E-3</v>
      </c>
    </row>
    <row r="2556" spans="6:7" x14ac:dyDescent="0.25">
      <c r="F2556">
        <v>2553</v>
      </c>
      <c r="G2556">
        <f ca="1">_xlfn.NORM.INV(RAND(),$M$7,$M$8)</f>
        <v>-1.0309944936943372E-2</v>
      </c>
    </row>
    <row r="2557" spans="6:7" x14ac:dyDescent="0.25">
      <c r="F2557">
        <v>2554</v>
      </c>
      <c r="G2557">
        <f ca="1">_xlfn.NORM.INV(RAND(),$M$7,$M$8)</f>
        <v>1.8039400376589149E-2</v>
      </c>
    </row>
    <row r="2558" spans="6:7" x14ac:dyDescent="0.25">
      <c r="F2558">
        <v>2555</v>
      </c>
      <c r="G2558">
        <f ca="1">_xlfn.NORM.INV(RAND(),$M$7,$M$8)</f>
        <v>-1.4377537910008138E-2</v>
      </c>
    </row>
    <row r="2559" spans="6:7" x14ac:dyDescent="0.25">
      <c r="F2559">
        <v>2556</v>
      </c>
      <c r="G2559">
        <f ca="1">_xlfn.NORM.INV(RAND(),$M$7,$M$8)</f>
        <v>1.7778597305071087E-2</v>
      </c>
    </row>
    <row r="2560" spans="6:7" x14ac:dyDescent="0.25">
      <c r="F2560">
        <v>2557</v>
      </c>
      <c r="G2560">
        <f ca="1">_xlfn.NORM.INV(RAND(),$M$7,$M$8)</f>
        <v>2.2762559398688601E-2</v>
      </c>
    </row>
    <row r="2561" spans="6:7" x14ac:dyDescent="0.25">
      <c r="F2561">
        <v>2558</v>
      </c>
      <c r="G2561">
        <f ca="1">_xlfn.NORM.INV(RAND(),$M$7,$M$8)</f>
        <v>-2.6904825147706125E-2</v>
      </c>
    </row>
    <row r="2562" spans="6:7" x14ac:dyDescent="0.25">
      <c r="F2562">
        <v>2559</v>
      </c>
      <c r="G2562">
        <f ca="1">_xlfn.NORM.INV(RAND(),$M$7,$M$8)</f>
        <v>3.7998982061598581E-2</v>
      </c>
    </row>
    <row r="2563" spans="6:7" x14ac:dyDescent="0.25">
      <c r="F2563">
        <v>2560</v>
      </c>
      <c r="G2563">
        <f ca="1">_xlfn.NORM.INV(RAND(),$M$7,$M$8)</f>
        <v>-4.6329221380580418E-2</v>
      </c>
    </row>
    <row r="2564" spans="6:7" x14ac:dyDescent="0.25">
      <c r="F2564">
        <v>2561</v>
      </c>
      <c r="G2564">
        <f ca="1">_xlfn.NORM.INV(RAND(),$M$7,$M$8)</f>
        <v>-1.4576927088976559E-2</v>
      </c>
    </row>
    <row r="2565" spans="6:7" x14ac:dyDescent="0.25">
      <c r="F2565">
        <v>2562</v>
      </c>
      <c r="G2565">
        <f ca="1">_xlfn.NORM.INV(RAND(),$M$7,$M$8)</f>
        <v>1.2880523387807605E-2</v>
      </c>
    </row>
    <row r="2566" spans="6:7" x14ac:dyDescent="0.25">
      <c r="F2566">
        <v>2563</v>
      </c>
      <c r="G2566">
        <f ca="1">_xlfn.NORM.INV(RAND(),$M$7,$M$8)</f>
        <v>-3.4592444924325606E-3</v>
      </c>
    </row>
    <row r="2567" spans="6:7" x14ac:dyDescent="0.25">
      <c r="F2567">
        <v>2564</v>
      </c>
      <c r="G2567">
        <f ca="1">_xlfn.NORM.INV(RAND(),$M$7,$M$8)</f>
        <v>-1.2766748382542374E-2</v>
      </c>
    </row>
    <row r="2568" spans="6:7" x14ac:dyDescent="0.25">
      <c r="F2568">
        <v>2565</v>
      </c>
      <c r="G2568">
        <f ca="1">_xlfn.NORM.INV(RAND(),$M$7,$M$8)</f>
        <v>1.3100639864739319E-2</v>
      </c>
    </row>
    <row r="2569" spans="6:7" x14ac:dyDescent="0.25">
      <c r="F2569">
        <v>2566</v>
      </c>
      <c r="G2569">
        <f ca="1">_xlfn.NORM.INV(RAND(),$M$7,$M$8)</f>
        <v>-3.6666710211507587E-2</v>
      </c>
    </row>
    <row r="2570" spans="6:7" x14ac:dyDescent="0.25">
      <c r="F2570">
        <v>2567</v>
      </c>
      <c r="G2570">
        <f ca="1">_xlfn.NORM.INV(RAND(),$M$7,$M$8)</f>
        <v>4.4749239782151944E-2</v>
      </c>
    </row>
    <row r="2571" spans="6:7" x14ac:dyDescent="0.25">
      <c r="F2571">
        <v>2568</v>
      </c>
      <c r="G2571">
        <f ca="1">_xlfn.NORM.INV(RAND(),$M$7,$M$8)</f>
        <v>-7.5982031697152761E-3</v>
      </c>
    </row>
    <row r="2572" spans="6:7" x14ac:dyDescent="0.25">
      <c r="F2572">
        <v>2569</v>
      </c>
      <c r="G2572">
        <f ca="1">_xlfn.NORM.INV(RAND(),$M$7,$M$8)</f>
        <v>5.8950440298892529E-2</v>
      </c>
    </row>
    <row r="2573" spans="6:7" x14ac:dyDescent="0.25">
      <c r="F2573">
        <v>2570</v>
      </c>
      <c r="G2573">
        <f ca="1">_xlfn.NORM.INV(RAND(),$M$7,$M$8)</f>
        <v>2.6934879937341567E-2</v>
      </c>
    </row>
    <row r="2574" spans="6:7" x14ac:dyDescent="0.25">
      <c r="F2574">
        <v>2571</v>
      </c>
      <c r="G2574">
        <f ca="1">_xlfn.NORM.INV(RAND(),$M$7,$M$8)</f>
        <v>1.4820696865131025E-2</v>
      </c>
    </row>
    <row r="2575" spans="6:7" x14ac:dyDescent="0.25">
      <c r="F2575">
        <v>2572</v>
      </c>
      <c r="G2575">
        <f ca="1">_xlfn.NORM.INV(RAND(),$M$7,$M$8)</f>
        <v>1.7942598681548656E-3</v>
      </c>
    </row>
    <row r="2576" spans="6:7" x14ac:dyDescent="0.25">
      <c r="F2576">
        <v>2573</v>
      </c>
      <c r="G2576">
        <f ca="1">_xlfn.NORM.INV(RAND(),$M$7,$M$8)</f>
        <v>1.3779336035265023E-2</v>
      </c>
    </row>
    <row r="2577" spans="6:7" x14ac:dyDescent="0.25">
      <c r="F2577">
        <v>2574</v>
      </c>
      <c r="G2577">
        <f ca="1">_xlfn.NORM.INV(RAND(),$M$7,$M$8)</f>
        <v>-1.9557652601840808E-2</v>
      </c>
    </row>
    <row r="2578" spans="6:7" x14ac:dyDescent="0.25">
      <c r="F2578">
        <v>2575</v>
      </c>
      <c r="G2578">
        <f ca="1">_xlfn.NORM.INV(RAND(),$M$7,$M$8)</f>
        <v>1.8379843584729629E-2</v>
      </c>
    </row>
    <row r="2579" spans="6:7" x14ac:dyDescent="0.25">
      <c r="F2579">
        <v>2576</v>
      </c>
      <c r="G2579">
        <f ca="1">_xlfn.NORM.INV(RAND(),$M$7,$M$8)</f>
        <v>-3.9375066752673236E-2</v>
      </c>
    </row>
    <row r="2580" spans="6:7" x14ac:dyDescent="0.25">
      <c r="F2580">
        <v>2577</v>
      </c>
      <c r="G2580">
        <f ca="1">_xlfn.NORM.INV(RAND(),$M$7,$M$8)</f>
        <v>-1.6912952360886031E-2</v>
      </c>
    </row>
    <row r="2581" spans="6:7" x14ac:dyDescent="0.25">
      <c r="F2581">
        <v>2578</v>
      </c>
      <c r="G2581">
        <f ca="1">_xlfn.NORM.INV(RAND(),$M$7,$M$8)</f>
        <v>5.4236146758080191E-3</v>
      </c>
    </row>
    <row r="2582" spans="6:7" x14ac:dyDescent="0.25">
      <c r="F2582">
        <v>2579</v>
      </c>
      <c r="G2582">
        <f ca="1">_xlfn.NORM.INV(RAND(),$M$7,$M$8)</f>
        <v>1.6439291015794444E-2</v>
      </c>
    </row>
    <row r="2583" spans="6:7" x14ac:dyDescent="0.25">
      <c r="F2583">
        <v>2580</v>
      </c>
      <c r="G2583">
        <f ca="1">_xlfn.NORM.INV(RAND(),$M$7,$M$8)</f>
        <v>2.1442908151029897E-2</v>
      </c>
    </row>
    <row r="2584" spans="6:7" x14ac:dyDescent="0.25">
      <c r="F2584">
        <v>2581</v>
      </c>
      <c r="G2584">
        <f ca="1">_xlfn.NORM.INV(RAND(),$M$7,$M$8)</f>
        <v>-3.4710453854528665E-2</v>
      </c>
    </row>
    <row r="2585" spans="6:7" x14ac:dyDescent="0.25">
      <c r="F2585">
        <v>2582</v>
      </c>
      <c r="G2585">
        <f ca="1">_xlfn.NORM.INV(RAND(),$M$7,$M$8)</f>
        <v>-1.7567458946899855E-2</v>
      </c>
    </row>
    <row r="2586" spans="6:7" x14ac:dyDescent="0.25">
      <c r="F2586">
        <v>2583</v>
      </c>
      <c r="G2586">
        <f ca="1">_xlfn.NORM.INV(RAND(),$M$7,$M$8)</f>
        <v>1.2525107003908001E-2</v>
      </c>
    </row>
    <row r="2587" spans="6:7" x14ac:dyDescent="0.25">
      <c r="F2587">
        <v>2584</v>
      </c>
      <c r="G2587">
        <f ca="1">_xlfn.NORM.INV(RAND(),$M$7,$M$8)</f>
        <v>1.6565005250752701E-2</v>
      </c>
    </row>
    <row r="2588" spans="6:7" x14ac:dyDescent="0.25">
      <c r="F2588">
        <v>2585</v>
      </c>
      <c r="G2588">
        <f ca="1">_xlfn.NORM.INV(RAND(),$M$7,$M$8)</f>
        <v>-1.9071141761370314E-2</v>
      </c>
    </row>
    <row r="2589" spans="6:7" x14ac:dyDescent="0.25">
      <c r="F2589">
        <v>2586</v>
      </c>
      <c r="G2589">
        <f ca="1">_xlfn.NORM.INV(RAND(),$M$7,$M$8)</f>
        <v>2.3293223639662089E-2</v>
      </c>
    </row>
    <row r="2590" spans="6:7" x14ac:dyDescent="0.25">
      <c r="F2590">
        <v>2587</v>
      </c>
      <c r="G2590">
        <f ca="1">_xlfn.NORM.INV(RAND(),$M$7,$M$8)</f>
        <v>2.5967254440597835E-2</v>
      </c>
    </row>
    <row r="2591" spans="6:7" x14ac:dyDescent="0.25">
      <c r="F2591">
        <v>2588</v>
      </c>
      <c r="G2591">
        <f ca="1">_xlfn.NORM.INV(RAND(),$M$7,$M$8)</f>
        <v>-3.5707801772718174E-3</v>
      </c>
    </row>
    <row r="2592" spans="6:7" x14ac:dyDescent="0.25">
      <c r="F2592">
        <v>2589</v>
      </c>
      <c r="G2592">
        <f ca="1">_xlfn.NORM.INV(RAND(),$M$7,$M$8)</f>
        <v>7.3133015095717836E-3</v>
      </c>
    </row>
    <row r="2593" spans="6:7" x14ac:dyDescent="0.25">
      <c r="F2593">
        <v>2590</v>
      </c>
      <c r="G2593">
        <f ca="1">_xlfn.NORM.INV(RAND(),$M$7,$M$8)</f>
        <v>-1.7900568761980283E-2</v>
      </c>
    </row>
    <row r="2594" spans="6:7" x14ac:dyDescent="0.25">
      <c r="F2594">
        <v>2591</v>
      </c>
      <c r="G2594">
        <f ca="1">_xlfn.NORM.INV(RAND(),$M$7,$M$8)</f>
        <v>-4.0579299454372178E-2</v>
      </c>
    </row>
    <row r="2595" spans="6:7" x14ac:dyDescent="0.25">
      <c r="F2595">
        <v>2592</v>
      </c>
      <c r="G2595">
        <f ca="1">_xlfn.NORM.INV(RAND(),$M$7,$M$8)</f>
        <v>5.2273102064715471E-3</v>
      </c>
    </row>
    <row r="2596" spans="6:7" x14ac:dyDescent="0.25">
      <c r="F2596">
        <v>2593</v>
      </c>
      <c r="G2596">
        <f ca="1">_xlfn.NORM.INV(RAND(),$M$7,$M$8)</f>
        <v>2.0081650135266565E-2</v>
      </c>
    </row>
    <row r="2597" spans="6:7" x14ac:dyDescent="0.25">
      <c r="F2597">
        <v>2594</v>
      </c>
      <c r="G2597">
        <f ca="1">_xlfn.NORM.INV(RAND(),$M$7,$M$8)</f>
        <v>-1.5295912888244965E-2</v>
      </c>
    </row>
    <row r="2598" spans="6:7" x14ac:dyDescent="0.25">
      <c r="F2598">
        <v>2595</v>
      </c>
      <c r="G2598">
        <f ca="1">_xlfn.NORM.INV(RAND(),$M$7,$M$8)</f>
        <v>1.2530336310507213E-2</v>
      </c>
    </row>
    <row r="2599" spans="6:7" x14ac:dyDescent="0.25">
      <c r="F2599">
        <v>2596</v>
      </c>
      <c r="G2599">
        <f ca="1">_xlfn.NORM.INV(RAND(),$M$7,$M$8)</f>
        <v>-2.0519702937073381E-2</v>
      </c>
    </row>
    <row r="2600" spans="6:7" x14ac:dyDescent="0.25">
      <c r="F2600">
        <v>2597</v>
      </c>
      <c r="G2600">
        <f ca="1">_xlfn.NORM.INV(RAND(),$M$7,$M$8)</f>
        <v>2.282121165208055E-2</v>
      </c>
    </row>
    <row r="2601" spans="6:7" x14ac:dyDescent="0.25">
      <c r="F2601">
        <v>2598</v>
      </c>
      <c r="G2601">
        <f ca="1">_xlfn.NORM.INV(RAND(),$M$7,$M$8)</f>
        <v>2.2881287972180645E-2</v>
      </c>
    </row>
    <row r="2602" spans="6:7" x14ac:dyDescent="0.25">
      <c r="F2602">
        <v>2599</v>
      </c>
      <c r="G2602">
        <f ca="1">_xlfn.NORM.INV(RAND(),$M$7,$M$8)</f>
        <v>2.0795019849471699E-2</v>
      </c>
    </row>
    <row r="2603" spans="6:7" x14ac:dyDescent="0.25">
      <c r="F2603">
        <v>2600</v>
      </c>
      <c r="G2603">
        <f ca="1">_xlfn.NORM.INV(RAND(),$M$7,$M$8)</f>
        <v>4.0737360913623517E-2</v>
      </c>
    </row>
    <row r="2604" spans="6:7" x14ac:dyDescent="0.25">
      <c r="F2604">
        <v>2601</v>
      </c>
      <c r="G2604">
        <f ca="1">_xlfn.NORM.INV(RAND(),$M$7,$M$8)</f>
        <v>3.0774152671197992E-2</v>
      </c>
    </row>
    <row r="2605" spans="6:7" x14ac:dyDescent="0.25">
      <c r="F2605">
        <v>2602</v>
      </c>
      <c r="G2605">
        <f ca="1">_xlfn.NORM.INV(RAND(),$M$7,$M$8)</f>
        <v>-2.5218203220764998E-2</v>
      </c>
    </row>
    <row r="2606" spans="6:7" x14ac:dyDescent="0.25">
      <c r="F2606">
        <v>2603</v>
      </c>
      <c r="G2606">
        <f ca="1">_xlfn.NORM.INV(RAND(),$M$7,$M$8)</f>
        <v>-4.5271052046901697E-2</v>
      </c>
    </row>
    <row r="2607" spans="6:7" x14ac:dyDescent="0.25">
      <c r="F2607">
        <v>2604</v>
      </c>
      <c r="G2607">
        <f ca="1">_xlfn.NORM.INV(RAND(),$M$7,$M$8)</f>
        <v>2.8708988795642428E-2</v>
      </c>
    </row>
    <row r="2608" spans="6:7" x14ac:dyDescent="0.25">
      <c r="F2608">
        <v>2605</v>
      </c>
      <c r="G2608">
        <f ca="1">_xlfn.NORM.INV(RAND(),$M$7,$M$8)</f>
        <v>9.3124556090620914E-3</v>
      </c>
    </row>
    <row r="2609" spans="6:7" x14ac:dyDescent="0.25">
      <c r="F2609">
        <v>2606</v>
      </c>
      <c r="G2609">
        <f ca="1">_xlfn.NORM.INV(RAND(),$M$7,$M$8)</f>
        <v>3.7586194657215489E-3</v>
      </c>
    </row>
    <row r="2610" spans="6:7" x14ac:dyDescent="0.25">
      <c r="F2610">
        <v>2607</v>
      </c>
      <c r="G2610">
        <f ca="1">_xlfn.NORM.INV(RAND(),$M$7,$M$8)</f>
        <v>-3.0165666976520178E-2</v>
      </c>
    </row>
    <row r="2611" spans="6:7" x14ac:dyDescent="0.25">
      <c r="F2611">
        <v>2608</v>
      </c>
      <c r="G2611">
        <f ca="1">_xlfn.NORM.INV(RAND(),$M$7,$M$8)</f>
        <v>-2.5274600679098556E-2</v>
      </c>
    </row>
    <row r="2612" spans="6:7" x14ac:dyDescent="0.25">
      <c r="F2612">
        <v>2609</v>
      </c>
      <c r="G2612">
        <f ca="1">_xlfn.NORM.INV(RAND(),$M$7,$M$8)</f>
        <v>5.8386032248892161E-2</v>
      </c>
    </row>
    <row r="2613" spans="6:7" x14ac:dyDescent="0.25">
      <c r="F2613">
        <v>2610</v>
      </c>
      <c r="G2613">
        <f ca="1">_xlfn.NORM.INV(RAND(),$M$7,$M$8)</f>
        <v>-3.6675293163983921E-2</v>
      </c>
    </row>
    <row r="2614" spans="6:7" x14ac:dyDescent="0.25">
      <c r="F2614">
        <v>2611</v>
      </c>
      <c r="G2614">
        <f ca="1">_xlfn.NORM.INV(RAND(),$M$7,$M$8)</f>
        <v>-1.0102488464060587E-2</v>
      </c>
    </row>
    <row r="2615" spans="6:7" x14ac:dyDescent="0.25">
      <c r="F2615">
        <v>2612</v>
      </c>
      <c r="G2615">
        <f ca="1">_xlfn.NORM.INV(RAND(),$M$7,$M$8)</f>
        <v>-7.9356026441379859E-3</v>
      </c>
    </row>
    <row r="2616" spans="6:7" x14ac:dyDescent="0.25">
      <c r="F2616">
        <v>2613</v>
      </c>
      <c r="G2616">
        <f ca="1">_xlfn.NORM.INV(RAND(),$M$7,$M$8)</f>
        <v>1.0078460874655313E-2</v>
      </c>
    </row>
    <row r="2617" spans="6:7" x14ac:dyDescent="0.25">
      <c r="F2617">
        <v>2614</v>
      </c>
      <c r="G2617">
        <f ca="1">_xlfn.NORM.INV(RAND(),$M$7,$M$8)</f>
        <v>-6.0971715782368319E-3</v>
      </c>
    </row>
    <row r="2618" spans="6:7" x14ac:dyDescent="0.25">
      <c r="F2618">
        <v>2615</v>
      </c>
      <c r="G2618">
        <f ca="1">_xlfn.NORM.INV(RAND(),$M$7,$M$8)</f>
        <v>2.4772222842540614E-2</v>
      </c>
    </row>
    <row r="2619" spans="6:7" x14ac:dyDescent="0.25">
      <c r="F2619">
        <v>2616</v>
      </c>
      <c r="G2619">
        <f ca="1">_xlfn.NORM.INV(RAND(),$M$7,$M$8)</f>
        <v>-3.4498708426355856E-2</v>
      </c>
    </row>
    <row r="2620" spans="6:7" x14ac:dyDescent="0.25">
      <c r="F2620">
        <v>2617</v>
      </c>
      <c r="G2620">
        <f ca="1">_xlfn.NORM.INV(RAND(),$M$7,$M$8)</f>
        <v>1.1777505567264691E-2</v>
      </c>
    </row>
    <row r="2621" spans="6:7" x14ac:dyDescent="0.25">
      <c r="F2621">
        <v>2618</v>
      </c>
      <c r="G2621">
        <f ca="1">_xlfn.NORM.INV(RAND(),$M$7,$M$8)</f>
        <v>-1.2587646349793653E-2</v>
      </c>
    </row>
    <row r="2622" spans="6:7" x14ac:dyDescent="0.25">
      <c r="F2622">
        <v>2619</v>
      </c>
      <c r="G2622">
        <f ca="1">_xlfn.NORM.INV(RAND(),$M$7,$M$8)</f>
        <v>-9.1800794658462997E-3</v>
      </c>
    </row>
    <row r="2623" spans="6:7" x14ac:dyDescent="0.25">
      <c r="F2623">
        <v>2620</v>
      </c>
      <c r="G2623">
        <f ca="1">_xlfn.NORM.INV(RAND(),$M$7,$M$8)</f>
        <v>-1.790357508605022E-2</v>
      </c>
    </row>
    <row r="2624" spans="6:7" x14ac:dyDescent="0.25">
      <c r="F2624">
        <v>2621</v>
      </c>
      <c r="G2624">
        <f ca="1">_xlfn.NORM.INV(RAND(),$M$7,$M$8)</f>
        <v>4.6424505715264006E-2</v>
      </c>
    </row>
    <row r="2625" spans="6:7" x14ac:dyDescent="0.25">
      <c r="F2625">
        <v>2622</v>
      </c>
      <c r="G2625">
        <f ca="1">_xlfn.NORM.INV(RAND(),$M$7,$M$8)</f>
        <v>-2.8489540076895029E-2</v>
      </c>
    </row>
    <row r="2626" spans="6:7" x14ac:dyDescent="0.25">
      <c r="F2626">
        <v>2623</v>
      </c>
      <c r="G2626">
        <f ca="1">_xlfn.NORM.INV(RAND(),$M$7,$M$8)</f>
        <v>-2.5632078573873857E-2</v>
      </c>
    </row>
    <row r="2627" spans="6:7" x14ac:dyDescent="0.25">
      <c r="F2627">
        <v>2624</v>
      </c>
      <c r="G2627">
        <f ca="1">_xlfn.NORM.INV(RAND(),$M$7,$M$8)</f>
        <v>8.4797054833041161E-3</v>
      </c>
    </row>
    <row r="2628" spans="6:7" x14ac:dyDescent="0.25">
      <c r="F2628">
        <v>2625</v>
      </c>
      <c r="G2628">
        <f ca="1">_xlfn.NORM.INV(RAND(),$M$7,$M$8)</f>
        <v>1.4491297509299728E-2</v>
      </c>
    </row>
    <row r="2629" spans="6:7" x14ac:dyDescent="0.25">
      <c r="F2629">
        <v>2626</v>
      </c>
      <c r="G2629">
        <f ca="1">_xlfn.NORM.INV(RAND(),$M$7,$M$8)</f>
        <v>1.8556340697748162E-2</v>
      </c>
    </row>
    <row r="2630" spans="6:7" x14ac:dyDescent="0.25">
      <c r="F2630">
        <v>2627</v>
      </c>
      <c r="G2630">
        <f ca="1">_xlfn.NORM.INV(RAND(),$M$7,$M$8)</f>
        <v>2.1526152524484208E-3</v>
      </c>
    </row>
    <row r="2631" spans="6:7" x14ac:dyDescent="0.25">
      <c r="F2631">
        <v>2628</v>
      </c>
      <c r="G2631">
        <f ca="1">_xlfn.NORM.INV(RAND(),$M$7,$M$8)</f>
        <v>1.5794355534529493E-2</v>
      </c>
    </row>
    <row r="2632" spans="6:7" x14ac:dyDescent="0.25">
      <c r="F2632">
        <v>2629</v>
      </c>
      <c r="G2632">
        <f ca="1">_xlfn.NORM.INV(RAND(),$M$7,$M$8)</f>
        <v>-1.6002997168152368E-3</v>
      </c>
    </row>
    <row r="2633" spans="6:7" x14ac:dyDescent="0.25">
      <c r="F2633">
        <v>2630</v>
      </c>
      <c r="G2633">
        <f ca="1">_xlfn.NORM.INV(RAND(),$M$7,$M$8)</f>
        <v>4.2652835105801895E-2</v>
      </c>
    </row>
    <row r="2634" spans="6:7" x14ac:dyDescent="0.25">
      <c r="F2634">
        <v>2631</v>
      </c>
      <c r="G2634">
        <f ca="1">_xlfn.NORM.INV(RAND(),$M$7,$M$8)</f>
        <v>-2.9550836276625688E-2</v>
      </c>
    </row>
    <row r="2635" spans="6:7" x14ac:dyDescent="0.25">
      <c r="F2635">
        <v>2632</v>
      </c>
      <c r="G2635">
        <f ca="1">_xlfn.NORM.INV(RAND(),$M$7,$M$8)</f>
        <v>1.536922273628831E-2</v>
      </c>
    </row>
    <row r="2636" spans="6:7" x14ac:dyDescent="0.25">
      <c r="F2636">
        <v>2633</v>
      </c>
      <c r="G2636">
        <f ca="1">_xlfn.NORM.INV(RAND(),$M$7,$M$8)</f>
        <v>-2.414284024941429E-2</v>
      </c>
    </row>
    <row r="2637" spans="6:7" x14ac:dyDescent="0.25">
      <c r="F2637">
        <v>2634</v>
      </c>
      <c r="G2637">
        <f ca="1">_xlfn.NORM.INV(RAND(),$M$7,$M$8)</f>
        <v>-2.6990199433541411E-2</v>
      </c>
    </row>
    <row r="2638" spans="6:7" x14ac:dyDescent="0.25">
      <c r="F2638">
        <v>2635</v>
      </c>
      <c r="G2638">
        <f ca="1">_xlfn.NORM.INV(RAND(),$M$7,$M$8)</f>
        <v>-7.4708344171414733E-3</v>
      </c>
    </row>
    <row r="2639" spans="6:7" x14ac:dyDescent="0.25">
      <c r="F2639">
        <v>2636</v>
      </c>
      <c r="G2639">
        <f ca="1">_xlfn.NORM.INV(RAND(),$M$7,$M$8)</f>
        <v>-5.4259123593535685E-2</v>
      </c>
    </row>
    <row r="2640" spans="6:7" x14ac:dyDescent="0.25">
      <c r="F2640">
        <v>2637</v>
      </c>
      <c r="G2640">
        <f ca="1">_xlfn.NORM.INV(RAND(),$M$7,$M$8)</f>
        <v>2.0080519645010821E-2</v>
      </c>
    </row>
    <row r="2641" spans="6:7" x14ac:dyDescent="0.25">
      <c r="F2641">
        <v>2638</v>
      </c>
      <c r="G2641">
        <f ca="1">_xlfn.NORM.INV(RAND(),$M$7,$M$8)</f>
        <v>-4.254429686041946E-2</v>
      </c>
    </row>
    <row r="2642" spans="6:7" x14ac:dyDescent="0.25">
      <c r="F2642">
        <v>2639</v>
      </c>
      <c r="G2642">
        <f ca="1">_xlfn.NORM.INV(RAND(),$M$7,$M$8)</f>
        <v>-1.8017871992264916E-3</v>
      </c>
    </row>
    <row r="2643" spans="6:7" x14ac:dyDescent="0.25">
      <c r="F2643">
        <v>2640</v>
      </c>
      <c r="G2643">
        <f ca="1">_xlfn.NORM.INV(RAND(),$M$7,$M$8)</f>
        <v>3.290892097648975E-3</v>
      </c>
    </row>
    <row r="2644" spans="6:7" x14ac:dyDescent="0.25">
      <c r="F2644">
        <v>2641</v>
      </c>
      <c r="G2644">
        <f ca="1">_xlfn.NORM.INV(RAND(),$M$7,$M$8)</f>
        <v>-1.9908061347722307E-2</v>
      </c>
    </row>
    <row r="2645" spans="6:7" x14ac:dyDescent="0.25">
      <c r="F2645">
        <v>2642</v>
      </c>
      <c r="G2645">
        <f ca="1">_xlfn.NORM.INV(RAND(),$M$7,$M$8)</f>
        <v>-1.8457865367173285E-2</v>
      </c>
    </row>
    <row r="2646" spans="6:7" x14ac:dyDescent="0.25">
      <c r="F2646">
        <v>2643</v>
      </c>
      <c r="G2646">
        <f ca="1">_xlfn.NORM.INV(RAND(),$M$7,$M$8)</f>
        <v>1.3792208597255553E-2</v>
      </c>
    </row>
    <row r="2647" spans="6:7" x14ac:dyDescent="0.25">
      <c r="F2647">
        <v>2644</v>
      </c>
      <c r="G2647">
        <f ca="1">_xlfn.NORM.INV(RAND(),$M$7,$M$8)</f>
        <v>2.4472394836577555E-2</v>
      </c>
    </row>
    <row r="2648" spans="6:7" x14ac:dyDescent="0.25">
      <c r="F2648">
        <v>2645</v>
      </c>
      <c r="G2648">
        <f ca="1">_xlfn.NORM.INV(RAND(),$M$7,$M$8)</f>
        <v>-1.0578102114422075E-2</v>
      </c>
    </row>
    <row r="2649" spans="6:7" x14ac:dyDescent="0.25">
      <c r="F2649">
        <v>2646</v>
      </c>
      <c r="G2649">
        <f ca="1">_xlfn.NORM.INV(RAND(),$M$7,$M$8)</f>
        <v>2.026500641829827E-2</v>
      </c>
    </row>
    <row r="2650" spans="6:7" x14ac:dyDescent="0.25">
      <c r="F2650">
        <v>2647</v>
      </c>
      <c r="G2650">
        <f ca="1">_xlfn.NORM.INV(RAND(),$M$7,$M$8)</f>
        <v>-1.3000971052301784E-2</v>
      </c>
    </row>
    <row r="2651" spans="6:7" x14ac:dyDescent="0.25">
      <c r="F2651">
        <v>2648</v>
      </c>
      <c r="G2651">
        <f ca="1">_xlfn.NORM.INV(RAND(),$M$7,$M$8)</f>
        <v>2.8381678162220387E-2</v>
      </c>
    </row>
    <row r="2652" spans="6:7" x14ac:dyDescent="0.25">
      <c r="F2652">
        <v>2649</v>
      </c>
      <c r="G2652">
        <f ca="1">_xlfn.NORM.INV(RAND(),$M$7,$M$8)</f>
        <v>-3.0964004140914447E-2</v>
      </c>
    </row>
    <row r="2653" spans="6:7" x14ac:dyDescent="0.25">
      <c r="F2653">
        <v>2650</v>
      </c>
      <c r="G2653">
        <f ca="1">_xlfn.NORM.INV(RAND(),$M$7,$M$8)</f>
        <v>1.3875916962249667E-2</v>
      </c>
    </row>
    <row r="2654" spans="6:7" x14ac:dyDescent="0.25">
      <c r="F2654">
        <v>2651</v>
      </c>
      <c r="G2654">
        <f ca="1">_xlfn.NORM.INV(RAND(),$M$7,$M$8)</f>
        <v>9.8223731504416528E-3</v>
      </c>
    </row>
    <row r="2655" spans="6:7" x14ac:dyDescent="0.25">
      <c r="F2655">
        <v>2652</v>
      </c>
      <c r="G2655">
        <f ca="1">_xlfn.NORM.INV(RAND(),$M$7,$M$8)</f>
        <v>2.1208633682562816E-2</v>
      </c>
    </row>
    <row r="2656" spans="6:7" x14ac:dyDescent="0.25">
      <c r="F2656">
        <v>2653</v>
      </c>
      <c r="G2656">
        <f ca="1">_xlfn.NORM.INV(RAND(),$M$7,$M$8)</f>
        <v>1.1509967738553605E-2</v>
      </c>
    </row>
    <row r="2657" spans="6:7" x14ac:dyDescent="0.25">
      <c r="F2657">
        <v>2654</v>
      </c>
      <c r="G2657">
        <f ca="1">_xlfn.NORM.INV(RAND(),$M$7,$M$8)</f>
        <v>2.3706491014326512E-2</v>
      </c>
    </row>
    <row r="2658" spans="6:7" x14ac:dyDescent="0.25">
      <c r="F2658">
        <v>2655</v>
      </c>
      <c r="G2658">
        <f ca="1">_xlfn.NORM.INV(RAND(),$M$7,$M$8)</f>
        <v>9.8788349514628958E-3</v>
      </c>
    </row>
    <row r="2659" spans="6:7" x14ac:dyDescent="0.25">
      <c r="F2659">
        <v>2656</v>
      </c>
      <c r="G2659">
        <f ca="1">_xlfn.NORM.INV(RAND(),$M$7,$M$8)</f>
        <v>1.2526486260524479E-2</v>
      </c>
    </row>
    <row r="2660" spans="6:7" x14ac:dyDescent="0.25">
      <c r="F2660">
        <v>2657</v>
      </c>
      <c r="G2660">
        <f ca="1">_xlfn.NORM.INV(RAND(),$M$7,$M$8)</f>
        <v>-2.2955804419655824E-2</v>
      </c>
    </row>
    <row r="2661" spans="6:7" x14ac:dyDescent="0.25">
      <c r="F2661">
        <v>2658</v>
      </c>
      <c r="G2661">
        <f ca="1">_xlfn.NORM.INV(RAND(),$M$7,$M$8)</f>
        <v>1.5238705575941027E-2</v>
      </c>
    </row>
    <row r="2662" spans="6:7" x14ac:dyDescent="0.25">
      <c r="F2662">
        <v>2659</v>
      </c>
      <c r="G2662">
        <f ca="1">_xlfn.NORM.INV(RAND(),$M$7,$M$8)</f>
        <v>-3.0280744716012279E-2</v>
      </c>
    </row>
    <row r="2663" spans="6:7" x14ac:dyDescent="0.25">
      <c r="F2663">
        <v>2660</v>
      </c>
      <c r="G2663">
        <f ca="1">_xlfn.NORM.INV(RAND(),$M$7,$M$8)</f>
        <v>1.0492120538124826E-3</v>
      </c>
    </row>
    <row r="2664" spans="6:7" x14ac:dyDescent="0.25">
      <c r="F2664">
        <v>2661</v>
      </c>
      <c r="G2664">
        <f ca="1">_xlfn.NORM.INV(RAND(),$M$7,$M$8)</f>
        <v>-3.6534828077783188E-2</v>
      </c>
    </row>
    <row r="2665" spans="6:7" x14ac:dyDescent="0.25">
      <c r="F2665">
        <v>2662</v>
      </c>
      <c r="G2665">
        <f ca="1">_xlfn.NORM.INV(RAND(),$M$7,$M$8)</f>
        <v>8.2707943405110236E-3</v>
      </c>
    </row>
    <row r="2666" spans="6:7" x14ac:dyDescent="0.25">
      <c r="F2666">
        <v>2663</v>
      </c>
      <c r="G2666">
        <f ca="1">_xlfn.NORM.INV(RAND(),$M$7,$M$8)</f>
        <v>-4.6604714535358464E-2</v>
      </c>
    </row>
    <row r="2667" spans="6:7" x14ac:dyDescent="0.25">
      <c r="F2667">
        <v>2664</v>
      </c>
      <c r="G2667">
        <f ca="1">_xlfn.NORM.INV(RAND(),$M$7,$M$8)</f>
        <v>1.6494381898558962E-2</v>
      </c>
    </row>
    <row r="2668" spans="6:7" x14ac:dyDescent="0.25">
      <c r="F2668">
        <v>2665</v>
      </c>
      <c r="G2668">
        <f ca="1">_xlfn.NORM.INV(RAND(),$M$7,$M$8)</f>
        <v>-2.2845559635470431E-2</v>
      </c>
    </row>
    <row r="2669" spans="6:7" x14ac:dyDescent="0.25">
      <c r="F2669">
        <v>2666</v>
      </c>
      <c r="G2669">
        <f ca="1">_xlfn.NORM.INV(RAND(),$M$7,$M$8)</f>
        <v>-2.2517383530223777E-2</v>
      </c>
    </row>
    <row r="2670" spans="6:7" x14ac:dyDescent="0.25">
      <c r="F2670">
        <v>2667</v>
      </c>
      <c r="G2670">
        <f ca="1">_xlfn.NORM.INV(RAND(),$M$7,$M$8)</f>
        <v>-5.3198997389037592E-2</v>
      </c>
    </row>
    <row r="2671" spans="6:7" x14ac:dyDescent="0.25">
      <c r="F2671">
        <v>2668</v>
      </c>
      <c r="G2671">
        <f ca="1">_xlfn.NORM.INV(RAND(),$M$7,$M$8)</f>
        <v>-6.1527300680808018E-3</v>
      </c>
    </row>
    <row r="2672" spans="6:7" x14ac:dyDescent="0.25">
      <c r="F2672">
        <v>2669</v>
      </c>
      <c r="G2672">
        <f ca="1">_xlfn.NORM.INV(RAND(),$M$7,$M$8)</f>
        <v>1.6194055962000409E-3</v>
      </c>
    </row>
    <row r="2673" spans="6:7" x14ac:dyDescent="0.25">
      <c r="F2673">
        <v>2670</v>
      </c>
      <c r="G2673">
        <f ca="1">_xlfn.NORM.INV(RAND(),$M$7,$M$8)</f>
        <v>3.8700596008599221E-3</v>
      </c>
    </row>
    <row r="2674" spans="6:7" x14ac:dyDescent="0.25">
      <c r="F2674">
        <v>2671</v>
      </c>
      <c r="G2674">
        <f ca="1">_xlfn.NORM.INV(RAND(),$M$7,$M$8)</f>
        <v>-3.0336401394324468E-2</v>
      </c>
    </row>
    <row r="2675" spans="6:7" x14ac:dyDescent="0.25">
      <c r="F2675">
        <v>2672</v>
      </c>
      <c r="G2675">
        <f ca="1">_xlfn.NORM.INV(RAND(),$M$7,$M$8)</f>
        <v>-9.7699817109449215E-3</v>
      </c>
    </row>
    <row r="2676" spans="6:7" x14ac:dyDescent="0.25">
      <c r="F2676">
        <v>2673</v>
      </c>
      <c r="G2676">
        <f ca="1">_xlfn.NORM.INV(RAND(),$M$7,$M$8)</f>
        <v>1.0535741773574508E-2</v>
      </c>
    </row>
    <row r="2677" spans="6:7" x14ac:dyDescent="0.25">
      <c r="F2677">
        <v>2674</v>
      </c>
      <c r="G2677">
        <f ca="1">_xlfn.NORM.INV(RAND(),$M$7,$M$8)</f>
        <v>1.2169298093099494E-2</v>
      </c>
    </row>
    <row r="2678" spans="6:7" x14ac:dyDescent="0.25">
      <c r="F2678">
        <v>2675</v>
      </c>
      <c r="G2678">
        <f ca="1">_xlfn.NORM.INV(RAND(),$M$7,$M$8)</f>
        <v>1.5126661073613877E-2</v>
      </c>
    </row>
    <row r="2679" spans="6:7" x14ac:dyDescent="0.25">
      <c r="F2679">
        <v>2676</v>
      </c>
      <c r="G2679">
        <f ca="1">_xlfn.NORM.INV(RAND(),$M$7,$M$8)</f>
        <v>2.5665138687422921E-2</v>
      </c>
    </row>
    <row r="2680" spans="6:7" x14ac:dyDescent="0.25">
      <c r="F2680">
        <v>2677</v>
      </c>
      <c r="G2680">
        <f ca="1">_xlfn.NORM.INV(RAND(),$M$7,$M$8)</f>
        <v>-9.5957247876884508E-3</v>
      </c>
    </row>
    <row r="2681" spans="6:7" x14ac:dyDescent="0.25">
      <c r="F2681">
        <v>2678</v>
      </c>
      <c r="G2681">
        <f ca="1">_xlfn.NORM.INV(RAND(),$M$7,$M$8)</f>
        <v>-5.5082021999345188E-3</v>
      </c>
    </row>
    <row r="2682" spans="6:7" x14ac:dyDescent="0.25">
      <c r="F2682">
        <v>2679</v>
      </c>
      <c r="G2682">
        <f ca="1">_xlfn.NORM.INV(RAND(),$M$7,$M$8)</f>
        <v>2.6318816901735726E-2</v>
      </c>
    </row>
    <row r="2683" spans="6:7" x14ac:dyDescent="0.25">
      <c r="F2683">
        <v>2680</v>
      </c>
      <c r="G2683">
        <f ca="1">_xlfn.NORM.INV(RAND(),$M$7,$M$8)</f>
        <v>-4.8225918784614089E-3</v>
      </c>
    </row>
    <row r="2684" spans="6:7" x14ac:dyDescent="0.25">
      <c r="F2684">
        <v>2681</v>
      </c>
      <c r="G2684">
        <f ca="1">_xlfn.NORM.INV(RAND(),$M$7,$M$8)</f>
        <v>4.1469784064257862E-3</v>
      </c>
    </row>
    <row r="2685" spans="6:7" x14ac:dyDescent="0.25">
      <c r="F2685">
        <v>2682</v>
      </c>
      <c r="G2685">
        <f ca="1">_xlfn.NORM.INV(RAND(),$M$7,$M$8)</f>
        <v>-3.0214709887547382E-2</v>
      </c>
    </row>
    <row r="2686" spans="6:7" x14ac:dyDescent="0.25">
      <c r="F2686">
        <v>2683</v>
      </c>
      <c r="G2686">
        <f ca="1">_xlfn.NORM.INV(RAND(),$M$7,$M$8)</f>
        <v>-2.0234711018641313E-2</v>
      </c>
    </row>
    <row r="2687" spans="6:7" x14ac:dyDescent="0.25">
      <c r="F2687">
        <v>2684</v>
      </c>
      <c r="G2687">
        <f ca="1">_xlfn.NORM.INV(RAND(),$M$7,$M$8)</f>
        <v>2.537679543297912E-3</v>
      </c>
    </row>
    <row r="2688" spans="6:7" x14ac:dyDescent="0.25">
      <c r="F2688">
        <v>2685</v>
      </c>
      <c r="G2688">
        <f ca="1">_xlfn.NORM.INV(RAND(),$M$7,$M$8)</f>
        <v>1.0912145062197256E-2</v>
      </c>
    </row>
    <row r="2689" spans="6:7" x14ac:dyDescent="0.25">
      <c r="F2689">
        <v>2686</v>
      </c>
      <c r="G2689">
        <f ca="1">_xlfn.NORM.INV(RAND(),$M$7,$M$8)</f>
        <v>-4.8098591490752015E-3</v>
      </c>
    </row>
    <row r="2690" spans="6:7" x14ac:dyDescent="0.25">
      <c r="F2690">
        <v>2687</v>
      </c>
      <c r="G2690">
        <f ca="1">_xlfn.NORM.INV(RAND(),$M$7,$M$8)</f>
        <v>-2.8867460945386128E-2</v>
      </c>
    </row>
    <row r="2691" spans="6:7" x14ac:dyDescent="0.25">
      <c r="F2691">
        <v>2688</v>
      </c>
      <c r="G2691">
        <f ca="1">_xlfn.NORM.INV(RAND(),$M$7,$M$8)</f>
        <v>-1.3432956200657988E-2</v>
      </c>
    </row>
    <row r="2692" spans="6:7" x14ac:dyDescent="0.25">
      <c r="F2692">
        <v>2689</v>
      </c>
      <c r="G2692">
        <f ca="1">_xlfn.NORM.INV(RAND(),$M$7,$M$8)</f>
        <v>-1.7597561849397161E-2</v>
      </c>
    </row>
    <row r="2693" spans="6:7" x14ac:dyDescent="0.25">
      <c r="F2693">
        <v>2690</v>
      </c>
      <c r="G2693">
        <f ca="1">_xlfn.NORM.INV(RAND(),$M$7,$M$8)</f>
        <v>4.8967863037011665E-2</v>
      </c>
    </row>
    <row r="2694" spans="6:7" x14ac:dyDescent="0.25">
      <c r="F2694">
        <v>2691</v>
      </c>
      <c r="G2694">
        <f ca="1">_xlfn.NORM.INV(RAND(),$M$7,$M$8)</f>
        <v>-1.2454422851103481E-2</v>
      </c>
    </row>
    <row r="2695" spans="6:7" x14ac:dyDescent="0.25">
      <c r="F2695">
        <v>2692</v>
      </c>
      <c r="G2695">
        <f ca="1">_xlfn.NORM.INV(RAND(),$M$7,$M$8)</f>
        <v>1.9317833047392437E-2</v>
      </c>
    </row>
    <row r="2696" spans="6:7" x14ac:dyDescent="0.25">
      <c r="F2696">
        <v>2693</v>
      </c>
      <c r="G2696">
        <f ca="1">_xlfn.NORM.INV(RAND(),$M$7,$M$8)</f>
        <v>1.9470519266471441E-2</v>
      </c>
    </row>
    <row r="2697" spans="6:7" x14ac:dyDescent="0.25">
      <c r="F2697">
        <v>2694</v>
      </c>
      <c r="G2697">
        <f ca="1">_xlfn.NORM.INV(RAND(),$M$7,$M$8)</f>
        <v>1.5902673703878788E-2</v>
      </c>
    </row>
    <row r="2698" spans="6:7" x14ac:dyDescent="0.25">
      <c r="F2698">
        <v>2695</v>
      </c>
      <c r="G2698">
        <f ca="1">_xlfn.NORM.INV(RAND(),$M$7,$M$8)</f>
        <v>-1.7117174607397274E-2</v>
      </c>
    </row>
    <row r="2699" spans="6:7" x14ac:dyDescent="0.25">
      <c r="F2699">
        <v>2696</v>
      </c>
      <c r="G2699">
        <f ca="1">_xlfn.NORM.INV(RAND(),$M$7,$M$8)</f>
        <v>-1.9265178968811678E-2</v>
      </c>
    </row>
    <row r="2700" spans="6:7" x14ac:dyDescent="0.25">
      <c r="F2700">
        <v>2697</v>
      </c>
      <c r="G2700">
        <f ca="1">_xlfn.NORM.INV(RAND(),$M$7,$M$8)</f>
        <v>-1.7267932260537151E-3</v>
      </c>
    </row>
    <row r="2701" spans="6:7" x14ac:dyDescent="0.25">
      <c r="F2701">
        <v>2698</v>
      </c>
      <c r="G2701">
        <f ca="1">_xlfn.NORM.INV(RAND(),$M$7,$M$8)</f>
        <v>8.2076452461944983E-3</v>
      </c>
    </row>
    <row r="2702" spans="6:7" x14ac:dyDescent="0.25">
      <c r="F2702">
        <v>2699</v>
      </c>
      <c r="G2702">
        <f ca="1">_xlfn.NORM.INV(RAND(),$M$7,$M$8)</f>
        <v>9.4063716305708298E-2</v>
      </c>
    </row>
    <row r="2703" spans="6:7" x14ac:dyDescent="0.25">
      <c r="F2703">
        <v>2700</v>
      </c>
      <c r="G2703">
        <f ca="1">_xlfn.NORM.INV(RAND(),$M$7,$M$8)</f>
        <v>-1.7550562148697713E-2</v>
      </c>
    </row>
    <row r="2704" spans="6:7" x14ac:dyDescent="0.25">
      <c r="F2704">
        <v>2701</v>
      </c>
      <c r="G2704">
        <f ca="1">_xlfn.NORM.INV(RAND(),$M$7,$M$8)</f>
        <v>-1.8691187342621714E-2</v>
      </c>
    </row>
    <row r="2705" spans="6:7" x14ac:dyDescent="0.25">
      <c r="F2705">
        <v>2702</v>
      </c>
      <c r="G2705">
        <f ca="1">_xlfn.NORM.INV(RAND(),$M$7,$M$8)</f>
        <v>2.3697134479667249E-2</v>
      </c>
    </row>
    <row r="2706" spans="6:7" x14ac:dyDescent="0.25">
      <c r="F2706">
        <v>2703</v>
      </c>
      <c r="G2706">
        <f ca="1">_xlfn.NORM.INV(RAND(),$M$7,$M$8)</f>
        <v>-4.2960620602326485E-3</v>
      </c>
    </row>
    <row r="2707" spans="6:7" x14ac:dyDescent="0.25">
      <c r="F2707">
        <v>2704</v>
      </c>
      <c r="G2707">
        <f ca="1">_xlfn.NORM.INV(RAND(),$M$7,$M$8)</f>
        <v>-6.4775772962471865E-3</v>
      </c>
    </row>
    <row r="2708" spans="6:7" x14ac:dyDescent="0.25">
      <c r="F2708">
        <v>2705</v>
      </c>
      <c r="G2708">
        <f ca="1">_xlfn.NORM.INV(RAND(),$M$7,$M$8)</f>
        <v>-3.1046313925535839E-3</v>
      </c>
    </row>
    <row r="2709" spans="6:7" x14ac:dyDescent="0.25">
      <c r="F2709">
        <v>2706</v>
      </c>
      <c r="G2709">
        <f ca="1">_xlfn.NORM.INV(RAND(),$M$7,$M$8)</f>
        <v>-3.2942422049660129E-2</v>
      </c>
    </row>
    <row r="2710" spans="6:7" x14ac:dyDescent="0.25">
      <c r="F2710">
        <v>2707</v>
      </c>
      <c r="G2710">
        <f ca="1">_xlfn.NORM.INV(RAND(),$M$7,$M$8)</f>
        <v>9.071351385179463E-3</v>
      </c>
    </row>
    <row r="2711" spans="6:7" x14ac:dyDescent="0.25">
      <c r="F2711">
        <v>2708</v>
      </c>
      <c r="G2711">
        <f ca="1">_xlfn.NORM.INV(RAND(),$M$7,$M$8)</f>
        <v>-4.0523628033681272E-2</v>
      </c>
    </row>
    <row r="2712" spans="6:7" x14ac:dyDescent="0.25">
      <c r="F2712">
        <v>2709</v>
      </c>
      <c r="G2712">
        <f ca="1">_xlfn.NORM.INV(RAND(),$M$7,$M$8)</f>
        <v>3.6046467353775966E-2</v>
      </c>
    </row>
    <row r="2713" spans="6:7" x14ac:dyDescent="0.25">
      <c r="F2713">
        <v>2710</v>
      </c>
      <c r="G2713">
        <f ca="1">_xlfn.NORM.INV(RAND(),$M$7,$M$8)</f>
        <v>1.3574105209528441E-3</v>
      </c>
    </row>
    <row r="2714" spans="6:7" x14ac:dyDescent="0.25">
      <c r="F2714">
        <v>2711</v>
      </c>
      <c r="G2714">
        <f ca="1">_xlfn.NORM.INV(RAND(),$M$7,$M$8)</f>
        <v>-1.8036105464373186E-2</v>
      </c>
    </row>
    <row r="2715" spans="6:7" x14ac:dyDescent="0.25">
      <c r="F2715">
        <v>2712</v>
      </c>
      <c r="G2715">
        <f ca="1">_xlfn.NORM.INV(RAND(),$M$7,$M$8)</f>
        <v>-9.8237366097560595E-3</v>
      </c>
    </row>
    <row r="2716" spans="6:7" x14ac:dyDescent="0.25">
      <c r="F2716">
        <v>2713</v>
      </c>
      <c r="G2716">
        <f ca="1">_xlfn.NORM.INV(RAND(),$M$7,$M$8)</f>
        <v>1.8415383328009686E-2</v>
      </c>
    </row>
    <row r="2717" spans="6:7" x14ac:dyDescent="0.25">
      <c r="F2717">
        <v>2714</v>
      </c>
      <c r="G2717">
        <f ca="1">_xlfn.NORM.INV(RAND(),$M$7,$M$8)</f>
        <v>3.6911371531309016E-2</v>
      </c>
    </row>
    <row r="2718" spans="6:7" x14ac:dyDescent="0.25">
      <c r="F2718">
        <v>2715</v>
      </c>
      <c r="G2718">
        <f ca="1">_xlfn.NORM.INV(RAND(),$M$7,$M$8)</f>
        <v>1.195453320442965E-2</v>
      </c>
    </row>
    <row r="2719" spans="6:7" x14ac:dyDescent="0.25">
      <c r="F2719">
        <v>2716</v>
      </c>
      <c r="G2719">
        <f ca="1">_xlfn.NORM.INV(RAND(),$M$7,$M$8)</f>
        <v>3.6314451506293755E-2</v>
      </c>
    </row>
    <row r="2720" spans="6:7" x14ac:dyDescent="0.25">
      <c r="F2720">
        <v>2717</v>
      </c>
      <c r="G2720">
        <f ca="1">_xlfn.NORM.INV(RAND(),$M$7,$M$8)</f>
        <v>-4.8906607823318494E-2</v>
      </c>
    </row>
    <row r="2721" spans="6:7" x14ac:dyDescent="0.25">
      <c r="F2721">
        <v>2718</v>
      </c>
      <c r="G2721">
        <f ca="1">_xlfn.NORM.INV(RAND(),$M$7,$M$8)</f>
        <v>2.8723003174428142E-2</v>
      </c>
    </row>
    <row r="2722" spans="6:7" x14ac:dyDescent="0.25">
      <c r="F2722">
        <v>2719</v>
      </c>
      <c r="G2722">
        <f ca="1">_xlfn.NORM.INV(RAND(),$M$7,$M$8)</f>
        <v>-1.9750335590028128E-2</v>
      </c>
    </row>
    <row r="2723" spans="6:7" x14ac:dyDescent="0.25">
      <c r="F2723">
        <v>2720</v>
      </c>
      <c r="G2723">
        <f ca="1">_xlfn.NORM.INV(RAND(),$M$7,$M$8)</f>
        <v>-1.3836775365973992E-2</v>
      </c>
    </row>
    <row r="2724" spans="6:7" x14ac:dyDescent="0.25">
      <c r="F2724">
        <v>2721</v>
      </c>
      <c r="G2724">
        <f ca="1">_xlfn.NORM.INV(RAND(),$M$7,$M$8)</f>
        <v>7.2762863419151783E-3</v>
      </c>
    </row>
    <row r="2725" spans="6:7" x14ac:dyDescent="0.25">
      <c r="F2725">
        <v>2722</v>
      </c>
      <c r="G2725">
        <f ca="1">_xlfn.NORM.INV(RAND(),$M$7,$M$8)</f>
        <v>1.8967884360225448E-2</v>
      </c>
    </row>
    <row r="2726" spans="6:7" x14ac:dyDescent="0.25">
      <c r="F2726">
        <v>2723</v>
      </c>
      <c r="G2726">
        <f ca="1">_xlfn.NORM.INV(RAND(),$M$7,$M$8)</f>
        <v>-1.2343197003278676E-2</v>
      </c>
    </row>
    <row r="2727" spans="6:7" x14ac:dyDescent="0.25">
      <c r="F2727">
        <v>2724</v>
      </c>
      <c r="G2727">
        <f ca="1">_xlfn.NORM.INV(RAND(),$M$7,$M$8)</f>
        <v>-2.1485048214782129E-2</v>
      </c>
    </row>
    <row r="2728" spans="6:7" x14ac:dyDescent="0.25">
      <c r="F2728">
        <v>2725</v>
      </c>
      <c r="G2728">
        <f ca="1">_xlfn.NORM.INV(RAND(),$M$7,$M$8)</f>
        <v>5.3816806282629796E-3</v>
      </c>
    </row>
    <row r="2729" spans="6:7" x14ac:dyDescent="0.25">
      <c r="F2729">
        <v>2726</v>
      </c>
      <c r="G2729">
        <f ca="1">_xlfn.NORM.INV(RAND(),$M$7,$M$8)</f>
        <v>7.7996365230717252E-3</v>
      </c>
    </row>
    <row r="2730" spans="6:7" x14ac:dyDescent="0.25">
      <c r="F2730">
        <v>2727</v>
      </c>
      <c r="G2730">
        <f ca="1">_xlfn.NORM.INV(RAND(),$M$7,$M$8)</f>
        <v>2.0381775066729699E-2</v>
      </c>
    </row>
    <row r="2731" spans="6:7" x14ac:dyDescent="0.25">
      <c r="F2731">
        <v>2728</v>
      </c>
      <c r="G2731">
        <f ca="1">_xlfn.NORM.INV(RAND(),$M$7,$M$8)</f>
        <v>-2.69006063940192E-2</v>
      </c>
    </row>
    <row r="2732" spans="6:7" x14ac:dyDescent="0.25">
      <c r="F2732">
        <v>2729</v>
      </c>
      <c r="G2732">
        <f ca="1">_xlfn.NORM.INV(RAND(),$M$7,$M$8)</f>
        <v>-2.3034936736696959E-2</v>
      </c>
    </row>
    <row r="2733" spans="6:7" x14ac:dyDescent="0.25">
      <c r="F2733">
        <v>2730</v>
      </c>
      <c r="G2733">
        <f ca="1">_xlfn.NORM.INV(RAND(),$M$7,$M$8)</f>
        <v>-2.4097565026211701E-2</v>
      </c>
    </row>
    <row r="2734" spans="6:7" x14ac:dyDescent="0.25">
      <c r="F2734">
        <v>2731</v>
      </c>
      <c r="G2734">
        <f ca="1">_xlfn.NORM.INV(RAND(),$M$7,$M$8)</f>
        <v>-1.7384501058234435E-2</v>
      </c>
    </row>
    <row r="2735" spans="6:7" x14ac:dyDescent="0.25">
      <c r="F2735">
        <v>2732</v>
      </c>
      <c r="G2735">
        <f ca="1">_xlfn.NORM.INV(RAND(),$M$7,$M$8)</f>
        <v>5.570233280355303E-2</v>
      </c>
    </row>
    <row r="2736" spans="6:7" x14ac:dyDescent="0.25">
      <c r="F2736">
        <v>2733</v>
      </c>
      <c r="G2736">
        <f ca="1">_xlfn.NORM.INV(RAND(),$M$7,$M$8)</f>
        <v>-3.3858369070538623E-2</v>
      </c>
    </row>
    <row r="2737" spans="6:7" x14ac:dyDescent="0.25">
      <c r="F2737">
        <v>2734</v>
      </c>
      <c r="G2737">
        <f ca="1">_xlfn.NORM.INV(RAND(),$M$7,$M$8)</f>
        <v>-7.3330432946784249E-3</v>
      </c>
    </row>
    <row r="2738" spans="6:7" x14ac:dyDescent="0.25">
      <c r="F2738">
        <v>2735</v>
      </c>
      <c r="G2738">
        <f ca="1">_xlfn.NORM.INV(RAND(),$M$7,$M$8)</f>
        <v>-1.8892123578018928E-2</v>
      </c>
    </row>
    <row r="2739" spans="6:7" x14ac:dyDescent="0.25">
      <c r="F2739">
        <v>2736</v>
      </c>
      <c r="G2739">
        <f ca="1">_xlfn.NORM.INV(RAND(),$M$7,$M$8)</f>
        <v>6.5227476529194526E-4</v>
      </c>
    </row>
    <row r="2740" spans="6:7" x14ac:dyDescent="0.25">
      <c r="F2740">
        <v>2737</v>
      </c>
      <c r="G2740">
        <f ca="1">_xlfn.NORM.INV(RAND(),$M$7,$M$8)</f>
        <v>2.3948849438487657E-2</v>
      </c>
    </row>
    <row r="2741" spans="6:7" x14ac:dyDescent="0.25">
      <c r="F2741">
        <v>2738</v>
      </c>
      <c r="G2741">
        <f ca="1">_xlfn.NORM.INV(RAND(),$M$7,$M$8)</f>
        <v>3.283958991208764E-3</v>
      </c>
    </row>
    <row r="2742" spans="6:7" x14ac:dyDescent="0.25">
      <c r="F2742">
        <v>2739</v>
      </c>
      <c r="G2742">
        <f ca="1">_xlfn.NORM.INV(RAND(),$M$7,$M$8)</f>
        <v>-3.5400571798009622E-2</v>
      </c>
    </row>
    <row r="2743" spans="6:7" x14ac:dyDescent="0.25">
      <c r="F2743">
        <v>2740</v>
      </c>
      <c r="G2743">
        <f ca="1">_xlfn.NORM.INV(RAND(),$M$7,$M$8)</f>
        <v>-1.5110961955859998E-2</v>
      </c>
    </row>
    <row r="2744" spans="6:7" x14ac:dyDescent="0.25">
      <c r="F2744">
        <v>2741</v>
      </c>
      <c r="G2744">
        <f ca="1">_xlfn.NORM.INV(RAND(),$M$7,$M$8)</f>
        <v>-3.4959952394598907E-3</v>
      </c>
    </row>
    <row r="2745" spans="6:7" x14ac:dyDescent="0.25">
      <c r="F2745">
        <v>2742</v>
      </c>
      <c r="G2745">
        <f ca="1">_xlfn.NORM.INV(RAND(),$M$7,$M$8)</f>
        <v>4.1865301741944562E-2</v>
      </c>
    </row>
    <row r="2746" spans="6:7" x14ac:dyDescent="0.25">
      <c r="F2746">
        <v>2743</v>
      </c>
      <c r="G2746">
        <f ca="1">_xlfn.NORM.INV(RAND(),$M$7,$M$8)</f>
        <v>3.8622479845511141E-2</v>
      </c>
    </row>
    <row r="2747" spans="6:7" x14ac:dyDescent="0.25">
      <c r="F2747">
        <v>2744</v>
      </c>
      <c r="G2747">
        <f ca="1">_xlfn.NORM.INV(RAND(),$M$7,$M$8)</f>
        <v>7.6475335355448176E-2</v>
      </c>
    </row>
    <row r="2748" spans="6:7" x14ac:dyDescent="0.25">
      <c r="F2748">
        <v>2745</v>
      </c>
      <c r="G2748">
        <f ca="1">_xlfn.NORM.INV(RAND(),$M$7,$M$8)</f>
        <v>1.0105079980303315E-2</v>
      </c>
    </row>
    <row r="2749" spans="6:7" x14ac:dyDescent="0.25">
      <c r="F2749">
        <v>2746</v>
      </c>
      <c r="G2749">
        <f ca="1">_xlfn.NORM.INV(RAND(),$M$7,$M$8)</f>
        <v>-4.2338307341535604E-2</v>
      </c>
    </row>
    <row r="2750" spans="6:7" x14ac:dyDescent="0.25">
      <c r="F2750">
        <v>2747</v>
      </c>
      <c r="G2750">
        <f ca="1">_xlfn.NORM.INV(RAND(),$M$7,$M$8)</f>
        <v>-6.0578612155301904E-3</v>
      </c>
    </row>
    <row r="2751" spans="6:7" x14ac:dyDescent="0.25">
      <c r="F2751">
        <v>2748</v>
      </c>
      <c r="G2751">
        <f ca="1">_xlfn.NORM.INV(RAND(),$M$7,$M$8)</f>
        <v>5.3704244372840812E-2</v>
      </c>
    </row>
    <row r="2752" spans="6:7" x14ac:dyDescent="0.25">
      <c r="F2752">
        <v>2749</v>
      </c>
      <c r="G2752">
        <f ca="1">_xlfn.NORM.INV(RAND(),$M$7,$M$8)</f>
        <v>4.8628524287743502E-3</v>
      </c>
    </row>
    <row r="2753" spans="6:7" x14ac:dyDescent="0.25">
      <c r="F2753">
        <v>2750</v>
      </c>
      <c r="G2753">
        <f ca="1">_xlfn.NORM.INV(RAND(),$M$7,$M$8)</f>
        <v>1.1159120015458001E-2</v>
      </c>
    </row>
    <row r="2754" spans="6:7" x14ac:dyDescent="0.25">
      <c r="F2754">
        <v>2751</v>
      </c>
      <c r="G2754">
        <f ca="1">_xlfn.NORM.INV(RAND(),$M$7,$M$8)</f>
        <v>-9.7768673501261935E-3</v>
      </c>
    </row>
    <row r="2755" spans="6:7" x14ac:dyDescent="0.25">
      <c r="F2755">
        <v>2752</v>
      </c>
      <c r="G2755">
        <f ca="1">_xlfn.NORM.INV(RAND(),$M$7,$M$8)</f>
        <v>-2.9264144253969213E-2</v>
      </c>
    </row>
    <row r="2756" spans="6:7" x14ac:dyDescent="0.25">
      <c r="F2756">
        <v>2753</v>
      </c>
      <c r="G2756">
        <f ca="1">_xlfn.NORM.INV(RAND(),$M$7,$M$8)</f>
        <v>-8.6314748482148947E-4</v>
      </c>
    </row>
    <row r="2757" spans="6:7" x14ac:dyDescent="0.25">
      <c r="F2757">
        <v>2754</v>
      </c>
      <c r="G2757">
        <f ca="1">_xlfn.NORM.INV(RAND(),$M$7,$M$8)</f>
        <v>1.7902641752383038E-2</v>
      </c>
    </row>
    <row r="2758" spans="6:7" x14ac:dyDescent="0.25">
      <c r="F2758">
        <v>2755</v>
      </c>
      <c r="G2758">
        <f ca="1">_xlfn.NORM.INV(RAND(),$M$7,$M$8)</f>
        <v>-7.1562064195696828E-3</v>
      </c>
    </row>
    <row r="2759" spans="6:7" x14ac:dyDescent="0.25">
      <c r="F2759">
        <v>2756</v>
      </c>
      <c r="G2759">
        <f ca="1">_xlfn.NORM.INV(RAND(),$M$7,$M$8)</f>
        <v>2.2342073433840315E-2</v>
      </c>
    </row>
    <row r="2760" spans="6:7" x14ac:dyDescent="0.25">
      <c r="F2760">
        <v>2757</v>
      </c>
      <c r="G2760">
        <f ca="1">_xlfn.NORM.INV(RAND(),$M$7,$M$8)</f>
        <v>-1.1351307118597862E-2</v>
      </c>
    </row>
    <row r="2761" spans="6:7" x14ac:dyDescent="0.25">
      <c r="F2761">
        <v>2758</v>
      </c>
      <c r="G2761">
        <f ca="1">_xlfn.NORM.INV(RAND(),$M$7,$M$8)</f>
        <v>1.7916319922377525E-2</v>
      </c>
    </row>
    <row r="2762" spans="6:7" x14ac:dyDescent="0.25">
      <c r="F2762">
        <v>2759</v>
      </c>
      <c r="G2762">
        <f ca="1">_xlfn.NORM.INV(RAND(),$M$7,$M$8)</f>
        <v>-1.0340166142332257E-3</v>
      </c>
    </row>
    <row r="2763" spans="6:7" x14ac:dyDescent="0.25">
      <c r="F2763">
        <v>2760</v>
      </c>
      <c r="G2763">
        <f ca="1">_xlfn.NORM.INV(RAND(),$M$7,$M$8)</f>
        <v>-2.6551537682776367E-2</v>
      </c>
    </row>
    <row r="2764" spans="6:7" x14ac:dyDescent="0.25">
      <c r="F2764">
        <v>2761</v>
      </c>
      <c r="G2764">
        <f ca="1">_xlfn.NORM.INV(RAND(),$M$7,$M$8)</f>
        <v>-1.5254253612446006E-2</v>
      </c>
    </row>
    <row r="2765" spans="6:7" x14ac:dyDescent="0.25">
      <c r="F2765">
        <v>2762</v>
      </c>
      <c r="G2765">
        <f ca="1">_xlfn.NORM.INV(RAND(),$M$7,$M$8)</f>
        <v>4.6117824623922634E-3</v>
      </c>
    </row>
    <row r="2766" spans="6:7" x14ac:dyDescent="0.25">
      <c r="F2766">
        <v>2763</v>
      </c>
      <c r="G2766">
        <f ca="1">_xlfn.NORM.INV(RAND(),$M$7,$M$8)</f>
        <v>1.6240327602463623E-2</v>
      </c>
    </row>
    <row r="2767" spans="6:7" x14ac:dyDescent="0.25">
      <c r="F2767">
        <v>2764</v>
      </c>
      <c r="G2767">
        <f ca="1">_xlfn.NORM.INV(RAND(),$M$7,$M$8)</f>
        <v>-1.5615992518606587E-2</v>
      </c>
    </row>
    <row r="2768" spans="6:7" x14ac:dyDescent="0.25">
      <c r="F2768">
        <v>2765</v>
      </c>
      <c r="G2768">
        <f ca="1">_xlfn.NORM.INV(RAND(),$M$7,$M$8)</f>
        <v>6.4553830802059453E-2</v>
      </c>
    </row>
    <row r="2769" spans="6:7" x14ac:dyDescent="0.25">
      <c r="F2769">
        <v>2766</v>
      </c>
      <c r="G2769">
        <f ca="1">_xlfn.NORM.INV(RAND(),$M$7,$M$8)</f>
        <v>-3.1702537395674635E-2</v>
      </c>
    </row>
    <row r="2770" spans="6:7" x14ac:dyDescent="0.25">
      <c r="F2770">
        <v>2767</v>
      </c>
      <c r="G2770">
        <f ca="1">_xlfn.NORM.INV(RAND(),$M$7,$M$8)</f>
        <v>-2.4953421681273152E-2</v>
      </c>
    </row>
    <row r="2771" spans="6:7" x14ac:dyDescent="0.25">
      <c r="F2771">
        <v>2768</v>
      </c>
      <c r="G2771">
        <f ca="1">_xlfn.NORM.INV(RAND(),$M$7,$M$8)</f>
        <v>2.6047034767572155E-2</v>
      </c>
    </row>
    <row r="2772" spans="6:7" x14ac:dyDescent="0.25">
      <c r="F2772">
        <v>2769</v>
      </c>
      <c r="G2772">
        <f ca="1">_xlfn.NORM.INV(RAND(),$M$7,$M$8)</f>
        <v>-2.7317943016363726E-4</v>
      </c>
    </row>
    <row r="2773" spans="6:7" x14ac:dyDescent="0.25">
      <c r="F2773">
        <v>2770</v>
      </c>
      <c r="G2773">
        <f ca="1">_xlfn.NORM.INV(RAND(),$M$7,$M$8)</f>
        <v>-1.6059645129040522E-2</v>
      </c>
    </row>
    <row r="2774" spans="6:7" x14ac:dyDescent="0.25">
      <c r="F2774">
        <v>2771</v>
      </c>
      <c r="G2774">
        <f ca="1">_xlfn.NORM.INV(RAND(),$M$7,$M$8)</f>
        <v>-4.2569748012756509E-2</v>
      </c>
    </row>
    <row r="2775" spans="6:7" x14ac:dyDescent="0.25">
      <c r="F2775">
        <v>2772</v>
      </c>
      <c r="G2775">
        <f ca="1">_xlfn.NORM.INV(RAND(),$M$7,$M$8)</f>
        <v>-7.3051880263587943E-3</v>
      </c>
    </row>
    <row r="2776" spans="6:7" x14ac:dyDescent="0.25">
      <c r="F2776">
        <v>2773</v>
      </c>
      <c r="G2776">
        <f ca="1">_xlfn.NORM.INV(RAND(),$M$7,$M$8)</f>
        <v>1.5302173990846047E-3</v>
      </c>
    </row>
    <row r="2777" spans="6:7" x14ac:dyDescent="0.25">
      <c r="F2777">
        <v>2774</v>
      </c>
      <c r="G2777">
        <f ca="1">_xlfn.NORM.INV(RAND(),$M$7,$M$8)</f>
        <v>2.5940960401431897E-3</v>
      </c>
    </row>
    <row r="2778" spans="6:7" x14ac:dyDescent="0.25">
      <c r="F2778">
        <v>2775</v>
      </c>
      <c r="G2778">
        <f ca="1">_xlfn.NORM.INV(RAND(),$M$7,$M$8)</f>
        <v>-1.4070236424193413E-2</v>
      </c>
    </row>
    <row r="2779" spans="6:7" x14ac:dyDescent="0.25">
      <c r="F2779">
        <v>2776</v>
      </c>
      <c r="G2779">
        <f ca="1">_xlfn.NORM.INV(RAND(),$M$7,$M$8)</f>
        <v>-4.4813938012163226E-3</v>
      </c>
    </row>
    <row r="2780" spans="6:7" x14ac:dyDescent="0.25">
      <c r="F2780">
        <v>2777</v>
      </c>
      <c r="G2780">
        <f ca="1">_xlfn.NORM.INV(RAND(),$M$7,$M$8)</f>
        <v>4.7867639750220396E-2</v>
      </c>
    </row>
    <row r="2781" spans="6:7" x14ac:dyDescent="0.25">
      <c r="F2781">
        <v>2778</v>
      </c>
      <c r="G2781">
        <f ca="1">_xlfn.NORM.INV(RAND(),$M$7,$M$8)</f>
        <v>-9.0382053790780577E-3</v>
      </c>
    </row>
    <row r="2782" spans="6:7" x14ac:dyDescent="0.25">
      <c r="F2782">
        <v>2779</v>
      </c>
      <c r="G2782">
        <f ca="1">_xlfn.NORM.INV(RAND(),$M$7,$M$8)</f>
        <v>1.926878292329046E-2</v>
      </c>
    </row>
    <row r="2783" spans="6:7" x14ac:dyDescent="0.25">
      <c r="F2783">
        <v>2780</v>
      </c>
      <c r="G2783">
        <f ca="1">_xlfn.NORM.INV(RAND(),$M$7,$M$8)</f>
        <v>-4.4874669891119545E-3</v>
      </c>
    </row>
    <row r="2784" spans="6:7" x14ac:dyDescent="0.25">
      <c r="F2784">
        <v>2781</v>
      </c>
      <c r="G2784">
        <f ca="1">_xlfn.NORM.INV(RAND(),$M$7,$M$8)</f>
        <v>-2.4101639979374624E-2</v>
      </c>
    </row>
    <row r="2785" spans="6:7" x14ac:dyDescent="0.25">
      <c r="F2785">
        <v>2782</v>
      </c>
      <c r="G2785">
        <f ca="1">_xlfn.NORM.INV(RAND(),$M$7,$M$8)</f>
        <v>1.0555590496430952E-2</v>
      </c>
    </row>
    <row r="2786" spans="6:7" x14ac:dyDescent="0.25">
      <c r="F2786">
        <v>2783</v>
      </c>
      <c r="G2786">
        <f ca="1">_xlfn.NORM.INV(RAND(),$M$7,$M$8)</f>
        <v>-1.9639815862229203E-2</v>
      </c>
    </row>
    <row r="2787" spans="6:7" x14ac:dyDescent="0.25">
      <c r="F2787">
        <v>2784</v>
      </c>
      <c r="G2787">
        <f ca="1">_xlfn.NORM.INV(RAND(),$M$7,$M$8)</f>
        <v>2.1203777163921328E-2</v>
      </c>
    </row>
    <row r="2788" spans="6:7" x14ac:dyDescent="0.25">
      <c r="F2788">
        <v>2785</v>
      </c>
      <c r="G2788">
        <f ca="1">_xlfn.NORM.INV(RAND(),$M$7,$M$8)</f>
        <v>-4.421129745072485E-2</v>
      </c>
    </row>
    <row r="2789" spans="6:7" x14ac:dyDescent="0.25">
      <c r="F2789">
        <v>2786</v>
      </c>
      <c r="G2789">
        <f ca="1">_xlfn.NORM.INV(RAND(),$M$7,$M$8)</f>
        <v>-2.2566273926107602E-2</v>
      </c>
    </row>
    <row r="2790" spans="6:7" x14ac:dyDescent="0.25">
      <c r="F2790">
        <v>2787</v>
      </c>
      <c r="G2790">
        <f ca="1">_xlfn.NORM.INV(RAND(),$M$7,$M$8)</f>
        <v>3.3866548826752738E-3</v>
      </c>
    </row>
    <row r="2791" spans="6:7" x14ac:dyDescent="0.25">
      <c r="F2791">
        <v>2788</v>
      </c>
      <c r="G2791">
        <f ca="1">_xlfn.NORM.INV(RAND(),$M$7,$M$8)</f>
        <v>1.8447823275469547E-4</v>
      </c>
    </row>
    <row r="2792" spans="6:7" x14ac:dyDescent="0.25">
      <c r="F2792">
        <v>2789</v>
      </c>
      <c r="G2792">
        <f ca="1">_xlfn.NORM.INV(RAND(),$M$7,$M$8)</f>
        <v>-3.6662866548436673E-2</v>
      </c>
    </row>
    <row r="2793" spans="6:7" x14ac:dyDescent="0.25">
      <c r="F2793">
        <v>2790</v>
      </c>
      <c r="G2793">
        <f ca="1">_xlfn.NORM.INV(RAND(),$M$7,$M$8)</f>
        <v>1.0965743649366561E-3</v>
      </c>
    </row>
    <row r="2794" spans="6:7" x14ac:dyDescent="0.25">
      <c r="F2794">
        <v>2791</v>
      </c>
      <c r="G2794">
        <f ca="1">_xlfn.NORM.INV(RAND(),$M$7,$M$8)</f>
        <v>-1.36979561230114E-4</v>
      </c>
    </row>
    <row r="2795" spans="6:7" x14ac:dyDescent="0.25">
      <c r="F2795">
        <v>2792</v>
      </c>
      <c r="G2795">
        <f ca="1">_xlfn.NORM.INV(RAND(),$M$7,$M$8)</f>
        <v>-1.5089965643860982E-2</v>
      </c>
    </row>
    <row r="2796" spans="6:7" x14ac:dyDescent="0.25">
      <c r="F2796">
        <v>2793</v>
      </c>
      <c r="G2796">
        <f ca="1">_xlfn.NORM.INV(RAND(),$M$7,$M$8)</f>
        <v>3.546997750551658E-2</v>
      </c>
    </row>
    <row r="2797" spans="6:7" x14ac:dyDescent="0.25">
      <c r="F2797">
        <v>2794</v>
      </c>
      <c r="G2797">
        <f ca="1">_xlfn.NORM.INV(RAND(),$M$7,$M$8)</f>
        <v>-2.2892251955093042E-2</v>
      </c>
    </row>
    <row r="2798" spans="6:7" x14ac:dyDescent="0.25">
      <c r="F2798">
        <v>2795</v>
      </c>
      <c r="G2798">
        <f ca="1">_xlfn.NORM.INV(RAND(),$M$7,$M$8)</f>
        <v>-2.5323579350526337E-3</v>
      </c>
    </row>
    <row r="2799" spans="6:7" x14ac:dyDescent="0.25">
      <c r="F2799">
        <v>2796</v>
      </c>
      <c r="G2799">
        <f ca="1">_xlfn.NORM.INV(RAND(),$M$7,$M$8)</f>
        <v>-1.3026959041133913E-2</v>
      </c>
    </row>
    <row r="2800" spans="6:7" x14ac:dyDescent="0.25">
      <c r="F2800">
        <v>2797</v>
      </c>
      <c r="G2800">
        <f ca="1">_xlfn.NORM.INV(RAND(),$M$7,$M$8)</f>
        <v>1.8650870204657145E-2</v>
      </c>
    </row>
    <row r="2801" spans="6:7" x14ac:dyDescent="0.25">
      <c r="F2801">
        <v>2798</v>
      </c>
      <c r="G2801">
        <f ca="1">_xlfn.NORM.INV(RAND(),$M$7,$M$8)</f>
        <v>2.347268564834E-2</v>
      </c>
    </row>
    <row r="2802" spans="6:7" x14ac:dyDescent="0.25">
      <c r="F2802">
        <v>2799</v>
      </c>
      <c r="G2802">
        <f ca="1">_xlfn.NORM.INV(RAND(),$M$7,$M$8)</f>
        <v>2.6699354105236595E-2</v>
      </c>
    </row>
    <row r="2803" spans="6:7" x14ac:dyDescent="0.25">
      <c r="F2803">
        <v>2800</v>
      </c>
      <c r="G2803">
        <f ca="1">_xlfn.NORM.INV(RAND(),$M$7,$M$8)</f>
        <v>-1.2583702653103306E-2</v>
      </c>
    </row>
    <row r="2804" spans="6:7" x14ac:dyDescent="0.25">
      <c r="F2804">
        <v>2801</v>
      </c>
      <c r="G2804">
        <f ca="1">_xlfn.NORM.INV(RAND(),$M$7,$M$8)</f>
        <v>-1.2192843576082E-2</v>
      </c>
    </row>
    <row r="2805" spans="6:7" x14ac:dyDescent="0.25">
      <c r="F2805">
        <v>2802</v>
      </c>
      <c r="G2805">
        <f ca="1">_xlfn.NORM.INV(RAND(),$M$7,$M$8)</f>
        <v>-1.887599760990737E-2</v>
      </c>
    </row>
    <row r="2806" spans="6:7" x14ac:dyDescent="0.25">
      <c r="F2806">
        <v>2803</v>
      </c>
      <c r="G2806">
        <f ca="1">_xlfn.NORM.INV(RAND(),$M$7,$M$8)</f>
        <v>-2.4452949440412187E-2</v>
      </c>
    </row>
    <row r="2807" spans="6:7" x14ac:dyDescent="0.25">
      <c r="F2807">
        <v>2804</v>
      </c>
      <c r="G2807">
        <f ca="1">_xlfn.NORM.INV(RAND(),$M$7,$M$8)</f>
        <v>-3.0415370501681556E-3</v>
      </c>
    </row>
    <row r="2808" spans="6:7" x14ac:dyDescent="0.25">
      <c r="F2808">
        <v>2805</v>
      </c>
      <c r="G2808">
        <f ca="1">_xlfn.NORM.INV(RAND(),$M$7,$M$8)</f>
        <v>1.8839026996836136E-2</v>
      </c>
    </row>
    <row r="2809" spans="6:7" x14ac:dyDescent="0.25">
      <c r="F2809">
        <v>2806</v>
      </c>
      <c r="G2809">
        <f ca="1">_xlfn.NORM.INV(RAND(),$M$7,$M$8)</f>
        <v>2.7005563387544271E-2</v>
      </c>
    </row>
    <row r="2810" spans="6:7" x14ac:dyDescent="0.25">
      <c r="F2810">
        <v>2807</v>
      </c>
      <c r="G2810">
        <f ca="1">_xlfn.NORM.INV(RAND(),$M$7,$M$8)</f>
        <v>-2.7288439796143975E-2</v>
      </c>
    </row>
    <row r="2811" spans="6:7" x14ac:dyDescent="0.25">
      <c r="F2811">
        <v>2808</v>
      </c>
      <c r="G2811">
        <f ca="1">_xlfn.NORM.INV(RAND(),$M$7,$M$8)</f>
        <v>2.0527573220714183E-2</v>
      </c>
    </row>
    <row r="2812" spans="6:7" x14ac:dyDescent="0.25">
      <c r="F2812">
        <v>2809</v>
      </c>
      <c r="G2812">
        <f ca="1">_xlfn.NORM.INV(RAND(),$M$7,$M$8)</f>
        <v>2.2534684759057518E-2</v>
      </c>
    </row>
    <row r="2813" spans="6:7" x14ac:dyDescent="0.25">
      <c r="F2813">
        <v>2810</v>
      </c>
      <c r="G2813">
        <f ca="1">_xlfn.NORM.INV(RAND(),$M$7,$M$8)</f>
        <v>2.3575639052412941E-2</v>
      </c>
    </row>
    <row r="2814" spans="6:7" x14ac:dyDescent="0.25">
      <c r="F2814">
        <v>2811</v>
      </c>
      <c r="G2814">
        <f ca="1">_xlfn.NORM.INV(RAND(),$M$7,$M$8)</f>
        <v>1.1138457867696256E-2</v>
      </c>
    </row>
    <row r="2815" spans="6:7" x14ac:dyDescent="0.25">
      <c r="F2815">
        <v>2812</v>
      </c>
      <c r="G2815">
        <f ca="1">_xlfn.NORM.INV(RAND(),$M$7,$M$8)</f>
        <v>-6.297478368843662E-2</v>
      </c>
    </row>
    <row r="2816" spans="6:7" x14ac:dyDescent="0.25">
      <c r="F2816">
        <v>2813</v>
      </c>
      <c r="G2816">
        <f ca="1">_xlfn.NORM.INV(RAND(),$M$7,$M$8)</f>
        <v>-2.3553001845215669E-2</v>
      </c>
    </row>
    <row r="2817" spans="6:7" x14ac:dyDescent="0.25">
      <c r="F2817">
        <v>2814</v>
      </c>
      <c r="G2817">
        <f ca="1">_xlfn.NORM.INV(RAND(),$M$7,$M$8)</f>
        <v>1.8188572913280372E-2</v>
      </c>
    </row>
    <row r="2818" spans="6:7" x14ac:dyDescent="0.25">
      <c r="F2818">
        <v>2815</v>
      </c>
      <c r="G2818">
        <f ca="1">_xlfn.NORM.INV(RAND(),$M$7,$M$8)</f>
        <v>3.3034228964566245E-2</v>
      </c>
    </row>
    <row r="2819" spans="6:7" x14ac:dyDescent="0.25">
      <c r="F2819">
        <v>2816</v>
      </c>
      <c r="G2819">
        <f ca="1">_xlfn.NORM.INV(RAND(),$M$7,$M$8)</f>
        <v>-1.93077980258997E-2</v>
      </c>
    </row>
    <row r="2820" spans="6:7" x14ac:dyDescent="0.25">
      <c r="F2820">
        <v>2817</v>
      </c>
      <c r="G2820">
        <f ca="1">_xlfn.NORM.INV(RAND(),$M$7,$M$8)</f>
        <v>-3.1806034202252899E-2</v>
      </c>
    </row>
    <row r="2821" spans="6:7" x14ac:dyDescent="0.25">
      <c r="F2821">
        <v>2818</v>
      </c>
      <c r="G2821">
        <f ca="1">_xlfn.NORM.INV(RAND(),$M$7,$M$8)</f>
        <v>-4.3029902512689455E-2</v>
      </c>
    </row>
    <row r="2822" spans="6:7" x14ac:dyDescent="0.25">
      <c r="F2822">
        <v>2819</v>
      </c>
      <c r="G2822">
        <f ca="1">_xlfn.NORM.INV(RAND(),$M$7,$M$8)</f>
        <v>2.8756129409339616E-2</v>
      </c>
    </row>
    <row r="2823" spans="6:7" x14ac:dyDescent="0.25">
      <c r="F2823">
        <v>2820</v>
      </c>
      <c r="G2823">
        <f ca="1">_xlfn.NORM.INV(RAND(),$M$7,$M$8)</f>
        <v>2.3143971766838873E-2</v>
      </c>
    </row>
    <row r="2824" spans="6:7" x14ac:dyDescent="0.25">
      <c r="F2824">
        <v>2821</v>
      </c>
      <c r="G2824">
        <f ca="1">_xlfn.NORM.INV(RAND(),$M$7,$M$8)</f>
        <v>1.2813358719207138E-3</v>
      </c>
    </row>
    <row r="2825" spans="6:7" x14ac:dyDescent="0.25">
      <c r="F2825">
        <v>2822</v>
      </c>
      <c r="G2825">
        <f ca="1">_xlfn.NORM.INV(RAND(),$M$7,$M$8)</f>
        <v>-9.811254102482134E-3</v>
      </c>
    </row>
    <row r="2826" spans="6:7" x14ac:dyDescent="0.25">
      <c r="F2826">
        <v>2823</v>
      </c>
      <c r="G2826">
        <f ca="1">_xlfn.NORM.INV(RAND(),$M$7,$M$8)</f>
        <v>8.4255617107694709E-3</v>
      </c>
    </row>
    <row r="2827" spans="6:7" x14ac:dyDescent="0.25">
      <c r="F2827">
        <v>2824</v>
      </c>
      <c r="G2827">
        <f ca="1">_xlfn.NORM.INV(RAND(),$M$7,$M$8)</f>
        <v>-7.2934949761602266E-3</v>
      </c>
    </row>
    <row r="2828" spans="6:7" x14ac:dyDescent="0.25">
      <c r="F2828">
        <v>2825</v>
      </c>
      <c r="G2828">
        <f ca="1">_xlfn.NORM.INV(RAND(),$M$7,$M$8)</f>
        <v>-7.3080991008269269E-3</v>
      </c>
    </row>
    <row r="2829" spans="6:7" x14ac:dyDescent="0.25">
      <c r="F2829">
        <v>2826</v>
      </c>
      <c r="G2829">
        <f ca="1">_xlfn.NORM.INV(RAND(),$M$7,$M$8)</f>
        <v>-3.1791821377432229E-2</v>
      </c>
    </row>
    <row r="2830" spans="6:7" x14ac:dyDescent="0.25">
      <c r="F2830">
        <v>2827</v>
      </c>
      <c r="G2830">
        <f ca="1">_xlfn.NORM.INV(RAND(),$M$7,$M$8)</f>
        <v>-5.7289778015570982E-3</v>
      </c>
    </row>
    <row r="2831" spans="6:7" x14ac:dyDescent="0.25">
      <c r="F2831">
        <v>2828</v>
      </c>
      <c r="G2831">
        <f ca="1">_xlfn.NORM.INV(RAND(),$M$7,$M$8)</f>
        <v>-3.7100109149830682E-2</v>
      </c>
    </row>
    <row r="2832" spans="6:7" x14ac:dyDescent="0.25">
      <c r="F2832">
        <v>2829</v>
      </c>
      <c r="G2832">
        <f ca="1">_xlfn.NORM.INV(RAND(),$M$7,$M$8)</f>
        <v>2.1631699052284337E-2</v>
      </c>
    </row>
    <row r="2833" spans="6:7" x14ac:dyDescent="0.25">
      <c r="F2833">
        <v>2830</v>
      </c>
      <c r="G2833">
        <f ca="1">_xlfn.NORM.INV(RAND(),$M$7,$M$8)</f>
        <v>7.3755990388147067E-3</v>
      </c>
    </row>
    <row r="2834" spans="6:7" x14ac:dyDescent="0.25">
      <c r="F2834">
        <v>2831</v>
      </c>
      <c r="G2834">
        <f ca="1">_xlfn.NORM.INV(RAND(),$M$7,$M$8)</f>
        <v>-2.294848943741672E-2</v>
      </c>
    </row>
    <row r="2835" spans="6:7" x14ac:dyDescent="0.25">
      <c r="F2835">
        <v>2832</v>
      </c>
      <c r="G2835">
        <f ca="1">_xlfn.NORM.INV(RAND(),$M$7,$M$8)</f>
        <v>-4.8391287100789746E-3</v>
      </c>
    </row>
    <row r="2836" spans="6:7" x14ac:dyDescent="0.25">
      <c r="F2836">
        <v>2833</v>
      </c>
      <c r="G2836">
        <f ca="1">_xlfn.NORM.INV(RAND(),$M$7,$M$8)</f>
        <v>2.5611187051937708E-3</v>
      </c>
    </row>
    <row r="2837" spans="6:7" x14ac:dyDescent="0.25">
      <c r="F2837">
        <v>2834</v>
      </c>
      <c r="G2837">
        <f ca="1">_xlfn.NORM.INV(RAND(),$M$7,$M$8)</f>
        <v>8.6946516367364356E-3</v>
      </c>
    </row>
    <row r="2838" spans="6:7" x14ac:dyDescent="0.25">
      <c r="F2838">
        <v>2835</v>
      </c>
      <c r="G2838">
        <f ca="1">_xlfn.NORM.INV(RAND(),$M$7,$M$8)</f>
        <v>-1.7699149863755426E-2</v>
      </c>
    </row>
    <row r="2839" spans="6:7" x14ac:dyDescent="0.25">
      <c r="F2839">
        <v>2836</v>
      </c>
      <c r="G2839">
        <f ca="1">_xlfn.NORM.INV(RAND(),$M$7,$M$8)</f>
        <v>-2.1582013093854952E-2</v>
      </c>
    </row>
    <row r="2840" spans="6:7" x14ac:dyDescent="0.25">
      <c r="F2840">
        <v>2837</v>
      </c>
      <c r="G2840">
        <f ca="1">_xlfn.NORM.INV(RAND(),$M$7,$M$8)</f>
        <v>-2.1331729496115694E-2</v>
      </c>
    </row>
    <row r="2841" spans="6:7" x14ac:dyDescent="0.25">
      <c r="F2841">
        <v>2838</v>
      </c>
      <c r="G2841">
        <f ca="1">_xlfn.NORM.INV(RAND(),$M$7,$M$8)</f>
        <v>-1.8979347702080323E-4</v>
      </c>
    </row>
    <row r="2842" spans="6:7" x14ac:dyDescent="0.25">
      <c r="F2842">
        <v>2839</v>
      </c>
      <c r="G2842">
        <f ca="1">_xlfn.NORM.INV(RAND(),$M$7,$M$8)</f>
        <v>1.9204341975419016E-2</v>
      </c>
    </row>
    <row r="2843" spans="6:7" x14ac:dyDescent="0.25">
      <c r="F2843">
        <v>2840</v>
      </c>
      <c r="G2843">
        <f ca="1">_xlfn.NORM.INV(RAND(),$M$7,$M$8)</f>
        <v>4.1500471964671971E-3</v>
      </c>
    </row>
    <row r="2844" spans="6:7" x14ac:dyDescent="0.25">
      <c r="F2844">
        <v>2841</v>
      </c>
      <c r="G2844">
        <f ca="1">_xlfn.NORM.INV(RAND(),$M$7,$M$8)</f>
        <v>5.3569933505075787E-2</v>
      </c>
    </row>
    <row r="2845" spans="6:7" x14ac:dyDescent="0.25">
      <c r="F2845">
        <v>2842</v>
      </c>
      <c r="G2845">
        <f ca="1">_xlfn.NORM.INV(RAND(),$M$7,$M$8)</f>
        <v>-1.3239681876770422E-2</v>
      </c>
    </row>
    <row r="2846" spans="6:7" x14ac:dyDescent="0.25">
      <c r="F2846">
        <v>2843</v>
      </c>
      <c r="G2846">
        <f ca="1">_xlfn.NORM.INV(RAND(),$M$7,$M$8)</f>
        <v>-8.1515617762710768E-3</v>
      </c>
    </row>
    <row r="2847" spans="6:7" x14ac:dyDescent="0.25">
      <c r="F2847">
        <v>2844</v>
      </c>
      <c r="G2847">
        <f ca="1">_xlfn.NORM.INV(RAND(),$M$7,$M$8)</f>
        <v>5.9545909141425019E-2</v>
      </c>
    </row>
    <row r="2848" spans="6:7" x14ac:dyDescent="0.25">
      <c r="F2848">
        <v>2845</v>
      </c>
      <c r="G2848">
        <f ca="1">_xlfn.NORM.INV(RAND(),$M$7,$M$8)</f>
        <v>2.0428642552224374E-2</v>
      </c>
    </row>
    <row r="2849" spans="6:7" x14ac:dyDescent="0.25">
      <c r="F2849">
        <v>2846</v>
      </c>
      <c r="G2849">
        <f ca="1">_xlfn.NORM.INV(RAND(),$M$7,$M$8)</f>
        <v>-8.8795278299088828E-3</v>
      </c>
    </row>
    <row r="2850" spans="6:7" x14ac:dyDescent="0.25">
      <c r="F2850">
        <v>2847</v>
      </c>
      <c r="G2850">
        <f ca="1">_xlfn.NORM.INV(RAND(),$M$7,$M$8)</f>
        <v>3.3912747009574237E-3</v>
      </c>
    </row>
    <row r="2851" spans="6:7" x14ac:dyDescent="0.25">
      <c r="F2851">
        <v>2848</v>
      </c>
      <c r="G2851">
        <f ca="1">_xlfn.NORM.INV(RAND(),$M$7,$M$8)</f>
        <v>-2.3525366862341173E-2</v>
      </c>
    </row>
    <row r="2852" spans="6:7" x14ac:dyDescent="0.25">
      <c r="F2852">
        <v>2849</v>
      </c>
      <c r="G2852">
        <f ca="1">_xlfn.NORM.INV(RAND(),$M$7,$M$8)</f>
        <v>1.2103860936946445E-2</v>
      </c>
    </row>
    <row r="2853" spans="6:7" x14ac:dyDescent="0.25">
      <c r="F2853">
        <v>2850</v>
      </c>
      <c r="G2853">
        <f ca="1">_xlfn.NORM.INV(RAND(),$M$7,$M$8)</f>
        <v>2.0863726048431168E-2</v>
      </c>
    </row>
    <row r="2854" spans="6:7" x14ac:dyDescent="0.25">
      <c r="F2854">
        <v>2851</v>
      </c>
      <c r="G2854">
        <f ca="1">_xlfn.NORM.INV(RAND(),$M$7,$M$8)</f>
        <v>8.381890097749374E-4</v>
      </c>
    </row>
    <row r="2855" spans="6:7" x14ac:dyDescent="0.25">
      <c r="F2855">
        <v>2852</v>
      </c>
      <c r="G2855">
        <f ca="1">_xlfn.NORM.INV(RAND(),$M$7,$M$8)</f>
        <v>-2.9382332121823233E-2</v>
      </c>
    </row>
    <row r="2856" spans="6:7" x14ac:dyDescent="0.25">
      <c r="F2856">
        <v>2853</v>
      </c>
      <c r="G2856">
        <f ca="1">_xlfn.NORM.INV(RAND(),$M$7,$M$8)</f>
        <v>5.7351175766462426E-3</v>
      </c>
    </row>
    <row r="2857" spans="6:7" x14ac:dyDescent="0.25">
      <c r="F2857">
        <v>2854</v>
      </c>
      <c r="G2857">
        <f ca="1">_xlfn.NORM.INV(RAND(),$M$7,$M$8)</f>
        <v>-1.1501743873896303E-2</v>
      </c>
    </row>
    <row r="2858" spans="6:7" x14ac:dyDescent="0.25">
      <c r="F2858">
        <v>2855</v>
      </c>
      <c r="G2858">
        <f ca="1">_xlfn.NORM.INV(RAND(),$M$7,$M$8)</f>
        <v>-2.5248029222878048E-2</v>
      </c>
    </row>
    <row r="2859" spans="6:7" x14ac:dyDescent="0.25">
      <c r="F2859">
        <v>2856</v>
      </c>
      <c r="G2859">
        <f ca="1">_xlfn.NORM.INV(RAND(),$M$7,$M$8)</f>
        <v>2.9676342522104479E-2</v>
      </c>
    </row>
    <row r="2860" spans="6:7" x14ac:dyDescent="0.25">
      <c r="F2860">
        <v>2857</v>
      </c>
      <c r="G2860">
        <f ca="1">_xlfn.NORM.INV(RAND(),$M$7,$M$8)</f>
        <v>5.6960776999668415E-2</v>
      </c>
    </row>
    <row r="2861" spans="6:7" x14ac:dyDescent="0.25">
      <c r="F2861">
        <v>2858</v>
      </c>
      <c r="G2861">
        <f ca="1">_xlfn.NORM.INV(RAND(),$M$7,$M$8)</f>
        <v>1.8658794173068809E-2</v>
      </c>
    </row>
    <row r="2862" spans="6:7" x14ac:dyDescent="0.25">
      <c r="F2862">
        <v>2859</v>
      </c>
      <c r="G2862">
        <f ca="1">_xlfn.NORM.INV(RAND(),$M$7,$M$8)</f>
        <v>4.9290156811346991E-3</v>
      </c>
    </row>
    <row r="2863" spans="6:7" x14ac:dyDescent="0.25">
      <c r="F2863">
        <v>2860</v>
      </c>
      <c r="G2863">
        <f ca="1">_xlfn.NORM.INV(RAND(),$M$7,$M$8)</f>
        <v>3.5494834399445889E-2</v>
      </c>
    </row>
    <row r="2864" spans="6:7" x14ac:dyDescent="0.25">
      <c r="F2864">
        <v>2861</v>
      </c>
      <c r="G2864">
        <f ca="1">_xlfn.NORM.INV(RAND(),$M$7,$M$8)</f>
        <v>-3.5642049912294502E-3</v>
      </c>
    </row>
    <row r="2865" spans="6:7" x14ac:dyDescent="0.25">
      <c r="F2865">
        <v>2862</v>
      </c>
      <c r="G2865">
        <f ca="1">_xlfn.NORM.INV(RAND(),$M$7,$M$8)</f>
        <v>-7.0851424576557406E-3</v>
      </c>
    </row>
    <row r="2866" spans="6:7" x14ac:dyDescent="0.25">
      <c r="F2866">
        <v>2863</v>
      </c>
      <c r="G2866">
        <f ca="1">_xlfn.NORM.INV(RAND(),$M$7,$M$8)</f>
        <v>-6.1303742346049163E-3</v>
      </c>
    </row>
    <row r="2867" spans="6:7" x14ac:dyDescent="0.25">
      <c r="F2867">
        <v>2864</v>
      </c>
      <c r="G2867">
        <f ca="1">_xlfn.NORM.INV(RAND(),$M$7,$M$8)</f>
        <v>1.1706405588242713E-2</v>
      </c>
    </row>
    <row r="2868" spans="6:7" x14ac:dyDescent="0.25">
      <c r="F2868">
        <v>2865</v>
      </c>
      <c r="G2868">
        <f ca="1">_xlfn.NORM.INV(RAND(),$M$7,$M$8)</f>
        <v>6.8401648190307991E-3</v>
      </c>
    </row>
    <row r="2869" spans="6:7" x14ac:dyDescent="0.25">
      <c r="F2869">
        <v>2866</v>
      </c>
      <c r="G2869">
        <f ca="1">_xlfn.NORM.INV(RAND(),$M$7,$M$8)</f>
        <v>-1.2982720558557079E-2</v>
      </c>
    </row>
    <row r="2870" spans="6:7" x14ac:dyDescent="0.25">
      <c r="F2870">
        <v>2867</v>
      </c>
      <c r="G2870">
        <f ca="1">_xlfn.NORM.INV(RAND(),$M$7,$M$8)</f>
        <v>-2.4377519099916662E-2</v>
      </c>
    </row>
    <row r="2871" spans="6:7" x14ac:dyDescent="0.25">
      <c r="F2871">
        <v>2868</v>
      </c>
      <c r="G2871">
        <f ca="1">_xlfn.NORM.INV(RAND(),$M$7,$M$8)</f>
        <v>-5.979794999804651E-2</v>
      </c>
    </row>
    <row r="2872" spans="6:7" x14ac:dyDescent="0.25">
      <c r="F2872">
        <v>2869</v>
      </c>
      <c r="G2872">
        <f ca="1">_xlfn.NORM.INV(RAND(),$M$7,$M$8)</f>
        <v>1.1622434003498617E-2</v>
      </c>
    </row>
    <row r="2873" spans="6:7" x14ac:dyDescent="0.25">
      <c r="F2873">
        <v>2870</v>
      </c>
      <c r="G2873">
        <f ca="1">_xlfn.NORM.INV(RAND(),$M$7,$M$8)</f>
        <v>-2.7848883717219095E-2</v>
      </c>
    </row>
    <row r="2874" spans="6:7" x14ac:dyDescent="0.25">
      <c r="F2874">
        <v>2871</v>
      </c>
      <c r="G2874">
        <f ca="1">_xlfn.NORM.INV(RAND(),$M$7,$M$8)</f>
        <v>-4.4635435363708526E-3</v>
      </c>
    </row>
    <row r="2875" spans="6:7" x14ac:dyDescent="0.25">
      <c r="F2875">
        <v>2872</v>
      </c>
      <c r="G2875">
        <f ca="1">_xlfn.NORM.INV(RAND(),$M$7,$M$8)</f>
        <v>-1.9441711848720146E-3</v>
      </c>
    </row>
    <row r="2876" spans="6:7" x14ac:dyDescent="0.25">
      <c r="F2876">
        <v>2873</v>
      </c>
      <c r="G2876">
        <f ca="1">_xlfn.NORM.INV(RAND(),$M$7,$M$8)</f>
        <v>-3.5241839955714081E-2</v>
      </c>
    </row>
    <row r="2877" spans="6:7" x14ac:dyDescent="0.25">
      <c r="F2877">
        <v>2874</v>
      </c>
      <c r="G2877">
        <f ca="1">_xlfn.NORM.INV(RAND(),$M$7,$M$8)</f>
        <v>-6.0030317064168112E-3</v>
      </c>
    </row>
    <row r="2878" spans="6:7" x14ac:dyDescent="0.25">
      <c r="F2878">
        <v>2875</v>
      </c>
      <c r="G2878">
        <f ca="1">_xlfn.NORM.INV(RAND(),$M$7,$M$8)</f>
        <v>1.9687074957325652E-2</v>
      </c>
    </row>
    <row r="2879" spans="6:7" x14ac:dyDescent="0.25">
      <c r="F2879">
        <v>2876</v>
      </c>
      <c r="G2879">
        <f ca="1">_xlfn.NORM.INV(RAND(),$M$7,$M$8)</f>
        <v>1.3375295208104314E-2</v>
      </c>
    </row>
    <row r="2880" spans="6:7" x14ac:dyDescent="0.25">
      <c r="F2880">
        <v>2877</v>
      </c>
      <c r="G2880">
        <f ca="1">_xlfn.NORM.INV(RAND(),$M$7,$M$8)</f>
        <v>3.4795308443793045E-3</v>
      </c>
    </row>
    <row r="2881" spans="6:7" x14ac:dyDescent="0.25">
      <c r="F2881">
        <v>2878</v>
      </c>
      <c r="G2881">
        <f ca="1">_xlfn.NORM.INV(RAND(),$M$7,$M$8)</f>
        <v>4.9282522363477035E-2</v>
      </c>
    </row>
    <row r="2882" spans="6:7" x14ac:dyDescent="0.25">
      <c r="F2882">
        <v>2879</v>
      </c>
      <c r="G2882">
        <f ca="1">_xlfn.NORM.INV(RAND(),$M$7,$M$8)</f>
        <v>1.2591416623569022E-2</v>
      </c>
    </row>
    <row r="2883" spans="6:7" x14ac:dyDescent="0.25">
      <c r="F2883">
        <v>2880</v>
      </c>
      <c r="G2883">
        <f ca="1">_xlfn.NORM.INV(RAND(),$M$7,$M$8)</f>
        <v>2.3156967055935944E-2</v>
      </c>
    </row>
    <row r="2884" spans="6:7" x14ac:dyDescent="0.25">
      <c r="F2884">
        <v>2881</v>
      </c>
      <c r="G2884">
        <f ca="1">_xlfn.NORM.INV(RAND(),$M$7,$M$8)</f>
        <v>1.0570602533605394E-2</v>
      </c>
    </row>
    <row r="2885" spans="6:7" x14ac:dyDescent="0.25">
      <c r="F2885">
        <v>2882</v>
      </c>
      <c r="G2885">
        <f ca="1">_xlfn.NORM.INV(RAND(),$M$7,$M$8)</f>
        <v>-1.7230401034250654E-2</v>
      </c>
    </row>
    <row r="2886" spans="6:7" x14ac:dyDescent="0.25">
      <c r="F2886">
        <v>2883</v>
      </c>
      <c r="G2886">
        <f ca="1">_xlfn.NORM.INV(RAND(),$M$7,$M$8)</f>
        <v>-1.0927854066226705E-2</v>
      </c>
    </row>
    <row r="2887" spans="6:7" x14ac:dyDescent="0.25">
      <c r="F2887">
        <v>2884</v>
      </c>
      <c r="G2887">
        <f ca="1">_xlfn.NORM.INV(RAND(),$M$7,$M$8)</f>
        <v>-2.4376962582275449E-2</v>
      </c>
    </row>
    <row r="2888" spans="6:7" x14ac:dyDescent="0.25">
      <c r="F2888">
        <v>2885</v>
      </c>
      <c r="G2888">
        <f ca="1">_xlfn.NORM.INV(RAND(),$M$7,$M$8)</f>
        <v>-1.094589146411948E-2</v>
      </c>
    </row>
    <row r="2889" spans="6:7" x14ac:dyDescent="0.25">
      <c r="F2889">
        <v>2886</v>
      </c>
      <c r="G2889">
        <f ca="1">_xlfn.NORM.INV(RAND(),$M$7,$M$8)</f>
        <v>4.677383317246301E-2</v>
      </c>
    </row>
    <row r="2890" spans="6:7" x14ac:dyDescent="0.25">
      <c r="F2890">
        <v>2887</v>
      </c>
      <c r="G2890">
        <f ca="1">_xlfn.NORM.INV(RAND(),$M$7,$M$8)</f>
        <v>3.3028079795767259E-2</v>
      </c>
    </row>
    <row r="2891" spans="6:7" x14ac:dyDescent="0.25">
      <c r="F2891">
        <v>2888</v>
      </c>
      <c r="G2891">
        <f ca="1">_xlfn.NORM.INV(RAND(),$M$7,$M$8)</f>
        <v>-2.0731519989880268E-2</v>
      </c>
    </row>
    <row r="2892" spans="6:7" x14ac:dyDescent="0.25">
      <c r="F2892">
        <v>2889</v>
      </c>
      <c r="G2892">
        <f ca="1">_xlfn.NORM.INV(RAND(),$M$7,$M$8)</f>
        <v>3.6434992751719443E-2</v>
      </c>
    </row>
    <row r="2893" spans="6:7" x14ac:dyDescent="0.25">
      <c r="F2893">
        <v>2890</v>
      </c>
      <c r="G2893">
        <f ca="1">_xlfn.NORM.INV(RAND(),$M$7,$M$8)</f>
        <v>-4.2374768928337463E-2</v>
      </c>
    </row>
    <row r="2894" spans="6:7" x14ac:dyDescent="0.25">
      <c r="F2894">
        <v>2891</v>
      </c>
      <c r="G2894">
        <f ca="1">_xlfn.NORM.INV(RAND(),$M$7,$M$8)</f>
        <v>-1.3188457727909645E-2</v>
      </c>
    </row>
    <row r="2895" spans="6:7" x14ac:dyDescent="0.25">
      <c r="F2895">
        <v>2892</v>
      </c>
      <c r="G2895">
        <f ca="1">_xlfn.NORM.INV(RAND(),$M$7,$M$8)</f>
        <v>-1.2000086434587477E-2</v>
      </c>
    </row>
    <row r="2896" spans="6:7" x14ac:dyDescent="0.25">
      <c r="F2896">
        <v>2893</v>
      </c>
      <c r="G2896">
        <f ca="1">_xlfn.NORM.INV(RAND(),$M$7,$M$8)</f>
        <v>-1.9848462667897443E-2</v>
      </c>
    </row>
    <row r="2897" spans="6:7" x14ac:dyDescent="0.25">
      <c r="F2897">
        <v>2894</v>
      </c>
      <c r="G2897">
        <f ca="1">_xlfn.NORM.INV(RAND(),$M$7,$M$8)</f>
        <v>7.2165202294681603E-4</v>
      </c>
    </row>
    <row r="2898" spans="6:7" x14ac:dyDescent="0.25">
      <c r="F2898">
        <v>2895</v>
      </c>
      <c r="G2898">
        <f ca="1">_xlfn.NORM.INV(RAND(),$M$7,$M$8)</f>
        <v>-1.3563749810419806E-2</v>
      </c>
    </row>
    <row r="2899" spans="6:7" x14ac:dyDescent="0.25">
      <c r="F2899">
        <v>2896</v>
      </c>
      <c r="G2899">
        <f ca="1">_xlfn.NORM.INV(RAND(),$M$7,$M$8)</f>
        <v>-3.2658746865706932E-2</v>
      </c>
    </row>
    <row r="2900" spans="6:7" x14ac:dyDescent="0.25">
      <c r="F2900">
        <v>2897</v>
      </c>
      <c r="G2900">
        <f ca="1">_xlfn.NORM.INV(RAND(),$M$7,$M$8)</f>
        <v>-4.1274286556040839E-3</v>
      </c>
    </row>
    <row r="2901" spans="6:7" x14ac:dyDescent="0.25">
      <c r="F2901">
        <v>2898</v>
      </c>
      <c r="G2901">
        <f ca="1">_xlfn.NORM.INV(RAND(),$M$7,$M$8)</f>
        <v>-2.2373999070850912E-3</v>
      </c>
    </row>
    <row r="2902" spans="6:7" x14ac:dyDescent="0.25">
      <c r="F2902">
        <v>2899</v>
      </c>
      <c r="G2902">
        <f ca="1">_xlfn.NORM.INV(RAND(),$M$7,$M$8)</f>
        <v>-3.2274961289542603E-4</v>
      </c>
    </row>
    <row r="2903" spans="6:7" x14ac:dyDescent="0.25">
      <c r="F2903">
        <v>2900</v>
      </c>
      <c r="G2903">
        <f ca="1">_xlfn.NORM.INV(RAND(),$M$7,$M$8)</f>
        <v>7.6184147834823905E-3</v>
      </c>
    </row>
    <row r="2904" spans="6:7" x14ac:dyDescent="0.25">
      <c r="F2904">
        <v>2901</v>
      </c>
      <c r="G2904">
        <f ca="1">_xlfn.NORM.INV(RAND(),$M$7,$M$8)</f>
        <v>-1.5660291167262985E-2</v>
      </c>
    </row>
    <row r="2905" spans="6:7" x14ac:dyDescent="0.25">
      <c r="F2905">
        <v>2902</v>
      </c>
      <c r="G2905">
        <f ca="1">_xlfn.NORM.INV(RAND(),$M$7,$M$8)</f>
        <v>-1.4918339482688725E-2</v>
      </c>
    </row>
    <row r="2906" spans="6:7" x14ac:dyDescent="0.25">
      <c r="F2906">
        <v>2903</v>
      </c>
      <c r="G2906">
        <f ca="1">_xlfn.NORM.INV(RAND(),$M$7,$M$8)</f>
        <v>-4.9672805252031958E-2</v>
      </c>
    </row>
    <row r="2907" spans="6:7" x14ac:dyDescent="0.25">
      <c r="F2907">
        <v>2904</v>
      </c>
      <c r="G2907">
        <f ca="1">_xlfn.NORM.INV(RAND(),$M$7,$M$8)</f>
        <v>1.7343311729832113E-3</v>
      </c>
    </row>
    <row r="2908" spans="6:7" x14ac:dyDescent="0.25">
      <c r="F2908">
        <v>2905</v>
      </c>
      <c r="G2908">
        <f ca="1">_xlfn.NORM.INV(RAND(),$M$7,$M$8)</f>
        <v>3.88182607785892E-2</v>
      </c>
    </row>
    <row r="2909" spans="6:7" x14ac:dyDescent="0.25">
      <c r="F2909">
        <v>2906</v>
      </c>
      <c r="G2909">
        <f ca="1">_xlfn.NORM.INV(RAND(),$M$7,$M$8)</f>
        <v>-3.0883533755994921E-2</v>
      </c>
    </row>
    <row r="2910" spans="6:7" x14ac:dyDescent="0.25">
      <c r="F2910">
        <v>2907</v>
      </c>
      <c r="G2910">
        <f ca="1">_xlfn.NORM.INV(RAND(),$M$7,$M$8)</f>
        <v>3.1310796098751856E-2</v>
      </c>
    </row>
    <row r="2911" spans="6:7" x14ac:dyDescent="0.25">
      <c r="F2911">
        <v>2908</v>
      </c>
      <c r="G2911">
        <f ca="1">_xlfn.NORM.INV(RAND(),$M$7,$M$8)</f>
        <v>-2.0585290989757497E-2</v>
      </c>
    </row>
    <row r="2912" spans="6:7" x14ac:dyDescent="0.25">
      <c r="F2912">
        <v>2909</v>
      </c>
      <c r="G2912">
        <f ca="1">_xlfn.NORM.INV(RAND(),$M$7,$M$8)</f>
        <v>6.552125075865738E-3</v>
      </c>
    </row>
    <row r="2913" spans="6:7" x14ac:dyDescent="0.25">
      <c r="F2913">
        <v>2910</v>
      </c>
      <c r="G2913">
        <f ca="1">_xlfn.NORM.INV(RAND(),$M$7,$M$8)</f>
        <v>4.8927410812305908E-3</v>
      </c>
    </row>
    <row r="2914" spans="6:7" x14ac:dyDescent="0.25">
      <c r="F2914">
        <v>2911</v>
      </c>
      <c r="G2914">
        <f ca="1">_xlfn.NORM.INV(RAND(),$M$7,$M$8)</f>
        <v>-1.9957181264088148E-2</v>
      </c>
    </row>
    <row r="2915" spans="6:7" x14ac:dyDescent="0.25">
      <c r="F2915">
        <v>2912</v>
      </c>
      <c r="G2915">
        <f ca="1">_xlfn.NORM.INV(RAND(),$M$7,$M$8)</f>
        <v>3.0951834105820294E-2</v>
      </c>
    </row>
    <row r="2916" spans="6:7" x14ac:dyDescent="0.25">
      <c r="F2916">
        <v>2913</v>
      </c>
      <c r="G2916">
        <f ca="1">_xlfn.NORM.INV(RAND(),$M$7,$M$8)</f>
        <v>4.2322598549850892E-3</v>
      </c>
    </row>
    <row r="2917" spans="6:7" x14ac:dyDescent="0.25">
      <c r="F2917">
        <v>2914</v>
      </c>
      <c r="G2917">
        <f ca="1">_xlfn.NORM.INV(RAND(),$M$7,$M$8)</f>
        <v>9.1937596880907156E-3</v>
      </c>
    </row>
    <row r="2918" spans="6:7" x14ac:dyDescent="0.25">
      <c r="F2918">
        <v>2915</v>
      </c>
      <c r="G2918">
        <f ca="1">_xlfn.NORM.INV(RAND(),$M$7,$M$8)</f>
        <v>1.1031537442505056E-3</v>
      </c>
    </row>
    <row r="2919" spans="6:7" x14ac:dyDescent="0.25">
      <c r="F2919">
        <v>2916</v>
      </c>
      <c r="G2919">
        <f ca="1">_xlfn.NORM.INV(RAND(),$M$7,$M$8)</f>
        <v>-6.9174080459423401E-3</v>
      </c>
    </row>
    <row r="2920" spans="6:7" x14ac:dyDescent="0.25">
      <c r="F2920">
        <v>2917</v>
      </c>
      <c r="G2920">
        <f ca="1">_xlfn.NORM.INV(RAND(),$M$7,$M$8)</f>
        <v>9.707614709732219E-3</v>
      </c>
    </row>
    <row r="2921" spans="6:7" x14ac:dyDescent="0.25">
      <c r="F2921">
        <v>2918</v>
      </c>
      <c r="G2921">
        <f ca="1">_xlfn.NORM.INV(RAND(),$M$7,$M$8)</f>
        <v>3.7132185508775867E-2</v>
      </c>
    </row>
    <row r="2922" spans="6:7" x14ac:dyDescent="0.25">
      <c r="F2922">
        <v>2919</v>
      </c>
      <c r="G2922">
        <f ca="1">_xlfn.NORM.INV(RAND(),$M$7,$M$8)</f>
        <v>1.387698019391242E-2</v>
      </c>
    </row>
    <row r="2923" spans="6:7" x14ac:dyDescent="0.25">
      <c r="F2923">
        <v>2920</v>
      </c>
      <c r="G2923">
        <f ca="1">_xlfn.NORM.INV(RAND(),$M$7,$M$8)</f>
        <v>1.7644223688978444E-2</v>
      </c>
    </row>
    <row r="2924" spans="6:7" x14ac:dyDescent="0.25">
      <c r="F2924">
        <v>2921</v>
      </c>
      <c r="G2924">
        <f ca="1">_xlfn.NORM.INV(RAND(),$M$7,$M$8)</f>
        <v>-2.0178784057941594E-3</v>
      </c>
    </row>
    <row r="2925" spans="6:7" x14ac:dyDescent="0.25">
      <c r="F2925">
        <v>2922</v>
      </c>
      <c r="G2925">
        <f ca="1">_xlfn.NORM.INV(RAND(),$M$7,$M$8)</f>
        <v>2.5371424620294965E-2</v>
      </c>
    </row>
    <row r="2926" spans="6:7" x14ac:dyDescent="0.25">
      <c r="F2926">
        <v>2923</v>
      </c>
      <c r="G2926">
        <f ca="1">_xlfn.NORM.INV(RAND(),$M$7,$M$8)</f>
        <v>2.1011354977392521E-2</v>
      </c>
    </row>
    <row r="2927" spans="6:7" x14ac:dyDescent="0.25">
      <c r="F2927">
        <v>2924</v>
      </c>
      <c r="G2927">
        <f ca="1">_xlfn.NORM.INV(RAND(),$M$7,$M$8)</f>
        <v>6.0059186393261726E-3</v>
      </c>
    </row>
    <row r="2928" spans="6:7" x14ac:dyDescent="0.25">
      <c r="F2928">
        <v>2925</v>
      </c>
      <c r="G2928">
        <f ca="1">_xlfn.NORM.INV(RAND(),$M$7,$M$8)</f>
        <v>-4.9364674676814473E-3</v>
      </c>
    </row>
    <row r="2929" spans="6:7" x14ac:dyDescent="0.25">
      <c r="F2929">
        <v>2926</v>
      </c>
      <c r="G2929">
        <f ca="1">_xlfn.NORM.INV(RAND(),$M$7,$M$8)</f>
        <v>1.2472127284394369E-2</v>
      </c>
    </row>
    <row r="2930" spans="6:7" x14ac:dyDescent="0.25">
      <c r="F2930">
        <v>2927</v>
      </c>
      <c r="G2930">
        <f ca="1">_xlfn.NORM.INV(RAND(),$M$7,$M$8)</f>
        <v>1.5798414903235216E-2</v>
      </c>
    </row>
    <row r="2931" spans="6:7" x14ac:dyDescent="0.25">
      <c r="F2931">
        <v>2928</v>
      </c>
      <c r="G2931">
        <f ca="1">_xlfn.NORM.INV(RAND(),$M$7,$M$8)</f>
        <v>1.9318319613525266E-2</v>
      </c>
    </row>
    <row r="2932" spans="6:7" x14ac:dyDescent="0.25">
      <c r="F2932">
        <v>2929</v>
      </c>
      <c r="G2932">
        <f ca="1">_xlfn.NORM.INV(RAND(),$M$7,$M$8)</f>
        <v>2.3539867513353196E-2</v>
      </c>
    </row>
    <row r="2933" spans="6:7" x14ac:dyDescent="0.25">
      <c r="F2933">
        <v>2930</v>
      </c>
      <c r="G2933">
        <f ca="1">_xlfn.NORM.INV(RAND(),$M$7,$M$8)</f>
        <v>-5.2319235704531432E-2</v>
      </c>
    </row>
    <row r="2934" spans="6:7" x14ac:dyDescent="0.25">
      <c r="F2934">
        <v>2931</v>
      </c>
      <c r="G2934">
        <f ca="1">_xlfn.NORM.INV(RAND(),$M$7,$M$8)</f>
        <v>-1.0183543769178448E-2</v>
      </c>
    </row>
    <row r="2935" spans="6:7" x14ac:dyDescent="0.25">
      <c r="F2935">
        <v>2932</v>
      </c>
      <c r="G2935">
        <f ca="1">_xlfn.NORM.INV(RAND(),$M$7,$M$8)</f>
        <v>4.2994757005749163E-3</v>
      </c>
    </row>
    <row r="2936" spans="6:7" x14ac:dyDescent="0.25">
      <c r="F2936">
        <v>2933</v>
      </c>
      <c r="G2936">
        <f ca="1">_xlfn.NORM.INV(RAND(),$M$7,$M$8)</f>
        <v>-4.9768479456148446E-3</v>
      </c>
    </row>
    <row r="2937" spans="6:7" x14ac:dyDescent="0.25">
      <c r="F2937">
        <v>2934</v>
      </c>
      <c r="G2937">
        <f ca="1">_xlfn.NORM.INV(RAND(),$M$7,$M$8)</f>
        <v>2.770370250450448E-2</v>
      </c>
    </row>
    <row r="2938" spans="6:7" x14ac:dyDescent="0.25">
      <c r="F2938">
        <v>2935</v>
      </c>
      <c r="G2938">
        <f ca="1">_xlfn.NORM.INV(RAND(),$M$7,$M$8)</f>
        <v>5.2648219082488137E-2</v>
      </c>
    </row>
    <row r="2939" spans="6:7" x14ac:dyDescent="0.25">
      <c r="F2939">
        <v>2936</v>
      </c>
      <c r="G2939">
        <f ca="1">_xlfn.NORM.INV(RAND(),$M$7,$M$8)</f>
        <v>1.9611307572607511E-2</v>
      </c>
    </row>
    <row r="2940" spans="6:7" x14ac:dyDescent="0.25">
      <c r="F2940">
        <v>2937</v>
      </c>
      <c r="G2940">
        <f ca="1">_xlfn.NORM.INV(RAND(),$M$7,$M$8)</f>
        <v>-1.4916125558470796E-2</v>
      </c>
    </row>
    <row r="2941" spans="6:7" x14ac:dyDescent="0.25">
      <c r="F2941">
        <v>2938</v>
      </c>
      <c r="G2941">
        <f ca="1">_xlfn.NORM.INV(RAND(),$M$7,$M$8)</f>
        <v>-2.6441776347927177E-2</v>
      </c>
    </row>
    <row r="2942" spans="6:7" x14ac:dyDescent="0.25">
      <c r="F2942">
        <v>2939</v>
      </c>
      <c r="G2942">
        <f ca="1">_xlfn.NORM.INV(RAND(),$M$7,$M$8)</f>
        <v>-4.8299624503658878E-2</v>
      </c>
    </row>
    <row r="2943" spans="6:7" x14ac:dyDescent="0.25">
      <c r="F2943">
        <v>2940</v>
      </c>
      <c r="G2943">
        <f ca="1">_xlfn.NORM.INV(RAND(),$M$7,$M$8)</f>
        <v>8.9056951267285495E-3</v>
      </c>
    </row>
    <row r="2944" spans="6:7" x14ac:dyDescent="0.25">
      <c r="F2944">
        <v>2941</v>
      </c>
      <c r="G2944">
        <f ca="1">_xlfn.NORM.INV(RAND(),$M$7,$M$8)</f>
        <v>-1.8091292744927185E-3</v>
      </c>
    </row>
    <row r="2945" spans="6:7" x14ac:dyDescent="0.25">
      <c r="F2945">
        <v>2942</v>
      </c>
      <c r="G2945">
        <f ca="1">_xlfn.NORM.INV(RAND(),$M$7,$M$8)</f>
        <v>1.2717622011373667E-2</v>
      </c>
    </row>
    <row r="2946" spans="6:7" x14ac:dyDescent="0.25">
      <c r="F2946">
        <v>2943</v>
      </c>
      <c r="G2946">
        <f ca="1">_xlfn.NORM.INV(RAND(),$M$7,$M$8)</f>
        <v>-2.9627572544432702E-2</v>
      </c>
    </row>
    <row r="2947" spans="6:7" x14ac:dyDescent="0.25">
      <c r="F2947">
        <v>2944</v>
      </c>
      <c r="G2947">
        <f ca="1">_xlfn.NORM.INV(RAND(),$M$7,$M$8)</f>
        <v>-2.7680803483050406E-2</v>
      </c>
    </row>
    <row r="2948" spans="6:7" x14ac:dyDescent="0.25">
      <c r="F2948">
        <v>2945</v>
      </c>
      <c r="G2948">
        <f ca="1">_xlfn.NORM.INV(RAND(),$M$7,$M$8)</f>
        <v>-3.0967794747115304E-2</v>
      </c>
    </row>
    <row r="2949" spans="6:7" x14ac:dyDescent="0.25">
      <c r="F2949">
        <v>2946</v>
      </c>
      <c r="G2949">
        <f ca="1">_xlfn.NORM.INV(RAND(),$M$7,$M$8)</f>
        <v>2.2124970755900617E-2</v>
      </c>
    </row>
    <row r="2950" spans="6:7" x14ac:dyDescent="0.25">
      <c r="F2950">
        <v>2947</v>
      </c>
      <c r="G2950">
        <f ca="1">_xlfn.NORM.INV(RAND(),$M$7,$M$8)</f>
        <v>4.754165338193201E-2</v>
      </c>
    </row>
    <row r="2951" spans="6:7" x14ac:dyDescent="0.25">
      <c r="F2951">
        <v>2948</v>
      </c>
      <c r="G2951">
        <f ca="1">_xlfn.NORM.INV(RAND(),$M$7,$M$8)</f>
        <v>-1.7332544833233734E-2</v>
      </c>
    </row>
    <row r="2952" spans="6:7" x14ac:dyDescent="0.25">
      <c r="F2952">
        <v>2949</v>
      </c>
      <c r="G2952">
        <f ca="1">_xlfn.NORM.INV(RAND(),$M$7,$M$8)</f>
        <v>-2.4754686057048645E-2</v>
      </c>
    </row>
    <row r="2953" spans="6:7" x14ac:dyDescent="0.25">
      <c r="F2953">
        <v>2950</v>
      </c>
      <c r="G2953">
        <f ca="1">_xlfn.NORM.INV(RAND(),$M$7,$M$8)</f>
        <v>1.441651417444282E-2</v>
      </c>
    </row>
    <row r="2954" spans="6:7" x14ac:dyDescent="0.25">
      <c r="F2954">
        <v>2951</v>
      </c>
      <c r="G2954">
        <f ca="1">_xlfn.NORM.INV(RAND(),$M$7,$M$8)</f>
        <v>3.8359312066177709E-2</v>
      </c>
    </row>
    <row r="2955" spans="6:7" x14ac:dyDescent="0.25">
      <c r="F2955">
        <v>2952</v>
      </c>
      <c r="G2955">
        <f ca="1">_xlfn.NORM.INV(RAND(),$M$7,$M$8)</f>
        <v>-3.6888350055362222E-2</v>
      </c>
    </row>
    <row r="2956" spans="6:7" x14ac:dyDescent="0.25">
      <c r="F2956">
        <v>2953</v>
      </c>
      <c r="G2956">
        <f ca="1">_xlfn.NORM.INV(RAND(),$M$7,$M$8)</f>
        <v>5.027931217346961E-3</v>
      </c>
    </row>
    <row r="2957" spans="6:7" x14ac:dyDescent="0.25">
      <c r="F2957">
        <v>2954</v>
      </c>
      <c r="G2957">
        <f ca="1">_xlfn.NORM.INV(RAND(),$M$7,$M$8)</f>
        <v>-2.4549167152351323E-2</v>
      </c>
    </row>
    <row r="2958" spans="6:7" x14ac:dyDescent="0.25">
      <c r="F2958">
        <v>2955</v>
      </c>
      <c r="G2958">
        <f ca="1">_xlfn.NORM.INV(RAND(),$M$7,$M$8)</f>
        <v>-8.2321253320972957E-3</v>
      </c>
    </row>
    <row r="2959" spans="6:7" x14ac:dyDescent="0.25">
      <c r="F2959">
        <v>2956</v>
      </c>
      <c r="G2959">
        <f ca="1">_xlfn.NORM.INV(RAND(),$M$7,$M$8)</f>
        <v>2.8766719093599125E-2</v>
      </c>
    </row>
    <row r="2960" spans="6:7" x14ac:dyDescent="0.25">
      <c r="F2960">
        <v>2957</v>
      </c>
      <c r="G2960">
        <f ca="1">_xlfn.NORM.INV(RAND(),$M$7,$M$8)</f>
        <v>-3.5212778794287393E-2</v>
      </c>
    </row>
    <row r="2961" spans="6:7" x14ac:dyDescent="0.25">
      <c r="F2961">
        <v>2958</v>
      </c>
      <c r="G2961">
        <f ca="1">_xlfn.NORM.INV(RAND(),$M$7,$M$8)</f>
        <v>4.485290921162826E-2</v>
      </c>
    </row>
    <row r="2962" spans="6:7" x14ac:dyDescent="0.25">
      <c r="F2962">
        <v>2959</v>
      </c>
      <c r="G2962">
        <f ca="1">_xlfn.NORM.INV(RAND(),$M$7,$M$8)</f>
        <v>8.8340815164280242E-3</v>
      </c>
    </row>
    <row r="2963" spans="6:7" x14ac:dyDescent="0.25">
      <c r="F2963">
        <v>2960</v>
      </c>
      <c r="G2963">
        <f ca="1">_xlfn.NORM.INV(RAND(),$M$7,$M$8)</f>
        <v>9.4155051088393887E-4</v>
      </c>
    </row>
    <row r="2964" spans="6:7" x14ac:dyDescent="0.25">
      <c r="F2964">
        <v>2961</v>
      </c>
      <c r="G2964">
        <f ca="1">_xlfn.NORM.INV(RAND(),$M$7,$M$8)</f>
        <v>7.4407543423069579E-3</v>
      </c>
    </row>
    <row r="2965" spans="6:7" x14ac:dyDescent="0.25">
      <c r="F2965">
        <v>2962</v>
      </c>
      <c r="G2965">
        <f ca="1">_xlfn.NORM.INV(RAND(),$M$7,$M$8)</f>
        <v>-1.3812840224815184E-2</v>
      </c>
    </row>
    <row r="2966" spans="6:7" x14ac:dyDescent="0.25">
      <c r="F2966">
        <v>2963</v>
      </c>
      <c r="G2966">
        <f ca="1">_xlfn.NORM.INV(RAND(),$M$7,$M$8)</f>
        <v>6.8890309461790023E-3</v>
      </c>
    </row>
    <row r="2967" spans="6:7" x14ac:dyDescent="0.25">
      <c r="F2967">
        <v>2964</v>
      </c>
      <c r="G2967">
        <f ca="1">_xlfn.NORM.INV(RAND(),$M$7,$M$8)</f>
        <v>1.7050839464051601E-2</v>
      </c>
    </row>
    <row r="2968" spans="6:7" x14ac:dyDescent="0.25">
      <c r="F2968">
        <v>2965</v>
      </c>
      <c r="G2968">
        <f ca="1">_xlfn.NORM.INV(RAND(),$M$7,$M$8)</f>
        <v>1.3397052212577355E-2</v>
      </c>
    </row>
    <row r="2969" spans="6:7" x14ac:dyDescent="0.25">
      <c r="F2969">
        <v>2966</v>
      </c>
      <c r="G2969">
        <f ca="1">_xlfn.NORM.INV(RAND(),$M$7,$M$8)</f>
        <v>-2.1346328045512491E-2</v>
      </c>
    </row>
    <row r="2970" spans="6:7" x14ac:dyDescent="0.25">
      <c r="F2970">
        <v>2967</v>
      </c>
      <c r="G2970">
        <f ca="1">_xlfn.NORM.INV(RAND(),$M$7,$M$8)</f>
        <v>1.8029200918573578E-3</v>
      </c>
    </row>
    <row r="2971" spans="6:7" x14ac:dyDescent="0.25">
      <c r="F2971">
        <v>2968</v>
      </c>
      <c r="G2971">
        <f ca="1">_xlfn.NORM.INV(RAND(),$M$7,$M$8)</f>
        <v>2.0203101774955805E-2</v>
      </c>
    </row>
    <row r="2972" spans="6:7" x14ac:dyDescent="0.25">
      <c r="F2972">
        <v>2969</v>
      </c>
      <c r="G2972">
        <f ca="1">_xlfn.NORM.INV(RAND(),$M$7,$M$8)</f>
        <v>-3.0516601061091903E-2</v>
      </c>
    </row>
    <row r="2973" spans="6:7" x14ac:dyDescent="0.25">
      <c r="F2973">
        <v>2970</v>
      </c>
      <c r="G2973">
        <f ca="1">_xlfn.NORM.INV(RAND(),$M$7,$M$8)</f>
        <v>-8.7559486498660147E-3</v>
      </c>
    </row>
    <row r="2974" spans="6:7" x14ac:dyDescent="0.25">
      <c r="F2974">
        <v>2971</v>
      </c>
      <c r="G2974">
        <f ca="1">_xlfn.NORM.INV(RAND(),$M$7,$M$8)</f>
        <v>-1.0607345504190324E-2</v>
      </c>
    </row>
    <row r="2975" spans="6:7" x14ac:dyDescent="0.25">
      <c r="F2975">
        <v>2972</v>
      </c>
      <c r="G2975">
        <f ca="1">_xlfn.NORM.INV(RAND(),$M$7,$M$8)</f>
        <v>2.909320912869284E-3</v>
      </c>
    </row>
    <row r="2976" spans="6:7" x14ac:dyDescent="0.25">
      <c r="F2976">
        <v>2973</v>
      </c>
      <c r="G2976">
        <f ca="1">_xlfn.NORM.INV(RAND(),$M$7,$M$8)</f>
        <v>2.0493426815664663E-2</v>
      </c>
    </row>
    <row r="2977" spans="6:7" x14ac:dyDescent="0.25">
      <c r="F2977">
        <v>2974</v>
      </c>
      <c r="G2977">
        <f ca="1">_xlfn.NORM.INV(RAND(),$M$7,$M$8)</f>
        <v>3.2630504619259516E-2</v>
      </c>
    </row>
    <row r="2978" spans="6:7" x14ac:dyDescent="0.25">
      <c r="F2978">
        <v>2975</v>
      </c>
      <c r="G2978">
        <f ca="1">_xlfn.NORM.INV(RAND(),$M$7,$M$8)</f>
        <v>2.7431544788713749E-2</v>
      </c>
    </row>
    <row r="2979" spans="6:7" x14ac:dyDescent="0.25">
      <c r="F2979">
        <v>2976</v>
      </c>
      <c r="G2979">
        <f ca="1">_xlfn.NORM.INV(RAND(),$M$7,$M$8)</f>
        <v>-6.3933455706358111E-3</v>
      </c>
    </row>
    <row r="2980" spans="6:7" x14ac:dyDescent="0.25">
      <c r="F2980">
        <v>2977</v>
      </c>
      <c r="G2980">
        <f ca="1">_xlfn.NORM.INV(RAND(),$M$7,$M$8)</f>
        <v>4.143473540033675E-2</v>
      </c>
    </row>
    <row r="2981" spans="6:7" x14ac:dyDescent="0.25">
      <c r="F2981">
        <v>2978</v>
      </c>
      <c r="G2981">
        <f ca="1">_xlfn.NORM.INV(RAND(),$M$7,$M$8)</f>
        <v>4.0836052693442981E-2</v>
      </c>
    </row>
    <row r="2982" spans="6:7" x14ac:dyDescent="0.25">
      <c r="F2982">
        <v>2979</v>
      </c>
      <c r="G2982">
        <f ca="1">_xlfn.NORM.INV(RAND(),$M$7,$M$8)</f>
        <v>-1.9040737242871232E-2</v>
      </c>
    </row>
    <row r="2983" spans="6:7" x14ac:dyDescent="0.25">
      <c r="F2983">
        <v>2980</v>
      </c>
      <c r="G2983">
        <f ca="1">_xlfn.NORM.INV(RAND(),$M$7,$M$8)</f>
        <v>-7.7719568621153708E-4</v>
      </c>
    </row>
    <row r="2984" spans="6:7" x14ac:dyDescent="0.25">
      <c r="F2984">
        <v>2981</v>
      </c>
      <c r="G2984">
        <f ca="1">_xlfn.NORM.INV(RAND(),$M$7,$M$8)</f>
        <v>-1.0568556911344695E-3</v>
      </c>
    </row>
    <row r="2985" spans="6:7" x14ac:dyDescent="0.25">
      <c r="F2985">
        <v>2982</v>
      </c>
      <c r="G2985">
        <f ca="1">_xlfn.NORM.INV(RAND(),$M$7,$M$8)</f>
        <v>3.2238131434248141E-2</v>
      </c>
    </row>
    <row r="2986" spans="6:7" x14ac:dyDescent="0.25">
      <c r="F2986">
        <v>2983</v>
      </c>
      <c r="G2986">
        <f ca="1">_xlfn.NORM.INV(RAND(),$M$7,$M$8)</f>
        <v>-1.7478372967286201E-2</v>
      </c>
    </row>
    <row r="2987" spans="6:7" x14ac:dyDescent="0.25">
      <c r="F2987">
        <v>2984</v>
      </c>
      <c r="G2987">
        <f ca="1">_xlfn.NORM.INV(RAND(),$M$7,$M$8)</f>
        <v>-2.4263870249375267E-2</v>
      </c>
    </row>
    <row r="2988" spans="6:7" x14ac:dyDescent="0.25">
      <c r="F2988">
        <v>2985</v>
      </c>
      <c r="G2988">
        <f ca="1">_xlfn.NORM.INV(RAND(),$M$7,$M$8)</f>
        <v>-1.0006253484767188E-3</v>
      </c>
    </row>
    <row r="2989" spans="6:7" x14ac:dyDescent="0.25">
      <c r="F2989">
        <v>2986</v>
      </c>
      <c r="G2989">
        <f ca="1">_xlfn.NORM.INV(RAND(),$M$7,$M$8)</f>
        <v>2.5532450310442392E-2</v>
      </c>
    </row>
    <row r="2990" spans="6:7" x14ac:dyDescent="0.25">
      <c r="F2990">
        <v>2987</v>
      </c>
      <c r="G2990">
        <f ca="1">_xlfn.NORM.INV(RAND(),$M$7,$M$8)</f>
        <v>-3.8336568662347539E-2</v>
      </c>
    </row>
    <row r="2991" spans="6:7" x14ac:dyDescent="0.25">
      <c r="F2991">
        <v>2988</v>
      </c>
      <c r="G2991">
        <f ca="1">_xlfn.NORM.INV(RAND(),$M$7,$M$8)</f>
        <v>2.4178850015859853E-2</v>
      </c>
    </row>
    <row r="2992" spans="6:7" x14ac:dyDescent="0.25">
      <c r="F2992">
        <v>2989</v>
      </c>
      <c r="G2992">
        <f ca="1">_xlfn.NORM.INV(RAND(),$M$7,$M$8)</f>
        <v>2.5586997847828357E-3</v>
      </c>
    </row>
    <row r="2993" spans="6:7" x14ac:dyDescent="0.25">
      <c r="F2993">
        <v>2990</v>
      </c>
      <c r="G2993">
        <f ca="1">_xlfn.NORM.INV(RAND(),$M$7,$M$8)</f>
        <v>-5.7711745615418482E-3</v>
      </c>
    </row>
    <row r="2994" spans="6:7" x14ac:dyDescent="0.25">
      <c r="F2994">
        <v>2991</v>
      </c>
      <c r="G2994">
        <f ca="1">_xlfn.NORM.INV(RAND(),$M$7,$M$8)</f>
        <v>-1.5589397980741829E-2</v>
      </c>
    </row>
    <row r="2995" spans="6:7" x14ac:dyDescent="0.25">
      <c r="F2995">
        <v>2992</v>
      </c>
      <c r="G2995">
        <f ca="1">_xlfn.NORM.INV(RAND(),$M$7,$M$8)</f>
        <v>-5.505523405471455E-3</v>
      </c>
    </row>
    <row r="2996" spans="6:7" x14ac:dyDescent="0.25">
      <c r="F2996">
        <v>2993</v>
      </c>
      <c r="G2996">
        <f ca="1">_xlfn.NORM.INV(RAND(),$M$7,$M$8)</f>
        <v>1.5066212113111953E-2</v>
      </c>
    </row>
    <row r="2997" spans="6:7" x14ac:dyDescent="0.25">
      <c r="F2997">
        <v>2994</v>
      </c>
      <c r="G2997">
        <f ca="1">_xlfn.NORM.INV(RAND(),$M$7,$M$8)</f>
        <v>2.8221452236529831E-3</v>
      </c>
    </row>
    <row r="2998" spans="6:7" x14ac:dyDescent="0.25">
      <c r="F2998">
        <v>2995</v>
      </c>
      <c r="G2998">
        <f ca="1">_xlfn.NORM.INV(RAND(),$M$7,$M$8)</f>
        <v>-3.8272614638683289E-3</v>
      </c>
    </row>
    <row r="2999" spans="6:7" x14ac:dyDescent="0.25">
      <c r="F2999">
        <v>2996</v>
      </c>
      <c r="G2999">
        <f ca="1">_xlfn.NORM.INV(RAND(),$M$7,$M$8)</f>
        <v>2.9017902319548476E-2</v>
      </c>
    </row>
    <row r="3000" spans="6:7" x14ac:dyDescent="0.25">
      <c r="F3000">
        <v>2997</v>
      </c>
      <c r="G3000">
        <f ca="1">_xlfn.NORM.INV(RAND(),$M$7,$M$8)</f>
        <v>1.0166783506467027E-2</v>
      </c>
    </row>
    <row r="3001" spans="6:7" x14ac:dyDescent="0.25">
      <c r="F3001">
        <v>2998</v>
      </c>
      <c r="G3001">
        <f ca="1">_xlfn.NORM.INV(RAND(),$M$7,$M$8)</f>
        <v>1.2522274067137365E-2</v>
      </c>
    </row>
    <row r="3002" spans="6:7" x14ac:dyDescent="0.25">
      <c r="F3002">
        <v>2999</v>
      </c>
      <c r="G3002">
        <f ca="1">_xlfn.NORM.INV(RAND(),$M$7,$M$8)</f>
        <v>-1.3921870387227137E-2</v>
      </c>
    </row>
    <row r="3003" spans="6:7" x14ac:dyDescent="0.25">
      <c r="F3003">
        <v>3000</v>
      </c>
      <c r="G3003">
        <f ca="1">_xlfn.NORM.INV(RAND(),$M$7,$M$8)</f>
        <v>5.0699640717597402E-3</v>
      </c>
    </row>
    <row r="3004" spans="6:7" x14ac:dyDescent="0.25">
      <c r="F3004">
        <v>3001</v>
      </c>
      <c r="G3004">
        <f ca="1">_xlfn.NORM.INV(RAND(),$M$7,$M$8)</f>
        <v>1.8496340200133098E-3</v>
      </c>
    </row>
    <row r="3005" spans="6:7" x14ac:dyDescent="0.25">
      <c r="F3005">
        <v>3002</v>
      </c>
      <c r="G3005">
        <f ca="1">_xlfn.NORM.INV(RAND(),$M$7,$M$8)</f>
        <v>-1.4744862792950422E-2</v>
      </c>
    </row>
    <row r="3006" spans="6:7" x14ac:dyDescent="0.25">
      <c r="F3006">
        <v>3003</v>
      </c>
      <c r="G3006">
        <f ca="1">_xlfn.NORM.INV(RAND(),$M$7,$M$8)</f>
        <v>-3.2647925993768402E-2</v>
      </c>
    </row>
    <row r="3007" spans="6:7" x14ac:dyDescent="0.25">
      <c r="F3007">
        <v>3004</v>
      </c>
      <c r="G3007">
        <f ca="1">_xlfn.NORM.INV(RAND(),$M$7,$M$8)</f>
        <v>1.471647353335047E-2</v>
      </c>
    </row>
    <row r="3008" spans="6:7" x14ac:dyDescent="0.25">
      <c r="F3008">
        <v>3005</v>
      </c>
      <c r="G3008">
        <f ca="1">_xlfn.NORM.INV(RAND(),$M$7,$M$8)</f>
        <v>-2.1192083928779543E-2</v>
      </c>
    </row>
    <row r="3009" spans="6:7" x14ac:dyDescent="0.25">
      <c r="F3009">
        <v>3006</v>
      </c>
      <c r="G3009">
        <f ca="1">_xlfn.NORM.INV(RAND(),$M$7,$M$8)</f>
        <v>9.0650201575569189E-3</v>
      </c>
    </row>
    <row r="3010" spans="6:7" x14ac:dyDescent="0.25">
      <c r="F3010">
        <v>3007</v>
      </c>
      <c r="G3010">
        <f ca="1">_xlfn.NORM.INV(RAND(),$M$7,$M$8)</f>
        <v>-1.465410598740858E-3</v>
      </c>
    </row>
    <row r="3011" spans="6:7" x14ac:dyDescent="0.25">
      <c r="F3011">
        <v>3008</v>
      </c>
      <c r="G3011">
        <f ca="1">_xlfn.NORM.INV(RAND(),$M$7,$M$8)</f>
        <v>7.8440504260045563E-3</v>
      </c>
    </row>
    <row r="3012" spans="6:7" x14ac:dyDescent="0.25">
      <c r="F3012">
        <v>3009</v>
      </c>
      <c r="G3012">
        <f ca="1">_xlfn.NORM.INV(RAND(),$M$7,$M$8)</f>
        <v>-7.7094997055805574E-3</v>
      </c>
    </row>
    <row r="3013" spans="6:7" x14ac:dyDescent="0.25">
      <c r="F3013">
        <v>3010</v>
      </c>
      <c r="G3013">
        <f ca="1">_xlfn.NORM.INV(RAND(),$M$7,$M$8)</f>
        <v>-1.6122090472241626E-2</v>
      </c>
    </row>
    <row r="3014" spans="6:7" x14ac:dyDescent="0.25">
      <c r="F3014">
        <v>3011</v>
      </c>
      <c r="G3014">
        <f ca="1">_xlfn.NORM.INV(RAND(),$M$7,$M$8)</f>
        <v>1.3927644375938101E-2</v>
      </c>
    </row>
    <row r="3015" spans="6:7" x14ac:dyDescent="0.25">
      <c r="F3015">
        <v>3012</v>
      </c>
      <c r="G3015">
        <f ca="1">_xlfn.NORM.INV(RAND(),$M$7,$M$8)</f>
        <v>2.3295960322046672E-2</v>
      </c>
    </row>
    <row r="3016" spans="6:7" x14ac:dyDescent="0.25">
      <c r="F3016">
        <v>3013</v>
      </c>
      <c r="G3016">
        <f ca="1">_xlfn.NORM.INV(RAND(),$M$7,$M$8)</f>
        <v>3.4094086002642493E-2</v>
      </c>
    </row>
    <row r="3017" spans="6:7" x14ac:dyDescent="0.25">
      <c r="F3017">
        <v>3014</v>
      </c>
      <c r="G3017">
        <f ca="1">_xlfn.NORM.INV(RAND(),$M$7,$M$8)</f>
        <v>1.6798808405530909E-2</v>
      </c>
    </row>
    <row r="3018" spans="6:7" x14ac:dyDescent="0.25">
      <c r="F3018">
        <v>3015</v>
      </c>
      <c r="G3018">
        <f ca="1">_xlfn.NORM.INV(RAND(),$M$7,$M$8)</f>
        <v>2.9007495283745677E-2</v>
      </c>
    </row>
    <row r="3019" spans="6:7" x14ac:dyDescent="0.25">
      <c r="F3019">
        <v>3016</v>
      </c>
      <c r="G3019">
        <f ca="1">_xlfn.NORM.INV(RAND(),$M$7,$M$8)</f>
        <v>-2.3132141963334775E-2</v>
      </c>
    </row>
    <row r="3020" spans="6:7" x14ac:dyDescent="0.25">
      <c r="F3020">
        <v>3017</v>
      </c>
      <c r="G3020">
        <f ca="1">_xlfn.NORM.INV(RAND(),$M$7,$M$8)</f>
        <v>4.2747447818219278E-2</v>
      </c>
    </row>
    <row r="3021" spans="6:7" x14ac:dyDescent="0.25">
      <c r="F3021">
        <v>3018</v>
      </c>
      <c r="G3021">
        <f ca="1">_xlfn.NORM.INV(RAND(),$M$7,$M$8)</f>
        <v>2.2197555460476727E-3</v>
      </c>
    </row>
    <row r="3022" spans="6:7" x14ac:dyDescent="0.25">
      <c r="F3022">
        <v>3019</v>
      </c>
      <c r="G3022">
        <f ca="1">_xlfn.NORM.INV(RAND(),$M$7,$M$8)</f>
        <v>-2.7337426693243298E-2</v>
      </c>
    </row>
    <row r="3023" spans="6:7" x14ac:dyDescent="0.25">
      <c r="F3023">
        <v>3020</v>
      </c>
      <c r="G3023">
        <f ca="1">_xlfn.NORM.INV(RAND(),$M$7,$M$8)</f>
        <v>-1.8337701121941039E-2</v>
      </c>
    </row>
    <row r="3024" spans="6:7" x14ac:dyDescent="0.25">
      <c r="F3024">
        <v>3021</v>
      </c>
      <c r="G3024">
        <f ca="1">_xlfn.NORM.INV(RAND(),$M$7,$M$8)</f>
        <v>-1.1901401074820475E-2</v>
      </c>
    </row>
    <row r="3025" spans="6:7" x14ac:dyDescent="0.25">
      <c r="F3025">
        <v>3022</v>
      </c>
      <c r="G3025">
        <f ca="1">_xlfn.NORM.INV(RAND(),$M$7,$M$8)</f>
        <v>-2.2070452744245274E-2</v>
      </c>
    </row>
    <row r="3026" spans="6:7" x14ac:dyDescent="0.25">
      <c r="F3026">
        <v>3023</v>
      </c>
      <c r="G3026">
        <f ca="1">_xlfn.NORM.INV(RAND(),$M$7,$M$8)</f>
        <v>3.5895422905907824E-2</v>
      </c>
    </row>
    <row r="3027" spans="6:7" x14ac:dyDescent="0.25">
      <c r="F3027">
        <v>3024</v>
      </c>
      <c r="G3027">
        <f ca="1">_xlfn.NORM.INV(RAND(),$M$7,$M$8)</f>
        <v>2.9330588629301321E-2</v>
      </c>
    </row>
    <row r="3028" spans="6:7" x14ac:dyDescent="0.25">
      <c r="F3028">
        <v>3025</v>
      </c>
      <c r="G3028">
        <f ca="1">_xlfn.NORM.INV(RAND(),$M$7,$M$8)</f>
        <v>-1.4669654011265332E-3</v>
      </c>
    </row>
    <row r="3029" spans="6:7" x14ac:dyDescent="0.25">
      <c r="F3029">
        <v>3026</v>
      </c>
      <c r="G3029">
        <f ca="1">_xlfn.NORM.INV(RAND(),$M$7,$M$8)</f>
        <v>3.0793749854959203E-2</v>
      </c>
    </row>
    <row r="3030" spans="6:7" x14ac:dyDescent="0.25">
      <c r="F3030">
        <v>3027</v>
      </c>
      <c r="G3030">
        <f ca="1">_xlfn.NORM.INV(RAND(),$M$7,$M$8)</f>
        <v>-3.3075424084339361E-2</v>
      </c>
    </row>
    <row r="3031" spans="6:7" x14ac:dyDescent="0.25">
      <c r="F3031">
        <v>3028</v>
      </c>
      <c r="G3031">
        <f ca="1">_xlfn.NORM.INV(RAND(),$M$7,$M$8)</f>
        <v>-6.1277673107117819E-3</v>
      </c>
    </row>
    <row r="3032" spans="6:7" x14ac:dyDescent="0.25">
      <c r="F3032">
        <v>3029</v>
      </c>
      <c r="G3032">
        <f ca="1">_xlfn.NORM.INV(RAND(),$M$7,$M$8)</f>
        <v>-3.3597615858855325E-3</v>
      </c>
    </row>
    <row r="3033" spans="6:7" x14ac:dyDescent="0.25">
      <c r="F3033">
        <v>3030</v>
      </c>
      <c r="G3033">
        <f ca="1">_xlfn.NORM.INV(RAND(),$M$7,$M$8)</f>
        <v>-2.2689843312754254E-2</v>
      </c>
    </row>
    <row r="3034" spans="6:7" x14ac:dyDescent="0.25">
      <c r="F3034">
        <v>3031</v>
      </c>
      <c r="G3034">
        <f ca="1">_xlfn.NORM.INV(RAND(),$M$7,$M$8)</f>
        <v>5.3756276817765111E-2</v>
      </c>
    </row>
    <row r="3035" spans="6:7" x14ac:dyDescent="0.25">
      <c r="F3035">
        <v>3032</v>
      </c>
      <c r="G3035">
        <f ca="1">_xlfn.NORM.INV(RAND(),$M$7,$M$8)</f>
        <v>1.7236802755008968E-2</v>
      </c>
    </row>
    <row r="3036" spans="6:7" x14ac:dyDescent="0.25">
      <c r="F3036">
        <v>3033</v>
      </c>
      <c r="G3036">
        <f ca="1">_xlfn.NORM.INV(RAND(),$M$7,$M$8)</f>
        <v>1.0341076177957998E-2</v>
      </c>
    </row>
    <row r="3037" spans="6:7" x14ac:dyDescent="0.25">
      <c r="F3037">
        <v>3034</v>
      </c>
      <c r="G3037">
        <f ca="1">_xlfn.NORM.INV(RAND(),$M$7,$M$8)</f>
        <v>9.6706461716846229E-3</v>
      </c>
    </row>
    <row r="3038" spans="6:7" x14ac:dyDescent="0.25">
      <c r="F3038">
        <v>3035</v>
      </c>
      <c r="G3038">
        <f ca="1">_xlfn.NORM.INV(RAND(),$M$7,$M$8)</f>
        <v>-3.0100587381139802E-2</v>
      </c>
    </row>
    <row r="3039" spans="6:7" x14ac:dyDescent="0.25">
      <c r="F3039">
        <v>3036</v>
      </c>
      <c r="G3039">
        <f ca="1">_xlfn.NORM.INV(RAND(),$M$7,$M$8)</f>
        <v>-2.3995849754827107E-2</v>
      </c>
    </row>
    <row r="3040" spans="6:7" x14ac:dyDescent="0.25">
      <c r="F3040">
        <v>3037</v>
      </c>
      <c r="G3040">
        <f ca="1">_xlfn.NORM.INV(RAND(),$M$7,$M$8)</f>
        <v>-2.7898993057615121E-2</v>
      </c>
    </row>
    <row r="3041" spans="6:7" x14ac:dyDescent="0.25">
      <c r="F3041">
        <v>3038</v>
      </c>
      <c r="G3041">
        <f ca="1">_xlfn.NORM.INV(RAND(),$M$7,$M$8)</f>
        <v>3.6171375594699351E-2</v>
      </c>
    </row>
    <row r="3042" spans="6:7" x14ac:dyDescent="0.25">
      <c r="F3042">
        <v>3039</v>
      </c>
      <c r="G3042">
        <f ca="1">_xlfn.NORM.INV(RAND(),$M$7,$M$8)</f>
        <v>-9.1348284031646382E-3</v>
      </c>
    </row>
    <row r="3043" spans="6:7" x14ac:dyDescent="0.25">
      <c r="F3043">
        <v>3040</v>
      </c>
      <c r="G3043">
        <f ca="1">_xlfn.NORM.INV(RAND(),$M$7,$M$8)</f>
        <v>-1.1935744897753113E-2</v>
      </c>
    </row>
    <row r="3044" spans="6:7" x14ac:dyDescent="0.25">
      <c r="F3044">
        <v>3041</v>
      </c>
      <c r="G3044">
        <f ca="1">_xlfn.NORM.INV(RAND(),$M$7,$M$8)</f>
        <v>1.6463892386812857E-2</v>
      </c>
    </row>
    <row r="3045" spans="6:7" x14ac:dyDescent="0.25">
      <c r="F3045">
        <v>3042</v>
      </c>
      <c r="G3045">
        <f ca="1">_xlfn.NORM.INV(RAND(),$M$7,$M$8)</f>
        <v>-1.3825153143116648E-3</v>
      </c>
    </row>
    <row r="3046" spans="6:7" x14ac:dyDescent="0.25">
      <c r="F3046">
        <v>3043</v>
      </c>
      <c r="G3046">
        <f ca="1">_xlfn.NORM.INV(RAND(),$M$7,$M$8)</f>
        <v>1.3007712886595539E-2</v>
      </c>
    </row>
    <row r="3047" spans="6:7" x14ac:dyDescent="0.25">
      <c r="F3047">
        <v>3044</v>
      </c>
      <c r="G3047">
        <f ca="1">_xlfn.NORM.INV(RAND(),$M$7,$M$8)</f>
        <v>2.5698981201795416E-2</v>
      </c>
    </row>
    <row r="3048" spans="6:7" x14ac:dyDescent="0.25">
      <c r="F3048">
        <v>3045</v>
      </c>
      <c r="G3048">
        <f ca="1">_xlfn.NORM.INV(RAND(),$M$7,$M$8)</f>
        <v>1.8173106219370128E-2</v>
      </c>
    </row>
    <row r="3049" spans="6:7" x14ac:dyDescent="0.25">
      <c r="F3049">
        <v>3046</v>
      </c>
      <c r="G3049">
        <f ca="1">_xlfn.NORM.INV(RAND(),$M$7,$M$8)</f>
        <v>-8.3884359465155357E-3</v>
      </c>
    </row>
    <row r="3050" spans="6:7" x14ac:dyDescent="0.25">
      <c r="F3050">
        <v>3047</v>
      </c>
      <c r="G3050">
        <f ca="1">_xlfn.NORM.INV(RAND(),$M$7,$M$8)</f>
        <v>2.0014748094306891E-2</v>
      </c>
    </row>
    <row r="3051" spans="6:7" x14ac:dyDescent="0.25">
      <c r="F3051">
        <v>3048</v>
      </c>
      <c r="G3051">
        <f ca="1">_xlfn.NORM.INV(RAND(),$M$7,$M$8)</f>
        <v>9.1273648645008379E-3</v>
      </c>
    </row>
    <row r="3052" spans="6:7" x14ac:dyDescent="0.25">
      <c r="F3052">
        <v>3049</v>
      </c>
      <c r="G3052">
        <f ca="1">_xlfn.NORM.INV(RAND(),$M$7,$M$8)</f>
        <v>-3.219241955911168E-2</v>
      </c>
    </row>
    <row r="3053" spans="6:7" x14ac:dyDescent="0.25">
      <c r="F3053">
        <v>3050</v>
      </c>
      <c r="G3053">
        <f ca="1">_xlfn.NORM.INV(RAND(),$M$7,$M$8)</f>
        <v>2.0482372596466202E-2</v>
      </c>
    </row>
    <row r="3054" spans="6:7" x14ac:dyDescent="0.25">
      <c r="F3054">
        <v>3051</v>
      </c>
      <c r="G3054">
        <f ca="1">_xlfn.NORM.INV(RAND(),$M$7,$M$8)</f>
        <v>-3.2946574189408717E-2</v>
      </c>
    </row>
    <row r="3055" spans="6:7" x14ac:dyDescent="0.25">
      <c r="F3055">
        <v>3052</v>
      </c>
      <c r="G3055">
        <f ca="1">_xlfn.NORM.INV(RAND(),$M$7,$M$8)</f>
        <v>2.4480678426047108E-3</v>
      </c>
    </row>
    <row r="3056" spans="6:7" x14ac:dyDescent="0.25">
      <c r="F3056">
        <v>3053</v>
      </c>
      <c r="G3056">
        <f ca="1">_xlfn.NORM.INV(RAND(),$M$7,$M$8)</f>
        <v>9.3749072150264706E-3</v>
      </c>
    </row>
    <row r="3057" spans="6:7" x14ac:dyDescent="0.25">
      <c r="F3057">
        <v>3054</v>
      </c>
      <c r="G3057">
        <f ca="1">_xlfn.NORM.INV(RAND(),$M$7,$M$8)</f>
        <v>1.7532075771828181E-3</v>
      </c>
    </row>
    <row r="3058" spans="6:7" x14ac:dyDescent="0.25">
      <c r="F3058">
        <v>3055</v>
      </c>
      <c r="G3058">
        <f ca="1">_xlfn.NORM.INV(RAND(),$M$7,$M$8)</f>
        <v>-2.1867535526959993E-2</v>
      </c>
    </row>
    <row r="3059" spans="6:7" x14ac:dyDescent="0.25">
      <c r="F3059">
        <v>3056</v>
      </c>
      <c r="G3059">
        <f ca="1">_xlfn.NORM.INV(RAND(),$M$7,$M$8)</f>
        <v>-1.2197213153846462E-2</v>
      </c>
    </row>
    <row r="3060" spans="6:7" x14ac:dyDescent="0.25">
      <c r="F3060">
        <v>3057</v>
      </c>
      <c r="G3060">
        <f ca="1">_xlfn.NORM.INV(RAND(),$M$7,$M$8)</f>
        <v>4.7061895058781347E-2</v>
      </c>
    </row>
    <row r="3061" spans="6:7" x14ac:dyDescent="0.25">
      <c r="F3061">
        <v>3058</v>
      </c>
      <c r="G3061">
        <f ca="1">_xlfn.NORM.INV(RAND(),$M$7,$M$8)</f>
        <v>2.6185938670261238E-2</v>
      </c>
    </row>
    <row r="3062" spans="6:7" x14ac:dyDescent="0.25">
      <c r="F3062">
        <v>3059</v>
      </c>
      <c r="G3062">
        <f ca="1">_xlfn.NORM.INV(RAND(),$M$7,$M$8)</f>
        <v>-1.2250642815914693E-2</v>
      </c>
    </row>
    <row r="3063" spans="6:7" x14ac:dyDescent="0.25">
      <c r="F3063">
        <v>3060</v>
      </c>
      <c r="G3063">
        <f ca="1">_xlfn.NORM.INV(RAND(),$M$7,$M$8)</f>
        <v>-4.9663696199285911E-3</v>
      </c>
    </row>
    <row r="3064" spans="6:7" x14ac:dyDescent="0.25">
      <c r="F3064">
        <v>3061</v>
      </c>
      <c r="G3064">
        <f ca="1">_xlfn.NORM.INV(RAND(),$M$7,$M$8)</f>
        <v>3.9751250822857914E-3</v>
      </c>
    </row>
    <row r="3065" spans="6:7" x14ac:dyDescent="0.25">
      <c r="F3065">
        <v>3062</v>
      </c>
      <c r="G3065">
        <f ca="1">_xlfn.NORM.INV(RAND(),$M$7,$M$8)</f>
        <v>-3.5409136529881619E-2</v>
      </c>
    </row>
    <row r="3066" spans="6:7" x14ac:dyDescent="0.25">
      <c r="F3066">
        <v>3063</v>
      </c>
      <c r="G3066">
        <f ca="1">_xlfn.NORM.INV(RAND(),$M$7,$M$8)</f>
        <v>-5.6268027408803219E-2</v>
      </c>
    </row>
    <row r="3067" spans="6:7" x14ac:dyDescent="0.25">
      <c r="F3067">
        <v>3064</v>
      </c>
      <c r="G3067">
        <f ca="1">_xlfn.NORM.INV(RAND(),$M$7,$M$8)</f>
        <v>-3.1333704266735221E-2</v>
      </c>
    </row>
    <row r="3068" spans="6:7" x14ac:dyDescent="0.25">
      <c r="F3068">
        <v>3065</v>
      </c>
      <c r="G3068">
        <f ca="1">_xlfn.NORM.INV(RAND(),$M$7,$M$8)</f>
        <v>2.0431982577246779E-2</v>
      </c>
    </row>
    <row r="3069" spans="6:7" x14ac:dyDescent="0.25">
      <c r="F3069">
        <v>3066</v>
      </c>
      <c r="G3069">
        <f ca="1">_xlfn.NORM.INV(RAND(),$M$7,$M$8)</f>
        <v>2.8229978590740668E-2</v>
      </c>
    </row>
    <row r="3070" spans="6:7" x14ac:dyDescent="0.25">
      <c r="F3070">
        <v>3067</v>
      </c>
      <c r="G3070">
        <f ca="1">_xlfn.NORM.INV(RAND(),$M$7,$M$8)</f>
        <v>2.1469819744422348E-2</v>
      </c>
    </row>
    <row r="3071" spans="6:7" x14ac:dyDescent="0.25">
      <c r="F3071">
        <v>3068</v>
      </c>
      <c r="G3071">
        <f ca="1">_xlfn.NORM.INV(RAND(),$M$7,$M$8)</f>
        <v>-4.4588222006382419E-2</v>
      </c>
    </row>
    <row r="3072" spans="6:7" x14ac:dyDescent="0.25">
      <c r="F3072">
        <v>3069</v>
      </c>
      <c r="G3072">
        <f ca="1">_xlfn.NORM.INV(RAND(),$M$7,$M$8)</f>
        <v>-3.1897803373862596E-2</v>
      </c>
    </row>
    <row r="3073" spans="6:7" x14ac:dyDescent="0.25">
      <c r="F3073">
        <v>3070</v>
      </c>
      <c r="G3073">
        <f ca="1">_xlfn.NORM.INV(RAND(),$M$7,$M$8)</f>
        <v>2.1705452853918936E-2</v>
      </c>
    </row>
    <row r="3074" spans="6:7" x14ac:dyDescent="0.25">
      <c r="F3074">
        <v>3071</v>
      </c>
      <c r="G3074">
        <f ca="1">_xlfn.NORM.INV(RAND(),$M$7,$M$8)</f>
        <v>-1.1088195869900296E-2</v>
      </c>
    </row>
    <row r="3075" spans="6:7" x14ac:dyDescent="0.25">
      <c r="F3075">
        <v>3072</v>
      </c>
      <c r="G3075">
        <f ca="1">_xlfn.NORM.INV(RAND(),$M$7,$M$8)</f>
        <v>-2.9411550626545203E-2</v>
      </c>
    </row>
    <row r="3076" spans="6:7" x14ac:dyDescent="0.25">
      <c r="F3076">
        <v>3073</v>
      </c>
      <c r="G3076">
        <f ca="1">_xlfn.NORM.INV(RAND(),$M$7,$M$8)</f>
        <v>-1.9990807144770906E-2</v>
      </c>
    </row>
    <row r="3077" spans="6:7" x14ac:dyDescent="0.25">
      <c r="F3077">
        <v>3074</v>
      </c>
      <c r="G3077">
        <f ca="1">_xlfn.NORM.INV(RAND(),$M$7,$M$8)</f>
        <v>5.0813887645876112E-3</v>
      </c>
    </row>
    <row r="3078" spans="6:7" x14ac:dyDescent="0.25">
      <c r="F3078">
        <v>3075</v>
      </c>
      <c r="G3078">
        <f ca="1">_xlfn.NORM.INV(RAND(),$M$7,$M$8)</f>
        <v>-1.5938542633800394E-2</v>
      </c>
    </row>
    <row r="3079" spans="6:7" x14ac:dyDescent="0.25">
      <c r="F3079">
        <v>3076</v>
      </c>
      <c r="G3079">
        <f ca="1">_xlfn.NORM.INV(RAND(),$M$7,$M$8)</f>
        <v>1.5234896379237377E-2</v>
      </c>
    </row>
    <row r="3080" spans="6:7" x14ac:dyDescent="0.25">
      <c r="F3080">
        <v>3077</v>
      </c>
      <c r="G3080">
        <f ca="1">_xlfn.NORM.INV(RAND(),$M$7,$M$8)</f>
        <v>7.3280507157707127E-3</v>
      </c>
    </row>
    <row r="3081" spans="6:7" x14ac:dyDescent="0.25">
      <c r="F3081">
        <v>3078</v>
      </c>
      <c r="G3081">
        <f ca="1">_xlfn.NORM.INV(RAND(),$M$7,$M$8)</f>
        <v>1.7899887702360461E-2</v>
      </c>
    </row>
    <row r="3082" spans="6:7" x14ac:dyDescent="0.25">
      <c r="F3082">
        <v>3079</v>
      </c>
      <c r="G3082">
        <f ca="1">_xlfn.NORM.INV(RAND(),$M$7,$M$8)</f>
        <v>9.2003943800903262E-3</v>
      </c>
    </row>
    <row r="3083" spans="6:7" x14ac:dyDescent="0.25">
      <c r="F3083">
        <v>3080</v>
      </c>
      <c r="G3083">
        <f ca="1">_xlfn.NORM.INV(RAND(),$M$7,$M$8)</f>
        <v>1.2522525639440991E-2</v>
      </c>
    </row>
    <row r="3084" spans="6:7" x14ac:dyDescent="0.25">
      <c r="F3084">
        <v>3081</v>
      </c>
      <c r="G3084">
        <f ca="1">_xlfn.NORM.INV(RAND(),$M$7,$M$8)</f>
        <v>1.1112280396279246E-2</v>
      </c>
    </row>
    <row r="3085" spans="6:7" x14ac:dyDescent="0.25">
      <c r="F3085">
        <v>3082</v>
      </c>
      <c r="G3085">
        <f ca="1">_xlfn.NORM.INV(RAND(),$M$7,$M$8)</f>
        <v>-2.8605815825473082E-2</v>
      </c>
    </row>
    <row r="3086" spans="6:7" x14ac:dyDescent="0.25">
      <c r="F3086">
        <v>3083</v>
      </c>
      <c r="G3086">
        <f ca="1">_xlfn.NORM.INV(RAND(),$M$7,$M$8)</f>
        <v>-4.9025204338008881E-3</v>
      </c>
    </row>
    <row r="3087" spans="6:7" x14ac:dyDescent="0.25">
      <c r="F3087">
        <v>3084</v>
      </c>
      <c r="G3087">
        <f ca="1">_xlfn.NORM.INV(RAND(),$M$7,$M$8)</f>
        <v>1.7147988243322101E-2</v>
      </c>
    </row>
    <row r="3088" spans="6:7" x14ac:dyDescent="0.25">
      <c r="F3088">
        <v>3085</v>
      </c>
      <c r="G3088">
        <f ca="1">_xlfn.NORM.INV(RAND(),$M$7,$M$8)</f>
        <v>-9.2752454028944813E-3</v>
      </c>
    </row>
    <row r="3089" spans="6:7" x14ac:dyDescent="0.25">
      <c r="F3089">
        <v>3086</v>
      </c>
      <c r="G3089">
        <f ca="1">_xlfn.NORM.INV(RAND(),$M$7,$M$8)</f>
        <v>3.9255070700514203E-3</v>
      </c>
    </row>
    <row r="3090" spans="6:7" x14ac:dyDescent="0.25">
      <c r="F3090">
        <v>3087</v>
      </c>
      <c r="G3090">
        <f ca="1">_xlfn.NORM.INV(RAND(),$M$7,$M$8)</f>
        <v>4.3819241258760307E-2</v>
      </c>
    </row>
    <row r="3091" spans="6:7" x14ac:dyDescent="0.25">
      <c r="F3091">
        <v>3088</v>
      </c>
      <c r="G3091">
        <f ca="1">_xlfn.NORM.INV(RAND(),$M$7,$M$8)</f>
        <v>3.6484910372203083E-2</v>
      </c>
    </row>
    <row r="3092" spans="6:7" x14ac:dyDescent="0.25">
      <c r="F3092">
        <v>3089</v>
      </c>
      <c r="G3092">
        <f ca="1">_xlfn.NORM.INV(RAND(),$M$7,$M$8)</f>
        <v>-1.0287016551552166E-2</v>
      </c>
    </row>
    <row r="3093" spans="6:7" x14ac:dyDescent="0.25">
      <c r="F3093">
        <v>3090</v>
      </c>
      <c r="G3093">
        <f ca="1">_xlfn.NORM.INV(RAND(),$M$7,$M$8)</f>
        <v>-1.274955881464686E-2</v>
      </c>
    </row>
    <row r="3094" spans="6:7" x14ac:dyDescent="0.25">
      <c r="F3094">
        <v>3091</v>
      </c>
      <c r="G3094">
        <f ca="1">_xlfn.NORM.INV(RAND(),$M$7,$M$8)</f>
        <v>-1.2429977813513217E-2</v>
      </c>
    </row>
    <row r="3095" spans="6:7" x14ac:dyDescent="0.25">
      <c r="F3095">
        <v>3092</v>
      </c>
      <c r="G3095">
        <f ca="1">_xlfn.NORM.INV(RAND(),$M$7,$M$8)</f>
        <v>6.022377951929149E-3</v>
      </c>
    </row>
    <row r="3096" spans="6:7" x14ac:dyDescent="0.25">
      <c r="F3096">
        <v>3093</v>
      </c>
      <c r="G3096">
        <f ca="1">_xlfn.NORM.INV(RAND(),$M$7,$M$8)</f>
        <v>-1.8226602669569707E-2</v>
      </c>
    </row>
    <row r="3097" spans="6:7" x14ac:dyDescent="0.25">
      <c r="F3097">
        <v>3094</v>
      </c>
      <c r="G3097">
        <f ca="1">_xlfn.NORM.INV(RAND(),$M$7,$M$8)</f>
        <v>-2.3451218275310916E-2</v>
      </c>
    </row>
    <row r="3098" spans="6:7" x14ac:dyDescent="0.25">
      <c r="F3098">
        <v>3095</v>
      </c>
      <c r="G3098">
        <f ca="1">_xlfn.NORM.INV(RAND(),$M$7,$M$8)</f>
        <v>1.0876945265618511E-2</v>
      </c>
    </row>
    <row r="3099" spans="6:7" x14ac:dyDescent="0.25">
      <c r="F3099">
        <v>3096</v>
      </c>
      <c r="G3099">
        <f ca="1">_xlfn.NORM.INV(RAND(),$M$7,$M$8)</f>
        <v>-3.822452573628906E-2</v>
      </c>
    </row>
    <row r="3100" spans="6:7" x14ac:dyDescent="0.25">
      <c r="F3100">
        <v>3097</v>
      </c>
      <c r="G3100">
        <f ca="1">_xlfn.NORM.INV(RAND(),$M$7,$M$8)</f>
        <v>-2.0840834980725111E-2</v>
      </c>
    </row>
    <row r="3101" spans="6:7" x14ac:dyDescent="0.25">
      <c r="F3101">
        <v>3098</v>
      </c>
      <c r="G3101">
        <f ca="1">_xlfn.NORM.INV(RAND(),$M$7,$M$8)</f>
        <v>5.1596138761442638E-2</v>
      </c>
    </row>
    <row r="3102" spans="6:7" x14ac:dyDescent="0.25">
      <c r="F3102">
        <v>3099</v>
      </c>
      <c r="G3102">
        <f ca="1">_xlfn.NORM.INV(RAND(),$M$7,$M$8)</f>
        <v>-2.5359864157324295E-2</v>
      </c>
    </row>
    <row r="3103" spans="6:7" x14ac:dyDescent="0.25">
      <c r="F3103">
        <v>3100</v>
      </c>
      <c r="G3103">
        <f ca="1">_xlfn.NORM.INV(RAND(),$M$7,$M$8)</f>
        <v>2.2974353215095965E-2</v>
      </c>
    </row>
    <row r="3104" spans="6:7" x14ac:dyDescent="0.25">
      <c r="F3104">
        <v>3101</v>
      </c>
      <c r="G3104">
        <f ca="1">_xlfn.NORM.INV(RAND(),$M$7,$M$8)</f>
        <v>-7.2069872003239794E-3</v>
      </c>
    </row>
    <row r="3105" spans="6:7" x14ac:dyDescent="0.25">
      <c r="F3105">
        <v>3102</v>
      </c>
      <c r="G3105">
        <f ca="1">_xlfn.NORM.INV(RAND(),$M$7,$M$8)</f>
        <v>-1.0601103402974326E-2</v>
      </c>
    </row>
    <row r="3106" spans="6:7" x14ac:dyDescent="0.25">
      <c r="F3106">
        <v>3103</v>
      </c>
      <c r="G3106">
        <f ca="1">_xlfn.NORM.INV(RAND(),$M$7,$M$8)</f>
        <v>1.9611492881440172E-2</v>
      </c>
    </row>
    <row r="3107" spans="6:7" x14ac:dyDescent="0.25">
      <c r="F3107">
        <v>3104</v>
      </c>
      <c r="G3107">
        <f ca="1">_xlfn.NORM.INV(RAND(),$M$7,$M$8)</f>
        <v>-8.9281795062740761E-3</v>
      </c>
    </row>
    <row r="3108" spans="6:7" x14ac:dyDescent="0.25">
      <c r="F3108">
        <v>3105</v>
      </c>
      <c r="G3108">
        <f ca="1">_xlfn.NORM.INV(RAND(),$M$7,$M$8)</f>
        <v>1.5511943061734803E-2</v>
      </c>
    </row>
    <row r="3109" spans="6:7" x14ac:dyDescent="0.25">
      <c r="F3109">
        <v>3106</v>
      </c>
      <c r="G3109">
        <f ca="1">_xlfn.NORM.INV(RAND(),$M$7,$M$8)</f>
        <v>2.8699270210420597E-2</v>
      </c>
    </row>
    <row r="3110" spans="6:7" x14ac:dyDescent="0.25">
      <c r="F3110">
        <v>3107</v>
      </c>
      <c r="G3110">
        <f ca="1">_xlfn.NORM.INV(RAND(),$M$7,$M$8)</f>
        <v>-6.6759991580125407E-3</v>
      </c>
    </row>
    <row r="3111" spans="6:7" x14ac:dyDescent="0.25">
      <c r="F3111">
        <v>3108</v>
      </c>
      <c r="G3111">
        <f ca="1">_xlfn.NORM.INV(RAND(),$M$7,$M$8)</f>
        <v>2.0653593996826621E-3</v>
      </c>
    </row>
    <row r="3112" spans="6:7" x14ac:dyDescent="0.25">
      <c r="F3112">
        <v>3109</v>
      </c>
      <c r="G3112">
        <f ca="1">_xlfn.NORM.INV(RAND(),$M$7,$M$8)</f>
        <v>8.6337532123888401E-3</v>
      </c>
    </row>
    <row r="3113" spans="6:7" x14ac:dyDescent="0.25">
      <c r="F3113">
        <v>3110</v>
      </c>
      <c r="G3113">
        <f ca="1">_xlfn.NORM.INV(RAND(),$M$7,$M$8)</f>
        <v>-3.5426074667843546E-2</v>
      </c>
    </row>
    <row r="3114" spans="6:7" x14ac:dyDescent="0.25">
      <c r="F3114">
        <v>3111</v>
      </c>
      <c r="G3114">
        <f ca="1">_xlfn.NORM.INV(RAND(),$M$7,$M$8)</f>
        <v>8.3564410843206764E-3</v>
      </c>
    </row>
    <row r="3115" spans="6:7" x14ac:dyDescent="0.25">
      <c r="F3115">
        <v>3112</v>
      </c>
      <c r="G3115">
        <f ca="1">_xlfn.NORM.INV(RAND(),$M$7,$M$8)</f>
        <v>-9.0421251994386564E-3</v>
      </c>
    </row>
    <row r="3116" spans="6:7" x14ac:dyDescent="0.25">
      <c r="F3116">
        <v>3113</v>
      </c>
      <c r="G3116">
        <f ca="1">_xlfn.NORM.INV(RAND(),$M$7,$M$8)</f>
        <v>3.6098264413900994E-3</v>
      </c>
    </row>
    <row r="3117" spans="6:7" x14ac:dyDescent="0.25">
      <c r="F3117">
        <v>3114</v>
      </c>
      <c r="G3117">
        <f ca="1">_xlfn.NORM.INV(RAND(),$M$7,$M$8)</f>
        <v>1.7971217067363879E-2</v>
      </c>
    </row>
    <row r="3118" spans="6:7" x14ac:dyDescent="0.25">
      <c r="F3118">
        <v>3115</v>
      </c>
      <c r="G3118">
        <f ca="1">_xlfn.NORM.INV(RAND(),$M$7,$M$8)</f>
        <v>6.2092702321355706E-3</v>
      </c>
    </row>
    <row r="3119" spans="6:7" x14ac:dyDescent="0.25">
      <c r="F3119">
        <v>3116</v>
      </c>
      <c r="G3119">
        <f ca="1">_xlfn.NORM.INV(RAND(),$M$7,$M$8)</f>
        <v>8.1770724499274461E-4</v>
      </c>
    </row>
    <row r="3120" spans="6:7" x14ac:dyDescent="0.25">
      <c r="F3120">
        <v>3117</v>
      </c>
      <c r="G3120">
        <f ca="1">_xlfn.NORM.INV(RAND(),$M$7,$M$8)</f>
        <v>2.5981460676013628E-3</v>
      </c>
    </row>
    <row r="3121" spans="6:7" x14ac:dyDescent="0.25">
      <c r="F3121">
        <v>3118</v>
      </c>
      <c r="G3121">
        <f ca="1">_xlfn.NORM.INV(RAND(),$M$7,$M$8)</f>
        <v>-1.6373574927040339E-2</v>
      </c>
    </row>
    <row r="3122" spans="6:7" x14ac:dyDescent="0.25">
      <c r="F3122">
        <v>3119</v>
      </c>
      <c r="G3122">
        <f ca="1">_xlfn.NORM.INV(RAND(),$M$7,$M$8)</f>
        <v>1.3332013195121938E-2</v>
      </c>
    </row>
    <row r="3123" spans="6:7" x14ac:dyDescent="0.25">
      <c r="F3123">
        <v>3120</v>
      </c>
      <c r="G3123">
        <f ca="1">_xlfn.NORM.INV(RAND(),$M$7,$M$8)</f>
        <v>-2.6761501259486734E-2</v>
      </c>
    </row>
    <row r="3124" spans="6:7" x14ac:dyDescent="0.25">
      <c r="F3124">
        <v>3121</v>
      </c>
      <c r="G3124">
        <f ca="1">_xlfn.NORM.INV(RAND(),$M$7,$M$8)</f>
        <v>-1.2489894628844355E-2</v>
      </c>
    </row>
    <row r="3125" spans="6:7" x14ac:dyDescent="0.25">
      <c r="F3125">
        <v>3122</v>
      </c>
      <c r="G3125">
        <f ca="1">_xlfn.NORM.INV(RAND(),$M$7,$M$8)</f>
        <v>-5.5567886173760335E-4</v>
      </c>
    </row>
    <row r="3126" spans="6:7" x14ac:dyDescent="0.25">
      <c r="F3126">
        <v>3123</v>
      </c>
      <c r="G3126">
        <f ca="1">_xlfn.NORM.INV(RAND(),$M$7,$M$8)</f>
        <v>1.2205914701852906E-2</v>
      </c>
    </row>
    <row r="3127" spans="6:7" x14ac:dyDescent="0.25">
      <c r="F3127">
        <v>3124</v>
      </c>
      <c r="G3127">
        <f ca="1">_xlfn.NORM.INV(RAND(),$M$7,$M$8)</f>
        <v>-9.4099846207999615E-3</v>
      </c>
    </row>
    <row r="3128" spans="6:7" x14ac:dyDescent="0.25">
      <c r="F3128">
        <v>3125</v>
      </c>
      <c r="G3128">
        <f ca="1">_xlfn.NORM.INV(RAND(),$M$7,$M$8)</f>
        <v>-9.8207711425767358E-3</v>
      </c>
    </row>
    <row r="3129" spans="6:7" x14ac:dyDescent="0.25">
      <c r="F3129">
        <v>3126</v>
      </c>
      <c r="G3129">
        <f ca="1">_xlfn.NORM.INV(RAND(),$M$7,$M$8)</f>
        <v>-3.7507346069389748E-2</v>
      </c>
    </row>
    <row r="3130" spans="6:7" x14ac:dyDescent="0.25">
      <c r="F3130">
        <v>3127</v>
      </c>
      <c r="G3130">
        <f ca="1">_xlfn.NORM.INV(RAND(),$M$7,$M$8)</f>
        <v>2.1415055163392167E-2</v>
      </c>
    </row>
    <row r="3131" spans="6:7" x14ac:dyDescent="0.25">
      <c r="F3131">
        <v>3128</v>
      </c>
      <c r="G3131">
        <f ca="1">_xlfn.NORM.INV(RAND(),$M$7,$M$8)</f>
        <v>1.4700429154478336E-2</v>
      </c>
    </row>
    <row r="3132" spans="6:7" x14ac:dyDescent="0.25">
      <c r="F3132">
        <v>3129</v>
      </c>
      <c r="G3132">
        <f ca="1">_xlfn.NORM.INV(RAND(),$M$7,$M$8)</f>
        <v>2.6571963471396249E-3</v>
      </c>
    </row>
    <row r="3133" spans="6:7" x14ac:dyDescent="0.25">
      <c r="F3133">
        <v>3130</v>
      </c>
      <c r="G3133">
        <f ca="1">_xlfn.NORM.INV(RAND(),$M$7,$M$8)</f>
        <v>1.937126574498169E-2</v>
      </c>
    </row>
    <row r="3134" spans="6:7" x14ac:dyDescent="0.25">
      <c r="F3134">
        <v>3131</v>
      </c>
      <c r="G3134">
        <f ca="1">_xlfn.NORM.INV(RAND(),$M$7,$M$8)</f>
        <v>-7.2237534499178663E-2</v>
      </c>
    </row>
    <row r="3135" spans="6:7" x14ac:dyDescent="0.25">
      <c r="F3135">
        <v>3132</v>
      </c>
      <c r="G3135">
        <f ca="1">_xlfn.NORM.INV(RAND(),$M$7,$M$8)</f>
        <v>-7.3916204899259156E-3</v>
      </c>
    </row>
    <row r="3136" spans="6:7" x14ac:dyDescent="0.25">
      <c r="F3136">
        <v>3133</v>
      </c>
      <c r="G3136">
        <f ca="1">_xlfn.NORM.INV(RAND(),$M$7,$M$8)</f>
        <v>-9.9883854279040011E-3</v>
      </c>
    </row>
    <row r="3137" spans="6:7" x14ac:dyDescent="0.25">
      <c r="F3137">
        <v>3134</v>
      </c>
      <c r="G3137">
        <f ca="1">_xlfn.NORM.INV(RAND(),$M$7,$M$8)</f>
        <v>6.862680565423945E-3</v>
      </c>
    </row>
    <row r="3138" spans="6:7" x14ac:dyDescent="0.25">
      <c r="F3138">
        <v>3135</v>
      </c>
      <c r="G3138">
        <f ca="1">_xlfn.NORM.INV(RAND(),$M$7,$M$8)</f>
        <v>4.1269524013792615E-2</v>
      </c>
    </row>
    <row r="3139" spans="6:7" x14ac:dyDescent="0.25">
      <c r="F3139">
        <v>3136</v>
      </c>
      <c r="G3139">
        <f ca="1">_xlfn.NORM.INV(RAND(),$M$7,$M$8)</f>
        <v>2.5195945570512777E-2</v>
      </c>
    </row>
    <row r="3140" spans="6:7" x14ac:dyDescent="0.25">
      <c r="F3140">
        <v>3137</v>
      </c>
      <c r="G3140">
        <f ca="1">_xlfn.NORM.INV(RAND(),$M$7,$M$8)</f>
        <v>-1.3920796895157694E-2</v>
      </c>
    </row>
    <row r="3141" spans="6:7" x14ac:dyDescent="0.25">
      <c r="F3141">
        <v>3138</v>
      </c>
      <c r="G3141">
        <f ca="1">_xlfn.NORM.INV(RAND(),$M$7,$M$8)</f>
        <v>2.1695391286230509E-2</v>
      </c>
    </row>
    <row r="3142" spans="6:7" x14ac:dyDescent="0.25">
      <c r="F3142">
        <v>3139</v>
      </c>
      <c r="G3142">
        <f ca="1">_xlfn.NORM.INV(RAND(),$M$7,$M$8)</f>
        <v>-1.4681872153201174E-2</v>
      </c>
    </row>
    <row r="3143" spans="6:7" x14ac:dyDescent="0.25">
      <c r="F3143">
        <v>3140</v>
      </c>
      <c r="G3143">
        <f ca="1">_xlfn.NORM.INV(RAND(),$M$7,$M$8)</f>
        <v>-1.7822827544961888E-2</v>
      </c>
    </row>
    <row r="3144" spans="6:7" x14ac:dyDescent="0.25">
      <c r="F3144">
        <v>3141</v>
      </c>
      <c r="G3144">
        <f ca="1">_xlfn.NORM.INV(RAND(),$M$7,$M$8)</f>
        <v>4.2302118167442303E-2</v>
      </c>
    </row>
    <row r="3145" spans="6:7" x14ac:dyDescent="0.25">
      <c r="F3145">
        <v>3142</v>
      </c>
      <c r="G3145">
        <f ca="1">_xlfn.NORM.INV(RAND(),$M$7,$M$8)</f>
        <v>-2.6005719203533048E-2</v>
      </c>
    </row>
    <row r="3146" spans="6:7" x14ac:dyDescent="0.25">
      <c r="F3146">
        <v>3143</v>
      </c>
      <c r="G3146">
        <f ca="1">_xlfn.NORM.INV(RAND(),$M$7,$M$8)</f>
        <v>2.2649800087158431E-2</v>
      </c>
    </row>
    <row r="3147" spans="6:7" x14ac:dyDescent="0.25">
      <c r="F3147">
        <v>3144</v>
      </c>
      <c r="G3147">
        <f ca="1">_xlfn.NORM.INV(RAND(),$M$7,$M$8)</f>
        <v>4.7307116297561465E-2</v>
      </c>
    </row>
    <row r="3148" spans="6:7" x14ac:dyDescent="0.25">
      <c r="F3148">
        <v>3145</v>
      </c>
      <c r="G3148">
        <f ca="1">_xlfn.NORM.INV(RAND(),$M$7,$M$8)</f>
        <v>1.6192902943829916E-2</v>
      </c>
    </row>
    <row r="3149" spans="6:7" x14ac:dyDescent="0.25">
      <c r="F3149">
        <v>3146</v>
      </c>
      <c r="G3149">
        <f ca="1">_xlfn.NORM.INV(RAND(),$M$7,$M$8)</f>
        <v>4.0063106774451553E-2</v>
      </c>
    </row>
    <row r="3150" spans="6:7" x14ac:dyDescent="0.25">
      <c r="F3150">
        <v>3147</v>
      </c>
      <c r="G3150">
        <f ca="1">_xlfn.NORM.INV(RAND(),$M$7,$M$8)</f>
        <v>9.112619151037931E-3</v>
      </c>
    </row>
    <row r="3151" spans="6:7" x14ac:dyDescent="0.25">
      <c r="F3151">
        <v>3148</v>
      </c>
      <c r="G3151">
        <f ca="1">_xlfn.NORM.INV(RAND(),$M$7,$M$8)</f>
        <v>1.7527560154955369E-2</v>
      </c>
    </row>
    <row r="3152" spans="6:7" x14ac:dyDescent="0.25">
      <c r="F3152">
        <v>3149</v>
      </c>
      <c r="G3152">
        <f ca="1">_xlfn.NORM.INV(RAND(),$M$7,$M$8)</f>
        <v>1.8810663421693567E-2</v>
      </c>
    </row>
    <row r="3153" spans="6:7" x14ac:dyDescent="0.25">
      <c r="F3153">
        <v>3150</v>
      </c>
      <c r="G3153">
        <f ca="1">_xlfn.NORM.INV(RAND(),$M$7,$M$8)</f>
        <v>-1.3606073703179426E-2</v>
      </c>
    </row>
    <row r="3154" spans="6:7" x14ac:dyDescent="0.25">
      <c r="F3154">
        <v>3151</v>
      </c>
      <c r="G3154">
        <f ca="1">_xlfn.NORM.INV(RAND(),$M$7,$M$8)</f>
        <v>-1.3718276405140508E-2</v>
      </c>
    </row>
    <row r="3155" spans="6:7" x14ac:dyDescent="0.25">
      <c r="F3155">
        <v>3152</v>
      </c>
      <c r="G3155">
        <f ca="1">_xlfn.NORM.INV(RAND(),$M$7,$M$8)</f>
        <v>-1.267073748264007E-2</v>
      </c>
    </row>
    <row r="3156" spans="6:7" x14ac:dyDescent="0.25">
      <c r="F3156">
        <v>3153</v>
      </c>
      <c r="G3156">
        <f ca="1">_xlfn.NORM.INV(RAND(),$M$7,$M$8)</f>
        <v>6.0079396977916026E-4</v>
      </c>
    </row>
    <row r="3157" spans="6:7" x14ac:dyDescent="0.25">
      <c r="F3157">
        <v>3154</v>
      </c>
      <c r="G3157">
        <f ca="1">_xlfn.NORM.INV(RAND(),$M$7,$M$8)</f>
        <v>2.6652006215354046E-2</v>
      </c>
    </row>
    <row r="3158" spans="6:7" x14ac:dyDescent="0.25">
      <c r="F3158">
        <v>3155</v>
      </c>
      <c r="G3158">
        <f ca="1">_xlfn.NORM.INV(RAND(),$M$7,$M$8)</f>
        <v>3.8950606554909507E-3</v>
      </c>
    </row>
    <row r="3159" spans="6:7" x14ac:dyDescent="0.25">
      <c r="F3159">
        <v>3156</v>
      </c>
      <c r="G3159">
        <f ca="1">_xlfn.NORM.INV(RAND(),$M$7,$M$8)</f>
        <v>-7.4192436386812024E-3</v>
      </c>
    </row>
    <row r="3160" spans="6:7" x14ac:dyDescent="0.25">
      <c r="F3160">
        <v>3157</v>
      </c>
      <c r="G3160">
        <f ca="1">_xlfn.NORM.INV(RAND(),$M$7,$M$8)</f>
        <v>-1.363603396283025E-2</v>
      </c>
    </row>
    <row r="3161" spans="6:7" x14ac:dyDescent="0.25">
      <c r="F3161">
        <v>3158</v>
      </c>
      <c r="G3161">
        <f ca="1">_xlfn.NORM.INV(RAND(),$M$7,$M$8)</f>
        <v>1.5016032393072311E-2</v>
      </c>
    </row>
    <row r="3162" spans="6:7" x14ac:dyDescent="0.25">
      <c r="F3162">
        <v>3159</v>
      </c>
      <c r="G3162">
        <f ca="1">_xlfn.NORM.INV(RAND(),$M$7,$M$8)</f>
        <v>2.3787840721311303E-2</v>
      </c>
    </row>
    <row r="3163" spans="6:7" x14ac:dyDescent="0.25">
      <c r="F3163">
        <v>3160</v>
      </c>
      <c r="G3163">
        <f ca="1">_xlfn.NORM.INV(RAND(),$M$7,$M$8)</f>
        <v>-9.6812856061811604E-3</v>
      </c>
    </row>
    <row r="3164" spans="6:7" x14ac:dyDescent="0.25">
      <c r="F3164">
        <v>3161</v>
      </c>
      <c r="G3164">
        <f ca="1">_xlfn.NORM.INV(RAND(),$M$7,$M$8)</f>
        <v>3.1758691943700652E-3</v>
      </c>
    </row>
    <row r="3165" spans="6:7" x14ac:dyDescent="0.25">
      <c r="F3165">
        <v>3162</v>
      </c>
      <c r="G3165">
        <f ca="1">_xlfn.NORM.INV(RAND(),$M$7,$M$8)</f>
        <v>1.6917491679057595E-2</v>
      </c>
    </row>
    <row r="3166" spans="6:7" x14ac:dyDescent="0.25">
      <c r="F3166">
        <v>3163</v>
      </c>
      <c r="G3166">
        <f ca="1">_xlfn.NORM.INV(RAND(),$M$7,$M$8)</f>
        <v>-1.0727309915078169E-2</v>
      </c>
    </row>
    <row r="3167" spans="6:7" x14ac:dyDescent="0.25">
      <c r="F3167">
        <v>3164</v>
      </c>
      <c r="G3167">
        <f ca="1">_xlfn.NORM.INV(RAND(),$M$7,$M$8)</f>
        <v>-1.035829466972038E-2</v>
      </c>
    </row>
    <row r="3168" spans="6:7" x14ac:dyDescent="0.25">
      <c r="F3168">
        <v>3165</v>
      </c>
      <c r="G3168">
        <f ca="1">_xlfn.NORM.INV(RAND(),$M$7,$M$8)</f>
        <v>-7.7239062916198663E-3</v>
      </c>
    </row>
    <row r="3169" spans="6:7" x14ac:dyDescent="0.25">
      <c r="F3169">
        <v>3166</v>
      </c>
      <c r="G3169">
        <f ca="1">_xlfn.NORM.INV(RAND(),$M$7,$M$8)</f>
        <v>-4.3732356222359658E-2</v>
      </c>
    </row>
    <row r="3170" spans="6:7" x14ac:dyDescent="0.25">
      <c r="F3170">
        <v>3167</v>
      </c>
      <c r="G3170">
        <f ca="1">_xlfn.NORM.INV(RAND(),$M$7,$M$8)</f>
        <v>-1.1253561059947056E-2</v>
      </c>
    </row>
    <row r="3171" spans="6:7" x14ac:dyDescent="0.25">
      <c r="F3171">
        <v>3168</v>
      </c>
      <c r="G3171">
        <f ca="1">_xlfn.NORM.INV(RAND(),$M$7,$M$8)</f>
        <v>-2.2201298851112081E-2</v>
      </c>
    </row>
    <row r="3172" spans="6:7" x14ac:dyDescent="0.25">
      <c r="F3172">
        <v>3169</v>
      </c>
      <c r="G3172">
        <f ca="1">_xlfn.NORM.INV(RAND(),$M$7,$M$8)</f>
        <v>3.7088339550885099E-2</v>
      </c>
    </row>
    <row r="3173" spans="6:7" x14ac:dyDescent="0.25">
      <c r="F3173">
        <v>3170</v>
      </c>
      <c r="G3173">
        <f ca="1">_xlfn.NORM.INV(RAND(),$M$7,$M$8)</f>
        <v>-6.2953931723638851E-3</v>
      </c>
    </row>
    <row r="3174" spans="6:7" x14ac:dyDescent="0.25">
      <c r="F3174">
        <v>3171</v>
      </c>
      <c r="G3174">
        <f ca="1">_xlfn.NORM.INV(RAND(),$M$7,$M$8)</f>
        <v>1.599448973008857E-2</v>
      </c>
    </row>
    <row r="3175" spans="6:7" x14ac:dyDescent="0.25">
      <c r="F3175">
        <v>3172</v>
      </c>
      <c r="G3175">
        <f ca="1">_xlfn.NORM.INV(RAND(),$M$7,$M$8)</f>
        <v>-3.660494821368467E-3</v>
      </c>
    </row>
    <row r="3176" spans="6:7" x14ac:dyDescent="0.25">
      <c r="F3176">
        <v>3173</v>
      </c>
      <c r="G3176">
        <f ca="1">_xlfn.NORM.INV(RAND(),$M$7,$M$8)</f>
        <v>-1.083813407838095E-2</v>
      </c>
    </row>
    <row r="3177" spans="6:7" x14ac:dyDescent="0.25">
      <c r="F3177">
        <v>3174</v>
      </c>
      <c r="G3177">
        <f ca="1">_xlfn.NORM.INV(RAND(),$M$7,$M$8)</f>
        <v>1.529374928699905E-3</v>
      </c>
    </row>
    <row r="3178" spans="6:7" x14ac:dyDescent="0.25">
      <c r="F3178">
        <v>3175</v>
      </c>
      <c r="G3178">
        <f ca="1">_xlfn.NORM.INV(RAND(),$M$7,$M$8)</f>
        <v>1.9039095029689656E-2</v>
      </c>
    </row>
    <row r="3179" spans="6:7" x14ac:dyDescent="0.25">
      <c r="F3179">
        <v>3176</v>
      </c>
      <c r="G3179">
        <f ca="1">_xlfn.NORM.INV(RAND(),$M$7,$M$8)</f>
        <v>8.3786897737662402E-3</v>
      </c>
    </row>
    <row r="3180" spans="6:7" x14ac:dyDescent="0.25">
      <c r="F3180">
        <v>3177</v>
      </c>
      <c r="G3180">
        <f ca="1">_xlfn.NORM.INV(RAND(),$M$7,$M$8)</f>
        <v>-3.3954215782347878E-3</v>
      </c>
    </row>
    <row r="3181" spans="6:7" x14ac:dyDescent="0.25">
      <c r="F3181">
        <v>3178</v>
      </c>
      <c r="G3181">
        <f ca="1">_xlfn.NORM.INV(RAND(),$M$7,$M$8)</f>
        <v>-2.0203459451423357E-2</v>
      </c>
    </row>
    <row r="3182" spans="6:7" x14ac:dyDescent="0.25">
      <c r="F3182">
        <v>3179</v>
      </c>
      <c r="G3182">
        <f ca="1">_xlfn.NORM.INV(RAND(),$M$7,$M$8)</f>
        <v>3.7708045828761985E-2</v>
      </c>
    </row>
    <row r="3183" spans="6:7" x14ac:dyDescent="0.25">
      <c r="F3183">
        <v>3180</v>
      </c>
      <c r="G3183">
        <f ca="1">_xlfn.NORM.INV(RAND(),$M$7,$M$8)</f>
        <v>1.1571817443283193E-2</v>
      </c>
    </row>
    <row r="3184" spans="6:7" x14ac:dyDescent="0.25">
      <c r="F3184">
        <v>3181</v>
      </c>
      <c r="G3184">
        <f ca="1">_xlfn.NORM.INV(RAND(),$M$7,$M$8)</f>
        <v>-8.3621543693265694E-3</v>
      </c>
    </row>
    <row r="3185" spans="6:7" x14ac:dyDescent="0.25">
      <c r="F3185">
        <v>3182</v>
      </c>
      <c r="G3185">
        <f ca="1">_xlfn.NORM.INV(RAND(),$M$7,$M$8)</f>
        <v>3.2062829762784843E-2</v>
      </c>
    </row>
    <row r="3186" spans="6:7" x14ac:dyDescent="0.25">
      <c r="F3186">
        <v>3183</v>
      </c>
      <c r="G3186">
        <f ca="1">_xlfn.NORM.INV(RAND(),$M$7,$M$8)</f>
        <v>-1.3367377509338071E-2</v>
      </c>
    </row>
    <row r="3187" spans="6:7" x14ac:dyDescent="0.25">
      <c r="F3187">
        <v>3184</v>
      </c>
      <c r="G3187">
        <f ca="1">_xlfn.NORM.INV(RAND(),$M$7,$M$8)</f>
        <v>-1.2318110732123869E-2</v>
      </c>
    </row>
    <row r="3188" spans="6:7" x14ac:dyDescent="0.25">
      <c r="F3188">
        <v>3185</v>
      </c>
      <c r="G3188">
        <f ca="1">_xlfn.NORM.INV(RAND(),$M$7,$M$8)</f>
        <v>1.9793760302634685E-3</v>
      </c>
    </row>
    <row r="3189" spans="6:7" x14ac:dyDescent="0.25">
      <c r="F3189">
        <v>3186</v>
      </c>
      <c r="G3189">
        <f ca="1">_xlfn.NORM.INV(RAND(),$M$7,$M$8)</f>
        <v>-4.8589676499480802E-3</v>
      </c>
    </row>
    <row r="3190" spans="6:7" x14ac:dyDescent="0.25">
      <c r="F3190">
        <v>3187</v>
      </c>
      <c r="G3190">
        <f ca="1">_xlfn.NORM.INV(RAND(),$M$7,$M$8)</f>
        <v>2.2273512615227357E-2</v>
      </c>
    </row>
    <row r="3191" spans="6:7" x14ac:dyDescent="0.25">
      <c r="F3191">
        <v>3188</v>
      </c>
      <c r="G3191">
        <f ca="1">_xlfn.NORM.INV(RAND(),$M$7,$M$8)</f>
        <v>-1.3874162521743838E-2</v>
      </c>
    </row>
    <row r="3192" spans="6:7" x14ac:dyDescent="0.25">
      <c r="F3192">
        <v>3189</v>
      </c>
      <c r="G3192">
        <f ca="1">_xlfn.NORM.INV(RAND(),$M$7,$M$8)</f>
        <v>-2.1342501790643561E-3</v>
      </c>
    </row>
    <row r="3193" spans="6:7" x14ac:dyDescent="0.25">
      <c r="F3193">
        <v>3190</v>
      </c>
      <c r="G3193">
        <f ca="1">_xlfn.NORM.INV(RAND(),$M$7,$M$8)</f>
        <v>3.4700438946874967E-3</v>
      </c>
    </row>
    <row r="3194" spans="6:7" x14ac:dyDescent="0.25">
      <c r="F3194">
        <v>3191</v>
      </c>
      <c r="G3194">
        <f ca="1">_xlfn.NORM.INV(RAND(),$M$7,$M$8)</f>
        <v>2.4797596667076861E-2</v>
      </c>
    </row>
    <row r="3195" spans="6:7" x14ac:dyDescent="0.25">
      <c r="F3195">
        <v>3192</v>
      </c>
      <c r="G3195">
        <f ca="1">_xlfn.NORM.INV(RAND(),$M$7,$M$8)</f>
        <v>-7.189087817869047E-3</v>
      </c>
    </row>
    <row r="3196" spans="6:7" x14ac:dyDescent="0.25">
      <c r="F3196">
        <v>3193</v>
      </c>
      <c r="G3196">
        <f ca="1">_xlfn.NORM.INV(RAND(),$M$7,$M$8)</f>
        <v>-3.0141978551494537E-2</v>
      </c>
    </row>
    <row r="3197" spans="6:7" x14ac:dyDescent="0.25">
      <c r="F3197">
        <v>3194</v>
      </c>
      <c r="G3197">
        <f ca="1">_xlfn.NORM.INV(RAND(),$M$7,$M$8)</f>
        <v>2.5672984363806033E-2</v>
      </c>
    </row>
    <row r="3198" spans="6:7" x14ac:dyDescent="0.25">
      <c r="F3198">
        <v>3195</v>
      </c>
      <c r="G3198">
        <f ca="1">_xlfn.NORM.INV(RAND(),$M$7,$M$8)</f>
        <v>1.0416778288758336E-2</v>
      </c>
    </row>
    <row r="3199" spans="6:7" x14ac:dyDescent="0.25">
      <c r="F3199">
        <v>3196</v>
      </c>
      <c r="G3199">
        <f ca="1">_xlfn.NORM.INV(RAND(),$M$7,$M$8)</f>
        <v>3.5569656630434862E-2</v>
      </c>
    </row>
    <row r="3200" spans="6:7" x14ac:dyDescent="0.25">
      <c r="F3200">
        <v>3197</v>
      </c>
      <c r="G3200">
        <f ca="1">_xlfn.NORM.INV(RAND(),$M$7,$M$8)</f>
        <v>5.2632152612849779E-2</v>
      </c>
    </row>
    <row r="3201" spans="6:7" x14ac:dyDescent="0.25">
      <c r="F3201">
        <v>3198</v>
      </c>
      <c r="G3201">
        <f ca="1">_xlfn.NORM.INV(RAND(),$M$7,$M$8)</f>
        <v>-2.1808017088685842E-2</v>
      </c>
    </row>
    <row r="3202" spans="6:7" x14ac:dyDescent="0.25">
      <c r="F3202">
        <v>3199</v>
      </c>
      <c r="G3202">
        <f ca="1">_xlfn.NORM.INV(RAND(),$M$7,$M$8)</f>
        <v>2.7264434353680915E-2</v>
      </c>
    </row>
    <row r="3203" spans="6:7" x14ac:dyDescent="0.25">
      <c r="F3203">
        <v>3200</v>
      </c>
      <c r="G3203">
        <f ca="1">_xlfn.NORM.INV(RAND(),$M$7,$M$8)</f>
        <v>6.6584588063400962E-3</v>
      </c>
    </row>
    <row r="3204" spans="6:7" x14ac:dyDescent="0.25">
      <c r="F3204">
        <v>3201</v>
      </c>
      <c r="G3204">
        <f ca="1">_xlfn.NORM.INV(RAND(),$M$7,$M$8)</f>
        <v>4.5155922185961175E-3</v>
      </c>
    </row>
    <row r="3205" spans="6:7" x14ac:dyDescent="0.25">
      <c r="F3205">
        <v>3202</v>
      </c>
      <c r="G3205">
        <f ca="1">_xlfn.NORM.INV(RAND(),$M$7,$M$8)</f>
        <v>3.4457586045975645E-2</v>
      </c>
    </row>
    <row r="3206" spans="6:7" x14ac:dyDescent="0.25">
      <c r="F3206">
        <v>3203</v>
      </c>
      <c r="G3206">
        <f ca="1">_xlfn.NORM.INV(RAND(),$M$7,$M$8)</f>
        <v>3.1706720356580419E-2</v>
      </c>
    </row>
    <row r="3207" spans="6:7" x14ac:dyDescent="0.25">
      <c r="F3207">
        <v>3204</v>
      </c>
      <c r="G3207">
        <f ca="1">_xlfn.NORM.INV(RAND(),$M$7,$M$8)</f>
        <v>8.5796687726616815E-3</v>
      </c>
    </row>
    <row r="3208" spans="6:7" x14ac:dyDescent="0.25">
      <c r="F3208">
        <v>3205</v>
      </c>
      <c r="G3208">
        <f ca="1">_xlfn.NORM.INV(RAND(),$M$7,$M$8)</f>
        <v>3.6838060167290299E-2</v>
      </c>
    </row>
    <row r="3209" spans="6:7" x14ac:dyDescent="0.25">
      <c r="F3209">
        <v>3206</v>
      </c>
      <c r="G3209">
        <f ca="1">_xlfn.NORM.INV(RAND(),$M$7,$M$8)</f>
        <v>2.2671480303469781E-2</v>
      </c>
    </row>
    <row r="3210" spans="6:7" x14ac:dyDescent="0.25">
      <c r="F3210">
        <v>3207</v>
      </c>
      <c r="G3210">
        <f ca="1">_xlfn.NORM.INV(RAND(),$M$7,$M$8)</f>
        <v>1.6816891510918589E-2</v>
      </c>
    </row>
    <row r="3211" spans="6:7" x14ac:dyDescent="0.25">
      <c r="F3211">
        <v>3208</v>
      </c>
      <c r="G3211">
        <f ca="1">_xlfn.NORM.INV(RAND(),$M$7,$M$8)</f>
        <v>2.4766807585547956E-2</v>
      </c>
    </row>
    <row r="3212" spans="6:7" x14ac:dyDescent="0.25">
      <c r="F3212">
        <v>3209</v>
      </c>
      <c r="G3212">
        <f ca="1">_xlfn.NORM.INV(RAND(),$M$7,$M$8)</f>
        <v>-1.7333738177656008E-3</v>
      </c>
    </row>
    <row r="3213" spans="6:7" x14ac:dyDescent="0.25">
      <c r="F3213">
        <v>3210</v>
      </c>
      <c r="G3213">
        <f ca="1">_xlfn.NORM.INV(RAND(),$M$7,$M$8)</f>
        <v>-5.9693627639073304E-3</v>
      </c>
    </row>
    <row r="3214" spans="6:7" x14ac:dyDescent="0.25">
      <c r="F3214">
        <v>3211</v>
      </c>
      <c r="G3214">
        <f ca="1">_xlfn.NORM.INV(RAND(),$M$7,$M$8)</f>
        <v>-3.0990804531924108E-3</v>
      </c>
    </row>
    <row r="3215" spans="6:7" x14ac:dyDescent="0.25">
      <c r="F3215">
        <v>3212</v>
      </c>
      <c r="G3215">
        <f ca="1">_xlfn.NORM.INV(RAND(),$M$7,$M$8)</f>
        <v>2.9204475252447296E-2</v>
      </c>
    </row>
    <row r="3216" spans="6:7" x14ac:dyDescent="0.25">
      <c r="F3216">
        <v>3213</v>
      </c>
      <c r="G3216">
        <f ca="1">_xlfn.NORM.INV(RAND(),$M$7,$M$8)</f>
        <v>-1.761597494759768E-2</v>
      </c>
    </row>
    <row r="3217" spans="6:7" x14ac:dyDescent="0.25">
      <c r="F3217">
        <v>3214</v>
      </c>
      <c r="G3217">
        <f ca="1">_xlfn.NORM.INV(RAND(),$M$7,$M$8)</f>
        <v>1.7555522352762431E-2</v>
      </c>
    </row>
    <row r="3218" spans="6:7" x14ac:dyDescent="0.25">
      <c r="F3218">
        <v>3215</v>
      </c>
      <c r="G3218">
        <f ca="1">_xlfn.NORM.INV(RAND(),$M$7,$M$8)</f>
        <v>-7.4148396525757481E-3</v>
      </c>
    </row>
    <row r="3219" spans="6:7" x14ac:dyDescent="0.25">
      <c r="F3219">
        <v>3216</v>
      </c>
      <c r="G3219">
        <f ca="1">_xlfn.NORM.INV(RAND(),$M$7,$M$8)</f>
        <v>-4.522433602158929E-2</v>
      </c>
    </row>
    <row r="3220" spans="6:7" x14ac:dyDescent="0.25">
      <c r="F3220">
        <v>3217</v>
      </c>
      <c r="G3220">
        <f ca="1">_xlfn.NORM.INV(RAND(),$M$7,$M$8)</f>
        <v>7.2682813559488291E-3</v>
      </c>
    </row>
    <row r="3221" spans="6:7" x14ac:dyDescent="0.25">
      <c r="F3221">
        <v>3218</v>
      </c>
      <c r="G3221">
        <f ca="1">_xlfn.NORM.INV(RAND(),$M$7,$M$8)</f>
        <v>-4.1953617914221988E-2</v>
      </c>
    </row>
    <row r="3222" spans="6:7" x14ac:dyDescent="0.25">
      <c r="F3222">
        <v>3219</v>
      </c>
      <c r="G3222">
        <f ca="1">_xlfn.NORM.INV(RAND(),$M$7,$M$8)</f>
        <v>-4.5726455479758784E-3</v>
      </c>
    </row>
    <row r="3223" spans="6:7" x14ac:dyDescent="0.25">
      <c r="F3223">
        <v>3220</v>
      </c>
      <c r="G3223">
        <f ca="1">_xlfn.NORM.INV(RAND(),$M$7,$M$8)</f>
        <v>-2.3307661312492196E-2</v>
      </c>
    </row>
    <row r="3224" spans="6:7" x14ac:dyDescent="0.25">
      <c r="F3224">
        <v>3221</v>
      </c>
      <c r="G3224">
        <f ca="1">_xlfn.NORM.INV(RAND(),$M$7,$M$8)</f>
        <v>1.8937910800767656E-2</v>
      </c>
    </row>
    <row r="3225" spans="6:7" x14ac:dyDescent="0.25">
      <c r="F3225">
        <v>3222</v>
      </c>
      <c r="G3225">
        <f ca="1">_xlfn.NORM.INV(RAND(),$M$7,$M$8)</f>
        <v>1.042008664764524E-2</v>
      </c>
    </row>
    <row r="3226" spans="6:7" x14ac:dyDescent="0.25">
      <c r="F3226">
        <v>3223</v>
      </c>
      <c r="G3226">
        <f ca="1">_xlfn.NORM.INV(RAND(),$M$7,$M$8)</f>
        <v>4.2285701635558434E-2</v>
      </c>
    </row>
    <row r="3227" spans="6:7" x14ac:dyDescent="0.25">
      <c r="F3227">
        <v>3224</v>
      </c>
      <c r="G3227">
        <f ca="1">_xlfn.NORM.INV(RAND(),$M$7,$M$8)</f>
        <v>1.3259571658771271E-2</v>
      </c>
    </row>
    <row r="3228" spans="6:7" x14ac:dyDescent="0.25">
      <c r="F3228">
        <v>3225</v>
      </c>
      <c r="G3228">
        <f ca="1">_xlfn.NORM.INV(RAND(),$M$7,$M$8)</f>
        <v>2.2969612492804953E-2</v>
      </c>
    </row>
    <row r="3229" spans="6:7" x14ac:dyDescent="0.25">
      <c r="F3229">
        <v>3226</v>
      </c>
      <c r="G3229">
        <f ca="1">_xlfn.NORM.INV(RAND(),$M$7,$M$8)</f>
        <v>-2.6257402688615451E-3</v>
      </c>
    </row>
    <row r="3230" spans="6:7" x14ac:dyDescent="0.25">
      <c r="F3230">
        <v>3227</v>
      </c>
      <c r="G3230">
        <f ca="1">_xlfn.NORM.INV(RAND(),$M$7,$M$8)</f>
        <v>3.2512943708164065E-2</v>
      </c>
    </row>
    <row r="3231" spans="6:7" x14ac:dyDescent="0.25">
      <c r="F3231">
        <v>3228</v>
      </c>
      <c r="G3231">
        <f ca="1">_xlfn.NORM.INV(RAND(),$M$7,$M$8)</f>
        <v>-2.6678839407483306E-3</v>
      </c>
    </row>
    <row r="3232" spans="6:7" x14ac:dyDescent="0.25">
      <c r="F3232">
        <v>3229</v>
      </c>
      <c r="G3232">
        <f ca="1">_xlfn.NORM.INV(RAND(),$M$7,$M$8)</f>
        <v>-2.9279254238584827E-2</v>
      </c>
    </row>
    <row r="3233" spans="6:7" x14ac:dyDescent="0.25">
      <c r="F3233">
        <v>3230</v>
      </c>
      <c r="G3233">
        <f ca="1">_xlfn.NORM.INV(RAND(),$M$7,$M$8)</f>
        <v>-2.8839657920501183E-2</v>
      </c>
    </row>
    <row r="3234" spans="6:7" x14ac:dyDescent="0.25">
      <c r="F3234">
        <v>3231</v>
      </c>
      <c r="G3234">
        <f ca="1">_xlfn.NORM.INV(RAND(),$M$7,$M$8)</f>
        <v>2.3413647788615894E-2</v>
      </c>
    </row>
    <row r="3235" spans="6:7" x14ac:dyDescent="0.25">
      <c r="F3235">
        <v>3232</v>
      </c>
      <c r="G3235">
        <f ca="1">_xlfn.NORM.INV(RAND(),$M$7,$M$8)</f>
        <v>-3.5228075546528191E-3</v>
      </c>
    </row>
    <row r="3236" spans="6:7" x14ac:dyDescent="0.25">
      <c r="F3236">
        <v>3233</v>
      </c>
      <c r="G3236">
        <f ca="1">_xlfn.NORM.INV(RAND(),$M$7,$M$8)</f>
        <v>-9.8093798136733301E-3</v>
      </c>
    </row>
    <row r="3237" spans="6:7" x14ac:dyDescent="0.25">
      <c r="F3237">
        <v>3234</v>
      </c>
      <c r="G3237">
        <f ca="1">_xlfn.NORM.INV(RAND(),$M$7,$M$8)</f>
        <v>-5.771086093335381E-3</v>
      </c>
    </row>
    <row r="3238" spans="6:7" x14ac:dyDescent="0.25">
      <c r="F3238">
        <v>3235</v>
      </c>
      <c r="G3238">
        <f ca="1">_xlfn.NORM.INV(RAND(),$M$7,$M$8)</f>
        <v>-3.2091137097322807E-3</v>
      </c>
    </row>
    <row r="3239" spans="6:7" x14ac:dyDescent="0.25">
      <c r="F3239">
        <v>3236</v>
      </c>
      <c r="G3239">
        <f ca="1">_xlfn.NORM.INV(RAND(),$M$7,$M$8)</f>
        <v>-2.008675423309916E-2</v>
      </c>
    </row>
    <row r="3240" spans="6:7" x14ac:dyDescent="0.25">
      <c r="F3240">
        <v>3237</v>
      </c>
      <c r="G3240">
        <f ca="1">_xlfn.NORM.INV(RAND(),$M$7,$M$8)</f>
        <v>-1.953333833003236E-2</v>
      </c>
    </row>
    <row r="3241" spans="6:7" x14ac:dyDescent="0.25">
      <c r="F3241">
        <v>3238</v>
      </c>
      <c r="G3241">
        <f ca="1">_xlfn.NORM.INV(RAND(),$M$7,$M$8)</f>
        <v>9.9943174797031808E-3</v>
      </c>
    </row>
    <row r="3242" spans="6:7" x14ac:dyDescent="0.25">
      <c r="F3242">
        <v>3239</v>
      </c>
      <c r="G3242">
        <f ca="1">_xlfn.NORM.INV(RAND(),$M$7,$M$8)</f>
        <v>-3.4022591442207289E-2</v>
      </c>
    </row>
    <row r="3243" spans="6:7" x14ac:dyDescent="0.25">
      <c r="F3243">
        <v>3240</v>
      </c>
      <c r="G3243">
        <f ca="1">_xlfn.NORM.INV(RAND(),$M$7,$M$8)</f>
        <v>1.5346521433795453E-2</v>
      </c>
    </row>
    <row r="3244" spans="6:7" x14ac:dyDescent="0.25">
      <c r="F3244">
        <v>3241</v>
      </c>
      <c r="G3244">
        <f ca="1">_xlfn.NORM.INV(RAND(),$M$7,$M$8)</f>
        <v>4.1890351237400869E-2</v>
      </c>
    </row>
    <row r="3245" spans="6:7" x14ac:dyDescent="0.25">
      <c r="F3245">
        <v>3242</v>
      </c>
      <c r="G3245">
        <f ca="1">_xlfn.NORM.INV(RAND(),$M$7,$M$8)</f>
        <v>4.4159946102905329E-3</v>
      </c>
    </row>
    <row r="3246" spans="6:7" x14ac:dyDescent="0.25">
      <c r="F3246">
        <v>3243</v>
      </c>
      <c r="G3246">
        <f ca="1">_xlfn.NORM.INV(RAND(),$M$7,$M$8)</f>
        <v>3.2950944947688368E-2</v>
      </c>
    </row>
    <row r="3247" spans="6:7" x14ac:dyDescent="0.25">
      <c r="F3247">
        <v>3244</v>
      </c>
      <c r="G3247">
        <f ca="1">_xlfn.NORM.INV(RAND(),$M$7,$M$8)</f>
        <v>-3.112691650591658E-2</v>
      </c>
    </row>
    <row r="3248" spans="6:7" x14ac:dyDescent="0.25">
      <c r="F3248">
        <v>3245</v>
      </c>
      <c r="G3248">
        <f ca="1">_xlfn.NORM.INV(RAND(),$M$7,$M$8)</f>
        <v>-1.6883402208160345E-2</v>
      </c>
    </row>
    <row r="3249" spans="6:7" x14ac:dyDescent="0.25">
      <c r="F3249">
        <v>3246</v>
      </c>
      <c r="G3249">
        <f ca="1">_xlfn.NORM.INV(RAND(),$M$7,$M$8)</f>
        <v>8.6784915140161751E-3</v>
      </c>
    </row>
    <row r="3250" spans="6:7" x14ac:dyDescent="0.25">
      <c r="F3250">
        <v>3247</v>
      </c>
      <c r="G3250">
        <f ca="1">_xlfn.NORM.INV(RAND(),$M$7,$M$8)</f>
        <v>-3.2070665696879691E-2</v>
      </c>
    </row>
    <row r="3251" spans="6:7" x14ac:dyDescent="0.25">
      <c r="F3251">
        <v>3248</v>
      </c>
      <c r="G3251">
        <f ca="1">_xlfn.NORM.INV(RAND(),$M$7,$M$8)</f>
        <v>-4.6948138278712193E-2</v>
      </c>
    </row>
    <row r="3252" spans="6:7" x14ac:dyDescent="0.25">
      <c r="F3252">
        <v>3249</v>
      </c>
      <c r="G3252">
        <f ca="1">_xlfn.NORM.INV(RAND(),$M$7,$M$8)</f>
        <v>7.8708392750338023E-3</v>
      </c>
    </row>
    <row r="3253" spans="6:7" x14ac:dyDescent="0.25">
      <c r="F3253">
        <v>3250</v>
      </c>
      <c r="G3253">
        <f ca="1">_xlfn.NORM.INV(RAND(),$M$7,$M$8)</f>
        <v>-6.6942729388431189E-3</v>
      </c>
    </row>
    <row r="3254" spans="6:7" x14ac:dyDescent="0.25">
      <c r="F3254">
        <v>3251</v>
      </c>
      <c r="G3254">
        <f ca="1">_xlfn.NORM.INV(RAND(),$M$7,$M$8)</f>
        <v>1.4421172839852696E-2</v>
      </c>
    </row>
    <row r="3255" spans="6:7" x14ac:dyDescent="0.25">
      <c r="F3255">
        <v>3252</v>
      </c>
      <c r="G3255">
        <f ca="1">_xlfn.NORM.INV(RAND(),$M$7,$M$8)</f>
        <v>2.7327179752633431E-2</v>
      </c>
    </row>
    <row r="3256" spans="6:7" x14ac:dyDescent="0.25">
      <c r="F3256">
        <v>3253</v>
      </c>
      <c r="G3256">
        <f ca="1">_xlfn.NORM.INV(RAND(),$M$7,$M$8)</f>
        <v>-1.6509646003295044E-2</v>
      </c>
    </row>
    <row r="3257" spans="6:7" x14ac:dyDescent="0.25">
      <c r="F3257">
        <v>3254</v>
      </c>
      <c r="G3257">
        <f ca="1">_xlfn.NORM.INV(RAND(),$M$7,$M$8)</f>
        <v>1.2309414094623449E-2</v>
      </c>
    </row>
    <row r="3258" spans="6:7" x14ac:dyDescent="0.25">
      <c r="F3258">
        <v>3255</v>
      </c>
      <c r="G3258">
        <f ca="1">_xlfn.NORM.INV(RAND(),$M$7,$M$8)</f>
        <v>9.7190775094304089E-3</v>
      </c>
    </row>
    <row r="3259" spans="6:7" x14ac:dyDescent="0.25">
      <c r="F3259">
        <v>3256</v>
      </c>
      <c r="G3259">
        <f ca="1">_xlfn.NORM.INV(RAND(),$M$7,$M$8)</f>
        <v>1.0095239646416836E-2</v>
      </c>
    </row>
    <row r="3260" spans="6:7" x14ac:dyDescent="0.25">
      <c r="F3260">
        <v>3257</v>
      </c>
      <c r="G3260">
        <f ca="1">_xlfn.NORM.INV(RAND(),$M$7,$M$8)</f>
        <v>3.0397240660932658E-2</v>
      </c>
    </row>
    <row r="3261" spans="6:7" x14ac:dyDescent="0.25">
      <c r="F3261">
        <v>3258</v>
      </c>
      <c r="G3261">
        <f ca="1">_xlfn.NORM.INV(RAND(),$M$7,$M$8)</f>
        <v>-1.5703763281527616E-2</v>
      </c>
    </row>
    <row r="3262" spans="6:7" x14ac:dyDescent="0.25">
      <c r="F3262">
        <v>3259</v>
      </c>
      <c r="G3262">
        <f ca="1">_xlfn.NORM.INV(RAND(),$M$7,$M$8)</f>
        <v>1.0442194930489484E-2</v>
      </c>
    </row>
    <row r="3263" spans="6:7" x14ac:dyDescent="0.25">
      <c r="F3263">
        <v>3260</v>
      </c>
      <c r="G3263">
        <f ca="1">_xlfn.NORM.INV(RAND(),$M$7,$M$8)</f>
        <v>-2.4781607353920408E-2</v>
      </c>
    </row>
    <row r="3264" spans="6:7" x14ac:dyDescent="0.25">
      <c r="F3264">
        <v>3261</v>
      </c>
      <c r="G3264">
        <f ca="1">_xlfn.NORM.INV(RAND(),$M$7,$M$8)</f>
        <v>-9.3682735652389146E-5</v>
      </c>
    </row>
    <row r="3265" spans="6:7" x14ac:dyDescent="0.25">
      <c r="F3265">
        <v>3262</v>
      </c>
      <c r="G3265">
        <f ca="1">_xlfn.NORM.INV(RAND(),$M$7,$M$8)</f>
        <v>-3.1910389443920766E-2</v>
      </c>
    </row>
    <row r="3266" spans="6:7" x14ac:dyDescent="0.25">
      <c r="F3266">
        <v>3263</v>
      </c>
      <c r="G3266">
        <f ca="1">_xlfn.NORM.INV(RAND(),$M$7,$M$8)</f>
        <v>-2.3108050244986467E-2</v>
      </c>
    </row>
    <row r="3267" spans="6:7" x14ac:dyDescent="0.25">
      <c r="F3267">
        <v>3264</v>
      </c>
      <c r="G3267">
        <f ca="1">_xlfn.NORM.INV(RAND(),$M$7,$M$8)</f>
        <v>1.3947039712531162E-2</v>
      </c>
    </row>
    <row r="3268" spans="6:7" x14ac:dyDescent="0.25">
      <c r="F3268">
        <v>3265</v>
      </c>
      <c r="G3268">
        <f ca="1">_xlfn.NORM.INV(RAND(),$M$7,$M$8)</f>
        <v>-1.5132312928946304E-2</v>
      </c>
    </row>
    <row r="3269" spans="6:7" x14ac:dyDescent="0.25">
      <c r="F3269">
        <v>3266</v>
      </c>
      <c r="G3269">
        <f ca="1">_xlfn.NORM.INV(RAND(),$M$7,$M$8)</f>
        <v>-1.2845544693600112E-2</v>
      </c>
    </row>
    <row r="3270" spans="6:7" x14ac:dyDescent="0.25">
      <c r="F3270">
        <v>3267</v>
      </c>
      <c r="G3270">
        <f ca="1">_xlfn.NORM.INV(RAND(),$M$7,$M$8)</f>
        <v>-9.0475254104382345E-3</v>
      </c>
    </row>
    <row r="3271" spans="6:7" x14ac:dyDescent="0.25">
      <c r="F3271">
        <v>3268</v>
      </c>
      <c r="G3271">
        <f ca="1">_xlfn.NORM.INV(RAND(),$M$7,$M$8)</f>
        <v>-8.2566146946108504E-3</v>
      </c>
    </row>
    <row r="3272" spans="6:7" x14ac:dyDescent="0.25">
      <c r="F3272">
        <v>3269</v>
      </c>
      <c r="G3272">
        <f ca="1">_xlfn.NORM.INV(RAND(),$M$7,$M$8)</f>
        <v>1.8527766471598671E-2</v>
      </c>
    </row>
    <row r="3273" spans="6:7" x14ac:dyDescent="0.25">
      <c r="F3273">
        <v>3270</v>
      </c>
      <c r="G3273">
        <f ca="1">_xlfn.NORM.INV(RAND(),$M$7,$M$8)</f>
        <v>4.159869360003382E-2</v>
      </c>
    </row>
    <row r="3274" spans="6:7" x14ac:dyDescent="0.25">
      <c r="F3274">
        <v>3271</v>
      </c>
      <c r="G3274">
        <f ca="1">_xlfn.NORM.INV(RAND(),$M$7,$M$8)</f>
        <v>5.5526573683867202E-2</v>
      </c>
    </row>
    <row r="3275" spans="6:7" x14ac:dyDescent="0.25">
      <c r="F3275">
        <v>3272</v>
      </c>
      <c r="G3275">
        <f ca="1">_xlfn.NORM.INV(RAND(),$M$7,$M$8)</f>
        <v>6.3527233991072241E-3</v>
      </c>
    </row>
    <row r="3276" spans="6:7" x14ac:dyDescent="0.25">
      <c r="F3276">
        <v>3273</v>
      </c>
      <c r="G3276">
        <f ca="1">_xlfn.NORM.INV(RAND(),$M$7,$M$8)</f>
        <v>-2.513590715859413E-2</v>
      </c>
    </row>
    <row r="3277" spans="6:7" x14ac:dyDescent="0.25">
      <c r="F3277">
        <v>3274</v>
      </c>
      <c r="G3277">
        <f ca="1">_xlfn.NORM.INV(RAND(),$M$7,$M$8)</f>
        <v>2.1608280315533364E-2</v>
      </c>
    </row>
    <row r="3278" spans="6:7" x14ac:dyDescent="0.25">
      <c r="F3278">
        <v>3275</v>
      </c>
      <c r="G3278">
        <f ca="1">_xlfn.NORM.INV(RAND(),$M$7,$M$8)</f>
        <v>-1.0302613230547954E-2</v>
      </c>
    </row>
    <row r="3279" spans="6:7" x14ac:dyDescent="0.25">
      <c r="F3279">
        <v>3276</v>
      </c>
      <c r="G3279">
        <f ca="1">_xlfn.NORM.INV(RAND(),$M$7,$M$8)</f>
        <v>4.119099725120934E-3</v>
      </c>
    </row>
    <row r="3280" spans="6:7" x14ac:dyDescent="0.25">
      <c r="F3280">
        <v>3277</v>
      </c>
      <c r="G3280">
        <f ca="1">_xlfn.NORM.INV(RAND(),$M$7,$M$8)</f>
        <v>4.6123636339728546E-3</v>
      </c>
    </row>
    <row r="3281" spans="6:7" x14ac:dyDescent="0.25">
      <c r="F3281">
        <v>3278</v>
      </c>
      <c r="G3281">
        <f ca="1">_xlfn.NORM.INV(RAND(),$M$7,$M$8)</f>
        <v>-1.1074286804851506E-2</v>
      </c>
    </row>
    <row r="3282" spans="6:7" x14ac:dyDescent="0.25">
      <c r="F3282">
        <v>3279</v>
      </c>
      <c r="G3282">
        <f ca="1">_xlfn.NORM.INV(RAND(),$M$7,$M$8)</f>
        <v>4.7714146570742768E-3</v>
      </c>
    </row>
    <row r="3283" spans="6:7" x14ac:dyDescent="0.25">
      <c r="F3283">
        <v>3280</v>
      </c>
      <c r="G3283">
        <f ca="1">_xlfn.NORM.INV(RAND(),$M$7,$M$8)</f>
        <v>-2.4832250460468087E-2</v>
      </c>
    </row>
    <row r="3284" spans="6:7" x14ac:dyDescent="0.25">
      <c r="F3284">
        <v>3281</v>
      </c>
      <c r="G3284">
        <f ca="1">_xlfn.NORM.INV(RAND(),$M$7,$M$8)</f>
        <v>2.280793451594447E-2</v>
      </c>
    </row>
    <row r="3285" spans="6:7" x14ac:dyDescent="0.25">
      <c r="F3285">
        <v>3282</v>
      </c>
      <c r="G3285">
        <f ca="1">_xlfn.NORM.INV(RAND(),$M$7,$M$8)</f>
        <v>3.1607205765620872E-2</v>
      </c>
    </row>
    <row r="3286" spans="6:7" x14ac:dyDescent="0.25">
      <c r="F3286">
        <v>3283</v>
      </c>
      <c r="G3286">
        <f ca="1">_xlfn.NORM.INV(RAND(),$M$7,$M$8)</f>
        <v>-3.3280676040537423E-2</v>
      </c>
    </row>
    <row r="3287" spans="6:7" x14ac:dyDescent="0.25">
      <c r="F3287">
        <v>3284</v>
      </c>
      <c r="G3287">
        <f ca="1">_xlfn.NORM.INV(RAND(),$M$7,$M$8)</f>
        <v>-2.3739187828213201E-2</v>
      </c>
    </row>
    <row r="3288" spans="6:7" x14ac:dyDescent="0.25">
      <c r="F3288">
        <v>3285</v>
      </c>
      <c r="G3288">
        <f ca="1">_xlfn.NORM.INV(RAND(),$M$7,$M$8)</f>
        <v>-4.6099698062619973E-2</v>
      </c>
    </row>
    <row r="3289" spans="6:7" x14ac:dyDescent="0.25">
      <c r="F3289">
        <v>3286</v>
      </c>
      <c r="G3289">
        <f ca="1">_xlfn.NORM.INV(RAND(),$M$7,$M$8)</f>
        <v>1.9130877911072382E-2</v>
      </c>
    </row>
    <row r="3290" spans="6:7" x14ac:dyDescent="0.25">
      <c r="F3290">
        <v>3287</v>
      </c>
      <c r="G3290">
        <f ca="1">_xlfn.NORM.INV(RAND(),$M$7,$M$8)</f>
        <v>-9.5501600051964928E-3</v>
      </c>
    </row>
    <row r="3291" spans="6:7" x14ac:dyDescent="0.25">
      <c r="F3291">
        <v>3288</v>
      </c>
      <c r="G3291">
        <f ca="1">_xlfn.NORM.INV(RAND(),$M$7,$M$8)</f>
        <v>3.2075302311584342E-2</v>
      </c>
    </row>
    <row r="3292" spans="6:7" x14ac:dyDescent="0.25">
      <c r="F3292">
        <v>3289</v>
      </c>
      <c r="G3292">
        <f ca="1">_xlfn.NORM.INV(RAND(),$M$7,$M$8)</f>
        <v>-3.4478244541608034E-2</v>
      </c>
    </row>
    <row r="3293" spans="6:7" x14ac:dyDescent="0.25">
      <c r="F3293">
        <v>3290</v>
      </c>
      <c r="G3293">
        <f ca="1">_xlfn.NORM.INV(RAND(),$M$7,$M$8)</f>
        <v>3.0807484590439631E-2</v>
      </c>
    </row>
    <row r="3294" spans="6:7" x14ac:dyDescent="0.25">
      <c r="F3294">
        <v>3291</v>
      </c>
      <c r="G3294">
        <f ca="1">_xlfn.NORM.INV(RAND(),$M$7,$M$8)</f>
        <v>2.5904272767454283E-2</v>
      </c>
    </row>
    <row r="3295" spans="6:7" x14ac:dyDescent="0.25">
      <c r="F3295">
        <v>3292</v>
      </c>
      <c r="G3295">
        <f ca="1">_xlfn.NORM.INV(RAND(),$M$7,$M$8)</f>
        <v>-2.912392333712268E-2</v>
      </c>
    </row>
    <row r="3296" spans="6:7" x14ac:dyDescent="0.25">
      <c r="F3296">
        <v>3293</v>
      </c>
      <c r="G3296">
        <f ca="1">_xlfn.NORM.INV(RAND(),$M$7,$M$8)</f>
        <v>3.0871483805660942E-2</v>
      </c>
    </row>
    <row r="3297" spans="6:7" x14ac:dyDescent="0.25">
      <c r="F3297">
        <v>3294</v>
      </c>
      <c r="G3297">
        <f ca="1">_xlfn.NORM.INV(RAND(),$M$7,$M$8)</f>
        <v>3.9402270330727393E-2</v>
      </c>
    </row>
    <row r="3298" spans="6:7" x14ac:dyDescent="0.25">
      <c r="F3298">
        <v>3295</v>
      </c>
      <c r="G3298">
        <f ca="1">_xlfn.NORM.INV(RAND(),$M$7,$M$8)</f>
        <v>-3.6845663144447177E-2</v>
      </c>
    </row>
    <row r="3299" spans="6:7" x14ac:dyDescent="0.25">
      <c r="F3299">
        <v>3296</v>
      </c>
      <c r="G3299">
        <f ca="1">_xlfn.NORM.INV(RAND(),$M$7,$M$8)</f>
        <v>4.5546048859463055E-2</v>
      </c>
    </row>
    <row r="3300" spans="6:7" x14ac:dyDescent="0.25">
      <c r="F3300">
        <v>3297</v>
      </c>
      <c r="G3300">
        <f ca="1">_xlfn.NORM.INV(RAND(),$M$7,$M$8)</f>
        <v>-5.2608765744693899E-3</v>
      </c>
    </row>
    <row r="3301" spans="6:7" x14ac:dyDescent="0.25">
      <c r="F3301">
        <v>3298</v>
      </c>
      <c r="G3301">
        <f ca="1">_xlfn.NORM.INV(RAND(),$M$7,$M$8)</f>
        <v>-2.0320186267736004E-2</v>
      </c>
    </row>
    <row r="3302" spans="6:7" x14ac:dyDescent="0.25">
      <c r="F3302">
        <v>3299</v>
      </c>
      <c r="G3302">
        <f ca="1">_xlfn.NORM.INV(RAND(),$M$7,$M$8)</f>
        <v>8.4773003840071196E-3</v>
      </c>
    </row>
    <row r="3303" spans="6:7" x14ac:dyDescent="0.25">
      <c r="F3303">
        <v>3300</v>
      </c>
      <c r="G3303">
        <f ca="1">_xlfn.NORM.INV(RAND(),$M$7,$M$8)</f>
        <v>3.5515276089178862E-3</v>
      </c>
    </row>
    <row r="3304" spans="6:7" x14ac:dyDescent="0.25">
      <c r="F3304">
        <v>3301</v>
      </c>
      <c r="G3304">
        <f ca="1">_xlfn.NORM.INV(RAND(),$M$7,$M$8)</f>
        <v>3.136065361578929E-2</v>
      </c>
    </row>
    <row r="3305" spans="6:7" x14ac:dyDescent="0.25">
      <c r="F3305">
        <v>3302</v>
      </c>
      <c r="G3305">
        <f ca="1">_xlfn.NORM.INV(RAND(),$M$7,$M$8)</f>
        <v>3.1116227657419226E-2</v>
      </c>
    </row>
    <row r="3306" spans="6:7" x14ac:dyDescent="0.25">
      <c r="F3306">
        <v>3303</v>
      </c>
      <c r="G3306">
        <f ca="1">_xlfn.NORM.INV(RAND(),$M$7,$M$8)</f>
        <v>8.4741667918229804E-3</v>
      </c>
    </row>
    <row r="3307" spans="6:7" x14ac:dyDescent="0.25">
      <c r="F3307">
        <v>3304</v>
      </c>
      <c r="G3307">
        <f ca="1">_xlfn.NORM.INV(RAND(),$M$7,$M$8)</f>
        <v>-2.6636695652125363E-2</v>
      </c>
    </row>
    <row r="3308" spans="6:7" x14ac:dyDescent="0.25">
      <c r="F3308">
        <v>3305</v>
      </c>
      <c r="G3308">
        <f ca="1">_xlfn.NORM.INV(RAND(),$M$7,$M$8)</f>
        <v>-2.906683711112654E-2</v>
      </c>
    </row>
    <row r="3309" spans="6:7" x14ac:dyDescent="0.25">
      <c r="F3309">
        <v>3306</v>
      </c>
      <c r="G3309">
        <f ca="1">_xlfn.NORM.INV(RAND(),$M$7,$M$8)</f>
        <v>2.5820948461248848E-2</v>
      </c>
    </row>
    <row r="3310" spans="6:7" x14ac:dyDescent="0.25">
      <c r="F3310">
        <v>3307</v>
      </c>
      <c r="G3310">
        <f ca="1">_xlfn.NORM.INV(RAND(),$M$7,$M$8)</f>
        <v>3.3694042373243679E-2</v>
      </c>
    </row>
    <row r="3311" spans="6:7" x14ac:dyDescent="0.25">
      <c r="F3311">
        <v>3308</v>
      </c>
      <c r="G3311">
        <f ca="1">_xlfn.NORM.INV(RAND(),$M$7,$M$8)</f>
        <v>-5.4580102212718057E-4</v>
      </c>
    </row>
    <row r="3312" spans="6:7" x14ac:dyDescent="0.25">
      <c r="F3312">
        <v>3309</v>
      </c>
      <c r="G3312">
        <f ca="1">_xlfn.NORM.INV(RAND(),$M$7,$M$8)</f>
        <v>3.7867994032429665E-2</v>
      </c>
    </row>
    <row r="3313" spans="6:7" x14ac:dyDescent="0.25">
      <c r="F3313">
        <v>3310</v>
      </c>
      <c r="G3313">
        <f ca="1">_xlfn.NORM.INV(RAND(),$M$7,$M$8)</f>
        <v>4.7849806918941591E-2</v>
      </c>
    </row>
    <row r="3314" spans="6:7" x14ac:dyDescent="0.25">
      <c r="F3314">
        <v>3311</v>
      </c>
      <c r="G3314">
        <f ca="1">_xlfn.NORM.INV(RAND(),$M$7,$M$8)</f>
        <v>4.1353709400464018E-2</v>
      </c>
    </row>
    <row r="3315" spans="6:7" x14ac:dyDescent="0.25">
      <c r="F3315">
        <v>3312</v>
      </c>
      <c r="G3315">
        <f ca="1">_xlfn.NORM.INV(RAND(),$M$7,$M$8)</f>
        <v>-1.3862528541889236E-2</v>
      </c>
    </row>
    <row r="3316" spans="6:7" x14ac:dyDescent="0.25">
      <c r="F3316">
        <v>3313</v>
      </c>
      <c r="G3316">
        <f ca="1">_xlfn.NORM.INV(RAND(),$M$7,$M$8)</f>
        <v>4.9011932528505872E-2</v>
      </c>
    </row>
    <row r="3317" spans="6:7" x14ac:dyDescent="0.25">
      <c r="F3317">
        <v>3314</v>
      </c>
      <c r="G3317">
        <f ca="1">_xlfn.NORM.INV(RAND(),$M$7,$M$8)</f>
        <v>4.5377346273297876E-2</v>
      </c>
    </row>
    <row r="3318" spans="6:7" x14ac:dyDescent="0.25">
      <c r="F3318">
        <v>3315</v>
      </c>
      <c r="G3318">
        <f ca="1">_xlfn.NORM.INV(RAND(),$M$7,$M$8)</f>
        <v>-2.1104709590540588E-2</v>
      </c>
    </row>
    <row r="3319" spans="6:7" x14ac:dyDescent="0.25">
      <c r="F3319">
        <v>3316</v>
      </c>
      <c r="G3319">
        <f ca="1">_xlfn.NORM.INV(RAND(),$M$7,$M$8)</f>
        <v>8.9831929006740886E-4</v>
      </c>
    </row>
    <row r="3320" spans="6:7" x14ac:dyDescent="0.25">
      <c r="F3320">
        <v>3317</v>
      </c>
      <c r="G3320">
        <f ca="1">_xlfn.NORM.INV(RAND(),$M$7,$M$8)</f>
        <v>-1.4801200145420999E-2</v>
      </c>
    </row>
    <row r="3321" spans="6:7" x14ac:dyDescent="0.25">
      <c r="F3321">
        <v>3318</v>
      </c>
      <c r="G3321">
        <f ca="1">_xlfn.NORM.INV(RAND(),$M$7,$M$8)</f>
        <v>-4.8040614183681319E-3</v>
      </c>
    </row>
    <row r="3322" spans="6:7" x14ac:dyDescent="0.25">
      <c r="F3322">
        <v>3319</v>
      </c>
      <c r="G3322">
        <f ca="1">_xlfn.NORM.INV(RAND(),$M$7,$M$8)</f>
        <v>-7.2510932748125922E-2</v>
      </c>
    </row>
    <row r="3323" spans="6:7" x14ac:dyDescent="0.25">
      <c r="F3323">
        <v>3320</v>
      </c>
      <c r="G3323">
        <f ca="1">_xlfn.NORM.INV(RAND(),$M$7,$M$8)</f>
        <v>1.4037376057530082E-2</v>
      </c>
    </row>
    <row r="3324" spans="6:7" x14ac:dyDescent="0.25">
      <c r="F3324">
        <v>3321</v>
      </c>
      <c r="G3324">
        <f ca="1">_xlfn.NORM.INV(RAND(),$M$7,$M$8)</f>
        <v>-2.82583685457286E-2</v>
      </c>
    </row>
    <row r="3325" spans="6:7" x14ac:dyDescent="0.25">
      <c r="F3325">
        <v>3322</v>
      </c>
      <c r="G3325">
        <f ca="1">_xlfn.NORM.INV(RAND(),$M$7,$M$8)</f>
        <v>7.0535563524768679E-3</v>
      </c>
    </row>
    <row r="3326" spans="6:7" x14ac:dyDescent="0.25">
      <c r="F3326">
        <v>3323</v>
      </c>
      <c r="G3326">
        <f ca="1">_xlfn.NORM.INV(RAND(),$M$7,$M$8)</f>
        <v>2.5465854240073266E-2</v>
      </c>
    </row>
    <row r="3327" spans="6:7" x14ac:dyDescent="0.25">
      <c r="F3327">
        <v>3324</v>
      </c>
      <c r="G3327">
        <f ca="1">_xlfn.NORM.INV(RAND(),$M$7,$M$8)</f>
        <v>-1.0824531183553452E-2</v>
      </c>
    </row>
    <row r="3328" spans="6:7" x14ac:dyDescent="0.25">
      <c r="F3328">
        <v>3325</v>
      </c>
      <c r="G3328">
        <f ca="1">_xlfn.NORM.INV(RAND(),$M$7,$M$8)</f>
        <v>3.4540484892633484E-2</v>
      </c>
    </row>
    <row r="3329" spans="6:7" x14ac:dyDescent="0.25">
      <c r="F3329">
        <v>3326</v>
      </c>
      <c r="G3329">
        <f ca="1">_xlfn.NORM.INV(RAND(),$M$7,$M$8)</f>
        <v>-2.1935965561558371E-2</v>
      </c>
    </row>
    <row r="3330" spans="6:7" x14ac:dyDescent="0.25">
      <c r="F3330">
        <v>3327</v>
      </c>
      <c r="G3330">
        <f ca="1">_xlfn.NORM.INV(RAND(),$M$7,$M$8)</f>
        <v>7.0366976962679836E-4</v>
      </c>
    </row>
    <row r="3331" spans="6:7" x14ac:dyDescent="0.25">
      <c r="F3331">
        <v>3328</v>
      </c>
      <c r="G3331">
        <f ca="1">_xlfn.NORM.INV(RAND(),$M$7,$M$8)</f>
        <v>2.5498104575408066E-2</v>
      </c>
    </row>
    <row r="3332" spans="6:7" x14ac:dyDescent="0.25">
      <c r="F3332">
        <v>3329</v>
      </c>
      <c r="G3332">
        <f ca="1">_xlfn.NORM.INV(RAND(),$M$7,$M$8)</f>
        <v>2.2867160225958749E-2</v>
      </c>
    </row>
    <row r="3333" spans="6:7" x14ac:dyDescent="0.25">
      <c r="F3333">
        <v>3330</v>
      </c>
      <c r="G3333">
        <f ca="1">_xlfn.NORM.INV(RAND(),$M$7,$M$8)</f>
        <v>2.2061543154629801E-2</v>
      </c>
    </row>
    <row r="3334" spans="6:7" x14ac:dyDescent="0.25">
      <c r="F3334">
        <v>3331</v>
      </c>
      <c r="G3334">
        <f ca="1">_xlfn.NORM.INV(RAND(),$M$7,$M$8)</f>
        <v>6.5748039561704906E-3</v>
      </c>
    </row>
    <row r="3335" spans="6:7" x14ac:dyDescent="0.25">
      <c r="F3335">
        <v>3332</v>
      </c>
      <c r="G3335">
        <f ca="1">_xlfn.NORM.INV(RAND(),$M$7,$M$8)</f>
        <v>1.0030181439153699E-2</v>
      </c>
    </row>
    <row r="3336" spans="6:7" x14ac:dyDescent="0.25">
      <c r="F3336">
        <v>3333</v>
      </c>
      <c r="G3336">
        <f ca="1">_xlfn.NORM.INV(RAND(),$M$7,$M$8)</f>
        <v>4.0521648913797517E-2</v>
      </c>
    </row>
    <row r="3337" spans="6:7" x14ac:dyDescent="0.25">
      <c r="F3337">
        <v>3334</v>
      </c>
      <c r="G3337">
        <f ca="1">_xlfn.NORM.INV(RAND(),$M$7,$M$8)</f>
        <v>-1.4814286144477951E-3</v>
      </c>
    </row>
    <row r="3338" spans="6:7" x14ac:dyDescent="0.25">
      <c r="F3338">
        <v>3335</v>
      </c>
      <c r="G3338">
        <f ca="1">_xlfn.NORM.INV(RAND(),$M$7,$M$8)</f>
        <v>2.8110910455708255E-2</v>
      </c>
    </row>
    <row r="3339" spans="6:7" x14ac:dyDescent="0.25">
      <c r="F3339">
        <v>3336</v>
      </c>
      <c r="G3339">
        <f ca="1">_xlfn.NORM.INV(RAND(),$M$7,$M$8)</f>
        <v>7.3239370399839302E-3</v>
      </c>
    </row>
    <row r="3340" spans="6:7" x14ac:dyDescent="0.25">
      <c r="F3340">
        <v>3337</v>
      </c>
      <c r="G3340">
        <f ca="1">_xlfn.NORM.INV(RAND(),$M$7,$M$8)</f>
        <v>1.7671508931250034E-2</v>
      </c>
    </row>
    <row r="3341" spans="6:7" x14ac:dyDescent="0.25">
      <c r="F3341">
        <v>3338</v>
      </c>
      <c r="G3341">
        <f ca="1">_xlfn.NORM.INV(RAND(),$M$7,$M$8)</f>
        <v>2.1597119002783809E-2</v>
      </c>
    </row>
    <row r="3342" spans="6:7" x14ac:dyDescent="0.25">
      <c r="F3342">
        <v>3339</v>
      </c>
      <c r="G3342">
        <f ca="1">_xlfn.NORM.INV(RAND(),$M$7,$M$8)</f>
        <v>7.3540089037892817E-2</v>
      </c>
    </row>
    <row r="3343" spans="6:7" x14ac:dyDescent="0.25">
      <c r="F3343">
        <v>3340</v>
      </c>
      <c r="G3343">
        <f ca="1">_xlfn.NORM.INV(RAND(),$M$7,$M$8)</f>
        <v>-9.4538769505615426E-3</v>
      </c>
    </row>
    <row r="3344" spans="6:7" x14ac:dyDescent="0.25">
      <c r="F3344">
        <v>3341</v>
      </c>
      <c r="G3344">
        <f ca="1">_xlfn.NORM.INV(RAND(),$M$7,$M$8)</f>
        <v>2.7922544873518255E-2</v>
      </c>
    </row>
    <row r="3345" spans="6:7" x14ac:dyDescent="0.25">
      <c r="F3345">
        <v>3342</v>
      </c>
      <c r="G3345">
        <f ca="1">_xlfn.NORM.INV(RAND(),$M$7,$M$8)</f>
        <v>1.6977828656652264E-2</v>
      </c>
    </row>
    <row r="3346" spans="6:7" x14ac:dyDescent="0.25">
      <c r="F3346">
        <v>3343</v>
      </c>
      <c r="G3346">
        <f ca="1">_xlfn.NORM.INV(RAND(),$M$7,$M$8)</f>
        <v>-3.7322976095433597E-3</v>
      </c>
    </row>
    <row r="3347" spans="6:7" x14ac:dyDescent="0.25">
      <c r="F3347">
        <v>3344</v>
      </c>
      <c r="G3347">
        <f ca="1">_xlfn.NORM.INV(RAND(),$M$7,$M$8)</f>
        <v>-3.7132750655398533E-2</v>
      </c>
    </row>
    <row r="3348" spans="6:7" x14ac:dyDescent="0.25">
      <c r="F3348">
        <v>3345</v>
      </c>
      <c r="G3348">
        <f ca="1">_xlfn.NORM.INV(RAND(),$M$7,$M$8)</f>
        <v>1.4026960228402219E-2</v>
      </c>
    </row>
    <row r="3349" spans="6:7" x14ac:dyDescent="0.25">
      <c r="F3349">
        <v>3346</v>
      </c>
      <c r="G3349">
        <f ca="1">_xlfn.NORM.INV(RAND(),$M$7,$M$8)</f>
        <v>5.394397843229671E-4</v>
      </c>
    </row>
    <row r="3350" spans="6:7" x14ac:dyDescent="0.25">
      <c r="F3350">
        <v>3347</v>
      </c>
      <c r="G3350">
        <f ca="1">_xlfn.NORM.INV(RAND(),$M$7,$M$8)</f>
        <v>-2.1721416819874477E-3</v>
      </c>
    </row>
    <row r="3351" spans="6:7" x14ac:dyDescent="0.25">
      <c r="F3351">
        <v>3348</v>
      </c>
      <c r="G3351">
        <f ca="1">_xlfn.NORM.INV(RAND(),$M$7,$M$8)</f>
        <v>-9.2192410133785062E-3</v>
      </c>
    </row>
    <row r="3352" spans="6:7" x14ac:dyDescent="0.25">
      <c r="F3352">
        <v>3349</v>
      </c>
      <c r="G3352">
        <f ca="1">_xlfn.NORM.INV(RAND(),$M$7,$M$8)</f>
        <v>-2.5551455615724798E-2</v>
      </c>
    </row>
    <row r="3353" spans="6:7" x14ac:dyDescent="0.25">
      <c r="F3353">
        <v>3350</v>
      </c>
      <c r="G3353">
        <f ca="1">_xlfn.NORM.INV(RAND(),$M$7,$M$8)</f>
        <v>1.348592105934464E-2</v>
      </c>
    </row>
    <row r="3354" spans="6:7" x14ac:dyDescent="0.25">
      <c r="F3354">
        <v>3351</v>
      </c>
      <c r="G3354">
        <f ca="1">_xlfn.NORM.INV(RAND(),$M$7,$M$8)</f>
        <v>2.2489863878609809E-2</v>
      </c>
    </row>
    <row r="3355" spans="6:7" x14ac:dyDescent="0.25">
      <c r="F3355">
        <v>3352</v>
      </c>
      <c r="G3355">
        <f ca="1">_xlfn.NORM.INV(RAND(),$M$7,$M$8)</f>
        <v>-3.0535945205532624E-2</v>
      </c>
    </row>
    <row r="3356" spans="6:7" x14ac:dyDescent="0.25">
      <c r="F3356">
        <v>3353</v>
      </c>
      <c r="G3356">
        <f ca="1">_xlfn.NORM.INV(RAND(),$M$7,$M$8)</f>
        <v>3.5801676379515757E-2</v>
      </c>
    </row>
    <row r="3357" spans="6:7" x14ac:dyDescent="0.25">
      <c r="F3357">
        <v>3354</v>
      </c>
      <c r="G3357">
        <f ca="1">_xlfn.NORM.INV(RAND(),$M$7,$M$8)</f>
        <v>-1.0193456483579014E-2</v>
      </c>
    </row>
    <row r="3358" spans="6:7" x14ac:dyDescent="0.25">
      <c r="F3358">
        <v>3355</v>
      </c>
      <c r="G3358">
        <f ca="1">_xlfn.NORM.INV(RAND(),$M$7,$M$8)</f>
        <v>1.0956957101165631E-2</v>
      </c>
    </row>
    <row r="3359" spans="6:7" x14ac:dyDescent="0.25">
      <c r="F3359">
        <v>3356</v>
      </c>
      <c r="G3359">
        <f ca="1">_xlfn.NORM.INV(RAND(),$M$7,$M$8)</f>
        <v>4.0029739456734471E-2</v>
      </c>
    </row>
    <row r="3360" spans="6:7" x14ac:dyDescent="0.25">
      <c r="F3360">
        <v>3357</v>
      </c>
      <c r="G3360">
        <f ca="1">_xlfn.NORM.INV(RAND(),$M$7,$M$8)</f>
        <v>2.5341693592431748E-2</v>
      </c>
    </row>
    <row r="3361" spans="6:7" x14ac:dyDescent="0.25">
      <c r="F3361">
        <v>3358</v>
      </c>
      <c r="G3361">
        <f ca="1">_xlfn.NORM.INV(RAND(),$M$7,$M$8)</f>
        <v>1.3231199885986807E-2</v>
      </c>
    </row>
    <row r="3362" spans="6:7" x14ac:dyDescent="0.25">
      <c r="F3362">
        <v>3359</v>
      </c>
      <c r="G3362">
        <f ca="1">_xlfn.NORM.INV(RAND(),$M$7,$M$8)</f>
        <v>-3.12525345730056E-2</v>
      </c>
    </row>
    <row r="3363" spans="6:7" x14ac:dyDescent="0.25">
      <c r="F3363">
        <v>3360</v>
      </c>
      <c r="G3363">
        <f ca="1">_xlfn.NORM.INV(RAND(),$M$7,$M$8)</f>
        <v>-1.4072736779169958E-2</v>
      </c>
    </row>
    <row r="3364" spans="6:7" x14ac:dyDescent="0.25">
      <c r="F3364">
        <v>3361</v>
      </c>
      <c r="G3364">
        <f ca="1">_xlfn.NORM.INV(RAND(),$M$7,$M$8)</f>
        <v>-1.0551836694599625E-2</v>
      </c>
    </row>
    <row r="3365" spans="6:7" x14ac:dyDescent="0.25">
      <c r="F3365">
        <v>3362</v>
      </c>
      <c r="G3365">
        <f ca="1">_xlfn.NORM.INV(RAND(),$M$7,$M$8)</f>
        <v>-9.2140316620507763E-3</v>
      </c>
    </row>
    <row r="3366" spans="6:7" x14ac:dyDescent="0.25">
      <c r="F3366">
        <v>3363</v>
      </c>
      <c r="G3366">
        <f ca="1">_xlfn.NORM.INV(RAND(),$M$7,$M$8)</f>
        <v>2.2921686882413927E-2</v>
      </c>
    </row>
    <row r="3367" spans="6:7" x14ac:dyDescent="0.25">
      <c r="F3367">
        <v>3364</v>
      </c>
      <c r="G3367">
        <f ca="1">_xlfn.NORM.INV(RAND(),$M$7,$M$8)</f>
        <v>2.7755868950082689E-3</v>
      </c>
    </row>
    <row r="3368" spans="6:7" x14ac:dyDescent="0.25">
      <c r="F3368">
        <v>3365</v>
      </c>
      <c r="G3368">
        <f ca="1">_xlfn.NORM.INV(RAND(),$M$7,$M$8)</f>
        <v>-1.9888649007878137E-2</v>
      </c>
    </row>
    <row r="3369" spans="6:7" x14ac:dyDescent="0.25">
      <c r="F3369">
        <v>3366</v>
      </c>
      <c r="G3369">
        <f ca="1">_xlfn.NORM.INV(RAND(),$M$7,$M$8)</f>
        <v>1.9039054086587334E-2</v>
      </c>
    </row>
    <row r="3370" spans="6:7" x14ac:dyDescent="0.25">
      <c r="F3370">
        <v>3367</v>
      </c>
      <c r="G3370">
        <f ca="1">_xlfn.NORM.INV(RAND(),$M$7,$M$8)</f>
        <v>5.1385842404983104E-2</v>
      </c>
    </row>
    <row r="3371" spans="6:7" x14ac:dyDescent="0.25">
      <c r="F3371">
        <v>3368</v>
      </c>
      <c r="G3371">
        <f ca="1">_xlfn.NORM.INV(RAND(),$M$7,$M$8)</f>
        <v>-8.6368547815022408E-3</v>
      </c>
    </row>
    <row r="3372" spans="6:7" x14ac:dyDescent="0.25">
      <c r="F3372">
        <v>3369</v>
      </c>
      <c r="G3372">
        <f ca="1">_xlfn.NORM.INV(RAND(),$M$7,$M$8)</f>
        <v>-7.9500059355285587E-3</v>
      </c>
    </row>
    <row r="3373" spans="6:7" x14ac:dyDescent="0.25">
      <c r="F3373">
        <v>3370</v>
      </c>
      <c r="G3373">
        <f ca="1">_xlfn.NORM.INV(RAND(),$M$7,$M$8)</f>
        <v>-3.854341644509715E-3</v>
      </c>
    </row>
    <row r="3374" spans="6:7" x14ac:dyDescent="0.25">
      <c r="F3374">
        <v>3371</v>
      </c>
      <c r="G3374">
        <f ca="1">_xlfn.NORM.INV(RAND(),$M$7,$M$8)</f>
        <v>2.0394770950247304E-2</v>
      </c>
    </row>
    <row r="3375" spans="6:7" x14ac:dyDescent="0.25">
      <c r="F3375">
        <v>3372</v>
      </c>
      <c r="G3375">
        <f ca="1">_xlfn.NORM.INV(RAND(),$M$7,$M$8)</f>
        <v>-2.538998972302459E-2</v>
      </c>
    </row>
    <row r="3376" spans="6:7" x14ac:dyDescent="0.25">
      <c r="F3376">
        <v>3373</v>
      </c>
      <c r="G3376">
        <f ca="1">_xlfn.NORM.INV(RAND(),$M$7,$M$8)</f>
        <v>-1.2102931027339295E-2</v>
      </c>
    </row>
    <row r="3377" spans="6:7" x14ac:dyDescent="0.25">
      <c r="F3377">
        <v>3374</v>
      </c>
      <c r="G3377">
        <f ca="1">_xlfn.NORM.INV(RAND(),$M$7,$M$8)</f>
        <v>-1.1938546311267451E-2</v>
      </c>
    </row>
    <row r="3378" spans="6:7" x14ac:dyDescent="0.25">
      <c r="F3378">
        <v>3375</v>
      </c>
      <c r="G3378">
        <f ca="1">_xlfn.NORM.INV(RAND(),$M$7,$M$8)</f>
        <v>-2.382078572616938E-3</v>
      </c>
    </row>
    <row r="3379" spans="6:7" x14ac:dyDescent="0.25">
      <c r="F3379">
        <v>3376</v>
      </c>
      <c r="G3379">
        <f ca="1">_xlfn.NORM.INV(RAND(),$M$7,$M$8)</f>
        <v>2.96367194029107E-2</v>
      </c>
    </row>
    <row r="3380" spans="6:7" x14ac:dyDescent="0.25">
      <c r="F3380">
        <v>3377</v>
      </c>
      <c r="G3380">
        <f ca="1">_xlfn.NORM.INV(RAND(),$M$7,$M$8)</f>
        <v>2.6334050035696794E-2</v>
      </c>
    </row>
    <row r="3381" spans="6:7" x14ac:dyDescent="0.25">
      <c r="F3381">
        <v>3378</v>
      </c>
      <c r="G3381">
        <f ca="1">_xlfn.NORM.INV(RAND(),$M$7,$M$8)</f>
        <v>-6.2579274931365614E-2</v>
      </c>
    </row>
    <row r="3382" spans="6:7" x14ac:dyDescent="0.25">
      <c r="F3382">
        <v>3379</v>
      </c>
      <c r="G3382">
        <f ca="1">_xlfn.NORM.INV(RAND(),$M$7,$M$8)</f>
        <v>1.8243750944855808E-2</v>
      </c>
    </row>
    <row r="3383" spans="6:7" x14ac:dyDescent="0.25">
      <c r="F3383">
        <v>3380</v>
      </c>
      <c r="G3383">
        <f ca="1">_xlfn.NORM.INV(RAND(),$M$7,$M$8)</f>
        <v>1.2600307640620563E-2</v>
      </c>
    </row>
    <row r="3384" spans="6:7" x14ac:dyDescent="0.25">
      <c r="F3384">
        <v>3381</v>
      </c>
      <c r="G3384">
        <f ca="1">_xlfn.NORM.INV(RAND(),$M$7,$M$8)</f>
        <v>-3.5084294172404447E-2</v>
      </c>
    </row>
    <row r="3385" spans="6:7" x14ac:dyDescent="0.25">
      <c r="F3385">
        <v>3382</v>
      </c>
      <c r="G3385">
        <f ca="1">_xlfn.NORM.INV(RAND(),$M$7,$M$8)</f>
        <v>-8.2958717287762822E-3</v>
      </c>
    </row>
    <row r="3386" spans="6:7" x14ac:dyDescent="0.25">
      <c r="F3386">
        <v>3383</v>
      </c>
      <c r="G3386">
        <f ca="1">_xlfn.NORM.INV(RAND(),$M$7,$M$8)</f>
        <v>-2.4621729062363724E-2</v>
      </c>
    </row>
    <row r="3387" spans="6:7" x14ac:dyDescent="0.25">
      <c r="F3387">
        <v>3384</v>
      </c>
      <c r="G3387">
        <f ca="1">_xlfn.NORM.INV(RAND(),$M$7,$M$8)</f>
        <v>-5.4727801031073074E-3</v>
      </c>
    </row>
    <row r="3388" spans="6:7" x14ac:dyDescent="0.25">
      <c r="F3388">
        <v>3385</v>
      </c>
      <c r="G3388">
        <f ca="1">_xlfn.NORM.INV(RAND(),$M$7,$M$8)</f>
        <v>1.2125972957961974E-2</v>
      </c>
    </row>
    <row r="3389" spans="6:7" x14ac:dyDescent="0.25">
      <c r="F3389">
        <v>3386</v>
      </c>
      <c r="G3389">
        <f ca="1">_xlfn.NORM.INV(RAND(),$M$7,$M$8)</f>
        <v>2.9791109629166125E-2</v>
      </c>
    </row>
    <row r="3390" spans="6:7" x14ac:dyDescent="0.25">
      <c r="F3390">
        <v>3387</v>
      </c>
      <c r="G3390">
        <f ca="1">_xlfn.NORM.INV(RAND(),$M$7,$M$8)</f>
        <v>-2.9183190828287856E-2</v>
      </c>
    </row>
    <row r="3391" spans="6:7" x14ac:dyDescent="0.25">
      <c r="F3391">
        <v>3388</v>
      </c>
      <c r="G3391">
        <f ca="1">_xlfn.NORM.INV(RAND(),$M$7,$M$8)</f>
        <v>4.6892755942139784E-2</v>
      </c>
    </row>
    <row r="3392" spans="6:7" x14ac:dyDescent="0.25">
      <c r="F3392">
        <v>3389</v>
      </c>
      <c r="G3392">
        <f ca="1">_xlfn.NORM.INV(RAND(),$M$7,$M$8)</f>
        <v>-5.7266002860681675E-3</v>
      </c>
    </row>
    <row r="3393" spans="6:7" x14ac:dyDescent="0.25">
      <c r="F3393">
        <v>3390</v>
      </c>
      <c r="G3393">
        <f ca="1">_xlfn.NORM.INV(RAND(),$M$7,$M$8)</f>
        <v>4.4808415671492595E-2</v>
      </c>
    </row>
    <row r="3394" spans="6:7" x14ac:dyDescent="0.25">
      <c r="F3394">
        <v>3391</v>
      </c>
      <c r="G3394">
        <f ca="1">_xlfn.NORM.INV(RAND(),$M$7,$M$8)</f>
        <v>3.4719265760315386E-3</v>
      </c>
    </row>
    <row r="3395" spans="6:7" x14ac:dyDescent="0.25">
      <c r="F3395">
        <v>3392</v>
      </c>
      <c r="G3395">
        <f ca="1">_xlfn.NORM.INV(RAND(),$M$7,$M$8)</f>
        <v>-1.7252821655323096E-2</v>
      </c>
    </row>
    <row r="3396" spans="6:7" x14ac:dyDescent="0.25">
      <c r="F3396">
        <v>3393</v>
      </c>
      <c r="G3396">
        <f ca="1">_xlfn.NORM.INV(RAND(),$M$7,$M$8)</f>
        <v>-1.5955680250989663E-2</v>
      </c>
    </row>
    <row r="3397" spans="6:7" x14ac:dyDescent="0.25">
      <c r="F3397">
        <v>3394</v>
      </c>
      <c r="G3397">
        <f ca="1">_xlfn.NORM.INV(RAND(),$M$7,$M$8)</f>
        <v>4.7885469627981736E-2</v>
      </c>
    </row>
    <row r="3398" spans="6:7" x14ac:dyDescent="0.25">
      <c r="F3398">
        <v>3395</v>
      </c>
      <c r="G3398">
        <f ca="1">_xlfn.NORM.INV(RAND(),$M$7,$M$8)</f>
        <v>-1.393623958794229E-3</v>
      </c>
    </row>
    <row r="3399" spans="6:7" x14ac:dyDescent="0.25">
      <c r="F3399">
        <v>3396</v>
      </c>
      <c r="G3399">
        <f ca="1">_xlfn.NORM.INV(RAND(),$M$7,$M$8)</f>
        <v>3.3459503159454111E-2</v>
      </c>
    </row>
    <row r="3400" spans="6:7" x14ac:dyDescent="0.25">
      <c r="F3400">
        <v>3397</v>
      </c>
      <c r="G3400">
        <f ca="1">_xlfn.NORM.INV(RAND(),$M$7,$M$8)</f>
        <v>-2.6426660378399584E-2</v>
      </c>
    </row>
    <row r="3401" spans="6:7" x14ac:dyDescent="0.25">
      <c r="F3401">
        <v>3398</v>
      </c>
      <c r="G3401">
        <f ca="1">_xlfn.NORM.INV(RAND(),$M$7,$M$8)</f>
        <v>3.7925249130046447E-2</v>
      </c>
    </row>
    <row r="3402" spans="6:7" x14ac:dyDescent="0.25">
      <c r="F3402">
        <v>3399</v>
      </c>
      <c r="G3402">
        <f ca="1">_xlfn.NORM.INV(RAND(),$M$7,$M$8)</f>
        <v>-1.315880047634219E-2</v>
      </c>
    </row>
    <row r="3403" spans="6:7" x14ac:dyDescent="0.25">
      <c r="F3403">
        <v>3400</v>
      </c>
      <c r="G3403">
        <f ca="1">_xlfn.NORM.INV(RAND(),$M$7,$M$8)</f>
        <v>3.1977736366526452E-3</v>
      </c>
    </row>
    <row r="3404" spans="6:7" x14ac:dyDescent="0.25">
      <c r="F3404">
        <v>3401</v>
      </c>
      <c r="G3404">
        <f ca="1">_xlfn.NORM.INV(RAND(),$M$7,$M$8)</f>
        <v>1.7910878921576091E-3</v>
      </c>
    </row>
    <row r="3405" spans="6:7" x14ac:dyDescent="0.25">
      <c r="F3405">
        <v>3402</v>
      </c>
      <c r="G3405">
        <f ca="1">_xlfn.NORM.INV(RAND(),$M$7,$M$8)</f>
        <v>1.2306466240244031E-3</v>
      </c>
    </row>
    <row r="3406" spans="6:7" x14ac:dyDescent="0.25">
      <c r="F3406">
        <v>3403</v>
      </c>
      <c r="G3406">
        <f ca="1">_xlfn.NORM.INV(RAND(),$M$7,$M$8)</f>
        <v>4.6392652185526267E-2</v>
      </c>
    </row>
    <row r="3407" spans="6:7" x14ac:dyDescent="0.25">
      <c r="F3407">
        <v>3404</v>
      </c>
      <c r="G3407">
        <f ca="1">_xlfn.NORM.INV(RAND(),$M$7,$M$8)</f>
        <v>2.170256076235615E-2</v>
      </c>
    </row>
    <row r="3408" spans="6:7" x14ac:dyDescent="0.25">
      <c r="F3408">
        <v>3405</v>
      </c>
      <c r="G3408">
        <f ca="1">_xlfn.NORM.INV(RAND(),$M$7,$M$8)</f>
        <v>-2.3212291794970721E-2</v>
      </c>
    </row>
    <row r="3409" spans="6:7" x14ac:dyDescent="0.25">
      <c r="F3409">
        <v>3406</v>
      </c>
      <c r="G3409">
        <f ca="1">_xlfn.NORM.INV(RAND(),$M$7,$M$8)</f>
        <v>-3.0643705416584743E-2</v>
      </c>
    </row>
    <row r="3410" spans="6:7" x14ac:dyDescent="0.25">
      <c r="F3410">
        <v>3407</v>
      </c>
      <c r="G3410">
        <f ca="1">_xlfn.NORM.INV(RAND(),$M$7,$M$8)</f>
        <v>5.416102757195064E-2</v>
      </c>
    </row>
    <row r="3411" spans="6:7" x14ac:dyDescent="0.25">
      <c r="F3411">
        <v>3408</v>
      </c>
      <c r="G3411">
        <f ca="1">_xlfn.NORM.INV(RAND(),$M$7,$M$8)</f>
        <v>-6.055141837901074E-5</v>
      </c>
    </row>
    <row r="3412" spans="6:7" x14ac:dyDescent="0.25">
      <c r="F3412">
        <v>3409</v>
      </c>
      <c r="G3412">
        <f ca="1">_xlfn.NORM.INV(RAND(),$M$7,$M$8)</f>
        <v>-1.5098612042269238E-2</v>
      </c>
    </row>
    <row r="3413" spans="6:7" x14ac:dyDescent="0.25">
      <c r="F3413">
        <v>3410</v>
      </c>
      <c r="G3413">
        <f ca="1">_xlfn.NORM.INV(RAND(),$M$7,$M$8)</f>
        <v>-1.545045533610875E-2</v>
      </c>
    </row>
    <row r="3414" spans="6:7" x14ac:dyDescent="0.25">
      <c r="F3414">
        <v>3411</v>
      </c>
      <c r="G3414">
        <f ca="1">_xlfn.NORM.INV(RAND(),$M$7,$M$8)</f>
        <v>-9.4457449597604784E-3</v>
      </c>
    </row>
    <row r="3415" spans="6:7" x14ac:dyDescent="0.25">
      <c r="F3415">
        <v>3412</v>
      </c>
      <c r="G3415">
        <f ca="1">_xlfn.NORM.INV(RAND(),$M$7,$M$8)</f>
        <v>-8.3405715612957995E-3</v>
      </c>
    </row>
    <row r="3416" spans="6:7" x14ac:dyDescent="0.25">
      <c r="F3416">
        <v>3413</v>
      </c>
      <c r="G3416">
        <f ca="1">_xlfn.NORM.INV(RAND(),$M$7,$M$8)</f>
        <v>2.0685991306992325E-2</v>
      </c>
    </row>
    <row r="3417" spans="6:7" x14ac:dyDescent="0.25">
      <c r="F3417">
        <v>3414</v>
      </c>
      <c r="G3417">
        <f ca="1">_xlfn.NORM.INV(RAND(),$M$7,$M$8)</f>
        <v>1.9070191656404542E-2</v>
      </c>
    </row>
    <row r="3418" spans="6:7" x14ac:dyDescent="0.25">
      <c r="F3418">
        <v>3415</v>
      </c>
      <c r="G3418">
        <f ca="1">_xlfn.NORM.INV(RAND(),$M$7,$M$8)</f>
        <v>1.8011084346096776E-2</v>
      </c>
    </row>
    <row r="3419" spans="6:7" x14ac:dyDescent="0.25">
      <c r="F3419">
        <v>3416</v>
      </c>
      <c r="G3419">
        <f ca="1">_xlfn.NORM.INV(RAND(),$M$7,$M$8)</f>
        <v>1.4310622131897396E-3</v>
      </c>
    </row>
    <row r="3420" spans="6:7" x14ac:dyDescent="0.25">
      <c r="F3420">
        <v>3417</v>
      </c>
      <c r="G3420">
        <f ca="1">_xlfn.NORM.INV(RAND(),$M$7,$M$8)</f>
        <v>-3.0789490350010464E-2</v>
      </c>
    </row>
    <row r="3421" spans="6:7" x14ac:dyDescent="0.25">
      <c r="F3421">
        <v>3418</v>
      </c>
      <c r="G3421">
        <f ca="1">_xlfn.NORM.INV(RAND(),$M$7,$M$8)</f>
        <v>2.9659736647570743E-2</v>
      </c>
    </row>
    <row r="3422" spans="6:7" x14ac:dyDescent="0.25">
      <c r="F3422">
        <v>3419</v>
      </c>
      <c r="G3422">
        <f ca="1">_xlfn.NORM.INV(RAND(),$M$7,$M$8)</f>
        <v>1.5296840104865045E-2</v>
      </c>
    </row>
    <row r="3423" spans="6:7" x14ac:dyDescent="0.25">
      <c r="F3423">
        <v>3420</v>
      </c>
      <c r="G3423">
        <f ca="1">_xlfn.NORM.INV(RAND(),$M$7,$M$8)</f>
        <v>-1.0116696611216182E-2</v>
      </c>
    </row>
    <row r="3424" spans="6:7" x14ac:dyDescent="0.25">
      <c r="F3424">
        <v>3421</v>
      </c>
      <c r="G3424">
        <f ca="1">_xlfn.NORM.INV(RAND(),$M$7,$M$8)</f>
        <v>-5.0007329323583302E-3</v>
      </c>
    </row>
    <row r="3425" spans="6:7" x14ac:dyDescent="0.25">
      <c r="F3425">
        <v>3422</v>
      </c>
      <c r="G3425">
        <f ca="1">_xlfn.NORM.INV(RAND(),$M$7,$M$8)</f>
        <v>6.4261704126787715E-3</v>
      </c>
    </row>
    <row r="3426" spans="6:7" x14ac:dyDescent="0.25">
      <c r="F3426">
        <v>3423</v>
      </c>
      <c r="G3426">
        <f ca="1">_xlfn.NORM.INV(RAND(),$M$7,$M$8)</f>
        <v>-3.0881888159244964E-2</v>
      </c>
    </row>
    <row r="3427" spans="6:7" x14ac:dyDescent="0.25">
      <c r="F3427">
        <v>3424</v>
      </c>
      <c r="G3427">
        <f ca="1">_xlfn.NORM.INV(RAND(),$M$7,$M$8)</f>
        <v>-9.9136328019570705E-3</v>
      </c>
    </row>
    <row r="3428" spans="6:7" x14ac:dyDescent="0.25">
      <c r="F3428">
        <v>3425</v>
      </c>
      <c r="G3428">
        <f ca="1">_xlfn.NORM.INV(RAND(),$M$7,$M$8)</f>
        <v>2.627155605366651E-2</v>
      </c>
    </row>
    <row r="3429" spans="6:7" x14ac:dyDescent="0.25">
      <c r="F3429">
        <v>3426</v>
      </c>
      <c r="G3429">
        <f ca="1">_xlfn.NORM.INV(RAND(),$M$7,$M$8)</f>
        <v>-2.8588677703098763E-2</v>
      </c>
    </row>
    <row r="3430" spans="6:7" x14ac:dyDescent="0.25">
      <c r="F3430">
        <v>3427</v>
      </c>
      <c r="G3430">
        <f ca="1">_xlfn.NORM.INV(RAND(),$M$7,$M$8)</f>
        <v>3.8795214745920785E-2</v>
      </c>
    </row>
    <row r="3431" spans="6:7" x14ac:dyDescent="0.25">
      <c r="F3431">
        <v>3428</v>
      </c>
      <c r="G3431">
        <f ca="1">_xlfn.NORM.INV(RAND(),$M$7,$M$8)</f>
        <v>4.2853852286462574E-3</v>
      </c>
    </row>
    <row r="3432" spans="6:7" x14ac:dyDescent="0.25">
      <c r="F3432">
        <v>3429</v>
      </c>
      <c r="G3432">
        <f ca="1">_xlfn.NORM.INV(RAND(),$M$7,$M$8)</f>
        <v>-8.3718117018738922E-3</v>
      </c>
    </row>
    <row r="3433" spans="6:7" x14ac:dyDescent="0.25">
      <c r="F3433">
        <v>3430</v>
      </c>
      <c r="G3433">
        <f ca="1">_xlfn.NORM.INV(RAND(),$M$7,$M$8)</f>
        <v>-2.5965551928772614E-2</v>
      </c>
    </row>
    <row r="3434" spans="6:7" x14ac:dyDescent="0.25">
      <c r="F3434">
        <v>3431</v>
      </c>
      <c r="G3434">
        <f ca="1">_xlfn.NORM.INV(RAND(),$M$7,$M$8)</f>
        <v>-4.3157665280609429E-2</v>
      </c>
    </row>
    <row r="3435" spans="6:7" x14ac:dyDescent="0.25">
      <c r="F3435">
        <v>3432</v>
      </c>
      <c r="G3435">
        <f ca="1">_xlfn.NORM.INV(RAND(),$M$7,$M$8)</f>
        <v>3.3975322462196436E-2</v>
      </c>
    </row>
    <row r="3436" spans="6:7" x14ac:dyDescent="0.25">
      <c r="F3436">
        <v>3433</v>
      </c>
      <c r="G3436">
        <f ca="1">_xlfn.NORM.INV(RAND(),$M$7,$M$8)</f>
        <v>-2.6624074775876003E-2</v>
      </c>
    </row>
    <row r="3437" spans="6:7" x14ac:dyDescent="0.25">
      <c r="F3437">
        <v>3434</v>
      </c>
      <c r="G3437">
        <f ca="1">_xlfn.NORM.INV(RAND(),$M$7,$M$8)</f>
        <v>-4.9211297094491402E-2</v>
      </c>
    </row>
    <row r="3438" spans="6:7" x14ac:dyDescent="0.25">
      <c r="F3438">
        <v>3435</v>
      </c>
      <c r="G3438">
        <f ca="1">_xlfn.NORM.INV(RAND(),$M$7,$M$8)</f>
        <v>-2.3375978231668395E-2</v>
      </c>
    </row>
    <row r="3439" spans="6:7" x14ac:dyDescent="0.25">
      <c r="F3439">
        <v>3436</v>
      </c>
      <c r="G3439">
        <f ca="1">_xlfn.NORM.INV(RAND(),$M$7,$M$8)</f>
        <v>-2.0435362436692327E-2</v>
      </c>
    </row>
    <row r="3440" spans="6:7" x14ac:dyDescent="0.25">
      <c r="F3440">
        <v>3437</v>
      </c>
      <c r="G3440">
        <f ca="1">_xlfn.NORM.INV(RAND(),$M$7,$M$8)</f>
        <v>-1.1637811759345718E-2</v>
      </c>
    </row>
    <row r="3441" spans="6:7" x14ac:dyDescent="0.25">
      <c r="F3441">
        <v>3438</v>
      </c>
      <c r="G3441">
        <f ca="1">_xlfn.NORM.INV(RAND(),$M$7,$M$8)</f>
        <v>1.2250172384342497E-2</v>
      </c>
    </row>
    <row r="3442" spans="6:7" x14ac:dyDescent="0.25">
      <c r="F3442">
        <v>3439</v>
      </c>
      <c r="G3442">
        <f ca="1">_xlfn.NORM.INV(RAND(),$M$7,$M$8)</f>
        <v>-2.37294420725866E-2</v>
      </c>
    </row>
    <row r="3443" spans="6:7" x14ac:dyDescent="0.25">
      <c r="F3443">
        <v>3440</v>
      </c>
      <c r="G3443">
        <f ca="1">_xlfn.NORM.INV(RAND(),$M$7,$M$8)</f>
        <v>1.0523337350722285E-2</v>
      </c>
    </row>
    <row r="3444" spans="6:7" x14ac:dyDescent="0.25">
      <c r="F3444">
        <v>3441</v>
      </c>
      <c r="G3444">
        <f ca="1">_xlfn.NORM.INV(RAND(),$M$7,$M$8)</f>
        <v>3.0249083986781337E-2</v>
      </c>
    </row>
    <row r="3445" spans="6:7" x14ac:dyDescent="0.25">
      <c r="F3445">
        <v>3442</v>
      </c>
      <c r="G3445">
        <f ca="1">_xlfn.NORM.INV(RAND(),$M$7,$M$8)</f>
        <v>-9.7118614756148518E-3</v>
      </c>
    </row>
    <row r="3446" spans="6:7" x14ac:dyDescent="0.25">
      <c r="F3446">
        <v>3443</v>
      </c>
      <c r="G3446">
        <f ca="1">_xlfn.NORM.INV(RAND(),$M$7,$M$8)</f>
        <v>1.1897246026925755E-2</v>
      </c>
    </row>
    <row r="3447" spans="6:7" x14ac:dyDescent="0.25">
      <c r="F3447">
        <v>3444</v>
      </c>
      <c r="G3447">
        <f ca="1">_xlfn.NORM.INV(RAND(),$M$7,$M$8)</f>
        <v>2.1068826825986445E-2</v>
      </c>
    </row>
    <row r="3448" spans="6:7" x14ac:dyDescent="0.25">
      <c r="F3448">
        <v>3445</v>
      </c>
      <c r="G3448">
        <f ca="1">_xlfn.NORM.INV(RAND(),$M$7,$M$8)</f>
        <v>4.7110978135815173E-3</v>
      </c>
    </row>
    <row r="3449" spans="6:7" x14ac:dyDescent="0.25">
      <c r="F3449">
        <v>3446</v>
      </c>
      <c r="G3449">
        <f ca="1">_xlfn.NORM.INV(RAND(),$M$7,$M$8)</f>
        <v>1.4806394441603832E-2</v>
      </c>
    </row>
    <row r="3450" spans="6:7" x14ac:dyDescent="0.25">
      <c r="F3450">
        <v>3447</v>
      </c>
      <c r="G3450">
        <f ca="1">_xlfn.NORM.INV(RAND(),$M$7,$M$8)</f>
        <v>-7.1948059998374683E-3</v>
      </c>
    </row>
    <row r="3451" spans="6:7" x14ac:dyDescent="0.25">
      <c r="F3451">
        <v>3448</v>
      </c>
      <c r="G3451">
        <f ca="1">_xlfn.NORM.INV(RAND(),$M$7,$M$8)</f>
        <v>4.0115903394497686E-2</v>
      </c>
    </row>
    <row r="3452" spans="6:7" x14ac:dyDescent="0.25">
      <c r="F3452">
        <v>3449</v>
      </c>
      <c r="G3452">
        <f ca="1">_xlfn.NORM.INV(RAND(),$M$7,$M$8)</f>
        <v>-3.4741970840206312E-3</v>
      </c>
    </row>
    <row r="3453" spans="6:7" x14ac:dyDescent="0.25">
      <c r="F3453">
        <v>3450</v>
      </c>
      <c r="G3453">
        <f ca="1">_xlfn.NORM.INV(RAND(),$M$7,$M$8)</f>
        <v>-3.7442729284432437E-2</v>
      </c>
    </row>
    <row r="3454" spans="6:7" x14ac:dyDescent="0.25">
      <c r="F3454">
        <v>3451</v>
      </c>
      <c r="G3454">
        <f ca="1">_xlfn.NORM.INV(RAND(),$M$7,$M$8)</f>
        <v>2.9623340972877492E-2</v>
      </c>
    </row>
    <row r="3455" spans="6:7" x14ac:dyDescent="0.25">
      <c r="F3455">
        <v>3452</v>
      </c>
      <c r="G3455">
        <f ca="1">_xlfn.NORM.INV(RAND(),$M$7,$M$8)</f>
        <v>9.785743555165944E-3</v>
      </c>
    </row>
    <row r="3456" spans="6:7" x14ac:dyDescent="0.25">
      <c r="F3456">
        <v>3453</v>
      </c>
      <c r="G3456">
        <f ca="1">_xlfn.NORM.INV(RAND(),$M$7,$M$8)</f>
        <v>-4.0893305805528943E-3</v>
      </c>
    </row>
    <row r="3457" spans="6:7" x14ac:dyDescent="0.25">
      <c r="F3457">
        <v>3454</v>
      </c>
      <c r="G3457">
        <f ca="1">_xlfn.NORM.INV(RAND(),$M$7,$M$8)</f>
        <v>-4.7884112808930027E-3</v>
      </c>
    </row>
    <row r="3458" spans="6:7" x14ac:dyDescent="0.25">
      <c r="F3458">
        <v>3455</v>
      </c>
      <c r="G3458">
        <f ca="1">_xlfn.NORM.INV(RAND(),$M$7,$M$8)</f>
        <v>7.1808622487224694E-3</v>
      </c>
    </row>
    <row r="3459" spans="6:7" x14ac:dyDescent="0.25">
      <c r="F3459">
        <v>3456</v>
      </c>
      <c r="G3459">
        <f ca="1">_xlfn.NORM.INV(RAND(),$M$7,$M$8)</f>
        <v>-2.0458564545133531E-2</v>
      </c>
    </row>
    <row r="3460" spans="6:7" x14ac:dyDescent="0.25">
      <c r="F3460">
        <v>3457</v>
      </c>
      <c r="G3460">
        <f ca="1">_xlfn.NORM.INV(RAND(),$M$7,$M$8)</f>
        <v>3.0661167575759311E-2</v>
      </c>
    </row>
    <row r="3461" spans="6:7" x14ac:dyDescent="0.25">
      <c r="F3461">
        <v>3458</v>
      </c>
      <c r="G3461">
        <f ca="1">_xlfn.NORM.INV(RAND(),$M$7,$M$8)</f>
        <v>-1.1131569056669146E-2</v>
      </c>
    </row>
    <row r="3462" spans="6:7" x14ac:dyDescent="0.25">
      <c r="F3462">
        <v>3459</v>
      </c>
      <c r="G3462">
        <f ca="1">_xlfn.NORM.INV(RAND(),$M$7,$M$8)</f>
        <v>-7.4307417624865871E-3</v>
      </c>
    </row>
    <row r="3463" spans="6:7" x14ac:dyDescent="0.25">
      <c r="F3463">
        <v>3460</v>
      </c>
      <c r="G3463">
        <f ca="1">_xlfn.NORM.INV(RAND(),$M$7,$M$8)</f>
        <v>-1.3836423642544563E-2</v>
      </c>
    </row>
    <row r="3464" spans="6:7" x14ac:dyDescent="0.25">
      <c r="F3464">
        <v>3461</v>
      </c>
      <c r="G3464">
        <f ca="1">_xlfn.NORM.INV(RAND(),$M$7,$M$8)</f>
        <v>3.166870863645796E-2</v>
      </c>
    </row>
    <row r="3465" spans="6:7" x14ac:dyDescent="0.25">
      <c r="F3465">
        <v>3462</v>
      </c>
      <c r="G3465">
        <f ca="1">_xlfn.NORM.INV(RAND(),$M$7,$M$8)</f>
        <v>-1.545551759531056E-2</v>
      </c>
    </row>
    <row r="3466" spans="6:7" x14ac:dyDescent="0.25">
      <c r="F3466">
        <v>3463</v>
      </c>
      <c r="G3466">
        <f ca="1">_xlfn.NORM.INV(RAND(),$M$7,$M$8)</f>
        <v>-8.9378239168207783E-3</v>
      </c>
    </row>
    <row r="3467" spans="6:7" x14ac:dyDescent="0.25">
      <c r="F3467">
        <v>3464</v>
      </c>
      <c r="G3467">
        <f ca="1">_xlfn.NORM.INV(RAND(),$M$7,$M$8)</f>
        <v>3.0762427597556905E-2</v>
      </c>
    </row>
    <row r="3468" spans="6:7" x14ac:dyDescent="0.25">
      <c r="F3468">
        <v>3465</v>
      </c>
      <c r="G3468">
        <f ca="1">_xlfn.NORM.INV(RAND(),$M$7,$M$8)</f>
        <v>-4.9040589639469563E-2</v>
      </c>
    </row>
    <row r="3469" spans="6:7" x14ac:dyDescent="0.25">
      <c r="F3469">
        <v>3466</v>
      </c>
      <c r="G3469">
        <f ca="1">_xlfn.NORM.INV(RAND(),$M$7,$M$8)</f>
        <v>-7.3329442093467024E-3</v>
      </c>
    </row>
    <row r="3470" spans="6:7" x14ac:dyDescent="0.25">
      <c r="F3470">
        <v>3467</v>
      </c>
      <c r="G3470">
        <f ca="1">_xlfn.NORM.INV(RAND(),$M$7,$M$8)</f>
        <v>2.8754458833902798E-2</v>
      </c>
    </row>
    <row r="3471" spans="6:7" x14ac:dyDescent="0.25">
      <c r="F3471">
        <v>3468</v>
      </c>
      <c r="G3471">
        <f ca="1">_xlfn.NORM.INV(RAND(),$M$7,$M$8)</f>
        <v>-9.882491425339866E-3</v>
      </c>
    </row>
    <row r="3472" spans="6:7" x14ac:dyDescent="0.25">
      <c r="F3472">
        <v>3469</v>
      </c>
      <c r="G3472">
        <f ca="1">_xlfn.NORM.INV(RAND(),$M$7,$M$8)</f>
        <v>1.8984016449544026E-2</v>
      </c>
    </row>
    <row r="3473" spans="6:7" x14ac:dyDescent="0.25">
      <c r="F3473">
        <v>3470</v>
      </c>
      <c r="G3473">
        <f ca="1">_xlfn.NORM.INV(RAND(),$M$7,$M$8)</f>
        <v>3.2977401560708684E-2</v>
      </c>
    </row>
    <row r="3474" spans="6:7" x14ac:dyDescent="0.25">
      <c r="F3474">
        <v>3471</v>
      </c>
      <c r="G3474">
        <f ca="1">_xlfn.NORM.INV(RAND(),$M$7,$M$8)</f>
        <v>-2.7770662661610004E-2</v>
      </c>
    </row>
    <row r="3475" spans="6:7" x14ac:dyDescent="0.25">
      <c r="F3475">
        <v>3472</v>
      </c>
      <c r="G3475">
        <f ca="1">_xlfn.NORM.INV(RAND(),$M$7,$M$8)</f>
        <v>-6.3546455845883629E-3</v>
      </c>
    </row>
    <row r="3476" spans="6:7" x14ac:dyDescent="0.25">
      <c r="F3476">
        <v>3473</v>
      </c>
      <c r="G3476">
        <f ca="1">_xlfn.NORM.INV(RAND(),$M$7,$M$8)</f>
        <v>3.3328633878686419E-2</v>
      </c>
    </row>
    <row r="3477" spans="6:7" x14ac:dyDescent="0.25">
      <c r="F3477">
        <v>3474</v>
      </c>
      <c r="G3477">
        <f ca="1">_xlfn.NORM.INV(RAND(),$M$7,$M$8)</f>
        <v>-4.7425045065559654E-3</v>
      </c>
    </row>
    <row r="3478" spans="6:7" x14ac:dyDescent="0.25">
      <c r="F3478">
        <v>3475</v>
      </c>
      <c r="G3478">
        <f ca="1">_xlfn.NORM.INV(RAND(),$M$7,$M$8)</f>
        <v>2.324966041185102E-2</v>
      </c>
    </row>
    <row r="3479" spans="6:7" x14ac:dyDescent="0.25">
      <c r="F3479">
        <v>3476</v>
      </c>
      <c r="G3479">
        <f ca="1">_xlfn.NORM.INV(RAND(),$M$7,$M$8)</f>
        <v>-1.7225598939440553E-3</v>
      </c>
    </row>
    <row r="3480" spans="6:7" x14ac:dyDescent="0.25">
      <c r="F3480">
        <v>3477</v>
      </c>
      <c r="G3480">
        <f ca="1">_xlfn.NORM.INV(RAND(),$M$7,$M$8)</f>
        <v>1.8412400439793683E-2</v>
      </c>
    </row>
    <row r="3481" spans="6:7" x14ac:dyDescent="0.25">
      <c r="F3481">
        <v>3478</v>
      </c>
      <c r="G3481">
        <f ca="1">_xlfn.NORM.INV(RAND(),$M$7,$M$8)</f>
        <v>5.5387255042524855E-2</v>
      </c>
    </row>
    <row r="3482" spans="6:7" x14ac:dyDescent="0.25">
      <c r="F3482">
        <v>3479</v>
      </c>
      <c r="G3482">
        <f ca="1">_xlfn.NORM.INV(RAND(),$M$7,$M$8)</f>
        <v>-1.3494962703378332E-3</v>
      </c>
    </row>
    <row r="3483" spans="6:7" x14ac:dyDescent="0.25">
      <c r="F3483">
        <v>3480</v>
      </c>
      <c r="G3483">
        <f ca="1">_xlfn.NORM.INV(RAND(),$M$7,$M$8)</f>
        <v>-7.7447147333457658E-3</v>
      </c>
    </row>
    <row r="3484" spans="6:7" x14ac:dyDescent="0.25">
      <c r="F3484">
        <v>3481</v>
      </c>
      <c r="G3484">
        <f ca="1">_xlfn.NORM.INV(RAND(),$M$7,$M$8)</f>
        <v>8.7778345270711627E-3</v>
      </c>
    </row>
    <row r="3485" spans="6:7" x14ac:dyDescent="0.25">
      <c r="F3485">
        <v>3482</v>
      </c>
      <c r="G3485">
        <f ca="1">_xlfn.NORM.INV(RAND(),$M$7,$M$8)</f>
        <v>2.3678090978765682E-2</v>
      </c>
    </row>
    <row r="3486" spans="6:7" x14ac:dyDescent="0.25">
      <c r="F3486">
        <v>3483</v>
      </c>
      <c r="G3486">
        <f ca="1">_xlfn.NORM.INV(RAND(),$M$7,$M$8)</f>
        <v>-4.1191720796966719E-3</v>
      </c>
    </row>
    <row r="3487" spans="6:7" x14ac:dyDescent="0.25">
      <c r="F3487">
        <v>3484</v>
      </c>
      <c r="G3487">
        <f ca="1">_xlfn.NORM.INV(RAND(),$M$7,$M$8)</f>
        <v>5.1445286788995882E-3</v>
      </c>
    </row>
    <row r="3488" spans="6:7" x14ac:dyDescent="0.25">
      <c r="F3488">
        <v>3485</v>
      </c>
      <c r="G3488">
        <f ca="1">_xlfn.NORM.INV(RAND(),$M$7,$M$8)</f>
        <v>1.8445241534394191E-3</v>
      </c>
    </row>
    <row r="3489" spans="6:7" x14ac:dyDescent="0.25">
      <c r="F3489">
        <v>3486</v>
      </c>
      <c r="G3489">
        <f ca="1">_xlfn.NORM.INV(RAND(),$M$7,$M$8)</f>
        <v>-5.4482429627436706E-2</v>
      </c>
    </row>
    <row r="3490" spans="6:7" x14ac:dyDescent="0.25">
      <c r="F3490">
        <v>3487</v>
      </c>
      <c r="G3490">
        <f ca="1">_xlfn.NORM.INV(RAND(),$M$7,$M$8)</f>
        <v>-5.7268844266284771E-3</v>
      </c>
    </row>
    <row r="3491" spans="6:7" x14ac:dyDescent="0.25">
      <c r="F3491">
        <v>3488</v>
      </c>
      <c r="G3491">
        <f ca="1">_xlfn.NORM.INV(RAND(),$M$7,$M$8)</f>
        <v>8.3158338173829598E-3</v>
      </c>
    </row>
    <row r="3492" spans="6:7" x14ac:dyDescent="0.25">
      <c r="F3492">
        <v>3489</v>
      </c>
      <c r="G3492">
        <f ca="1">_xlfn.NORM.INV(RAND(),$M$7,$M$8)</f>
        <v>1.4853635151161457E-2</v>
      </c>
    </row>
    <row r="3493" spans="6:7" x14ac:dyDescent="0.25">
      <c r="F3493">
        <v>3490</v>
      </c>
      <c r="G3493">
        <f ca="1">_xlfn.NORM.INV(RAND(),$M$7,$M$8)</f>
        <v>1.2885562689004502E-2</v>
      </c>
    </row>
    <row r="3494" spans="6:7" x14ac:dyDescent="0.25">
      <c r="F3494">
        <v>3491</v>
      </c>
      <c r="G3494">
        <f ca="1">_xlfn.NORM.INV(RAND(),$M$7,$M$8)</f>
        <v>1.4348138602493891E-2</v>
      </c>
    </row>
    <row r="3495" spans="6:7" x14ac:dyDescent="0.25">
      <c r="F3495">
        <v>3492</v>
      </c>
      <c r="G3495">
        <f ca="1">_xlfn.NORM.INV(RAND(),$M$7,$M$8)</f>
        <v>-1.017938992338962E-3</v>
      </c>
    </row>
    <row r="3496" spans="6:7" x14ac:dyDescent="0.25">
      <c r="F3496">
        <v>3493</v>
      </c>
      <c r="G3496">
        <f ca="1">_xlfn.NORM.INV(RAND(),$M$7,$M$8)</f>
        <v>1.0358814179512559E-2</v>
      </c>
    </row>
    <row r="3497" spans="6:7" x14ac:dyDescent="0.25">
      <c r="F3497">
        <v>3494</v>
      </c>
      <c r="G3497">
        <f ca="1">_xlfn.NORM.INV(RAND(),$M$7,$M$8)</f>
        <v>-1.8683413412271106E-2</v>
      </c>
    </row>
    <row r="3498" spans="6:7" x14ac:dyDescent="0.25">
      <c r="F3498">
        <v>3495</v>
      </c>
      <c r="G3498">
        <f ca="1">_xlfn.NORM.INV(RAND(),$M$7,$M$8)</f>
        <v>3.2601416021700122E-2</v>
      </c>
    </row>
    <row r="3499" spans="6:7" x14ac:dyDescent="0.25">
      <c r="F3499">
        <v>3496</v>
      </c>
      <c r="G3499">
        <f ca="1">_xlfn.NORM.INV(RAND(),$M$7,$M$8)</f>
        <v>3.4904850078224463E-2</v>
      </c>
    </row>
    <row r="3500" spans="6:7" x14ac:dyDescent="0.25">
      <c r="F3500">
        <v>3497</v>
      </c>
      <c r="G3500">
        <f ca="1">_xlfn.NORM.INV(RAND(),$M$7,$M$8)</f>
        <v>3.0873414531390744E-3</v>
      </c>
    </row>
    <row r="3501" spans="6:7" x14ac:dyDescent="0.25">
      <c r="F3501">
        <v>3498</v>
      </c>
      <c r="G3501">
        <f ca="1">_xlfn.NORM.INV(RAND(),$M$7,$M$8)</f>
        <v>1.4537676432181176E-2</v>
      </c>
    </row>
    <row r="3502" spans="6:7" x14ac:dyDescent="0.25">
      <c r="F3502">
        <v>3499</v>
      </c>
      <c r="G3502">
        <f ca="1">_xlfn.NORM.INV(RAND(),$M$7,$M$8)</f>
        <v>4.7236217837950345E-2</v>
      </c>
    </row>
    <row r="3503" spans="6:7" x14ac:dyDescent="0.25">
      <c r="F3503">
        <v>3500</v>
      </c>
      <c r="G3503">
        <f ca="1">_xlfn.NORM.INV(RAND(),$M$7,$M$8)</f>
        <v>-1.451593606465362E-3</v>
      </c>
    </row>
    <row r="3504" spans="6:7" x14ac:dyDescent="0.25">
      <c r="F3504">
        <v>3501</v>
      </c>
      <c r="G3504">
        <f ca="1">_xlfn.NORM.INV(RAND(),$M$7,$M$8)</f>
        <v>1.2809989279913878E-2</v>
      </c>
    </row>
    <row r="3505" spans="6:7" x14ac:dyDescent="0.25">
      <c r="F3505">
        <v>3502</v>
      </c>
      <c r="G3505">
        <f ca="1">_xlfn.NORM.INV(RAND(),$M$7,$M$8)</f>
        <v>-3.4565525006855467E-2</v>
      </c>
    </row>
    <row r="3506" spans="6:7" x14ac:dyDescent="0.25">
      <c r="F3506">
        <v>3503</v>
      </c>
      <c r="G3506">
        <f ca="1">_xlfn.NORM.INV(RAND(),$M$7,$M$8)</f>
        <v>2.8293792716856364E-2</v>
      </c>
    </row>
    <row r="3507" spans="6:7" x14ac:dyDescent="0.25">
      <c r="F3507">
        <v>3504</v>
      </c>
      <c r="G3507">
        <f ca="1">_xlfn.NORM.INV(RAND(),$M$7,$M$8)</f>
        <v>3.124409282010388E-3</v>
      </c>
    </row>
    <row r="3508" spans="6:7" x14ac:dyDescent="0.25">
      <c r="F3508">
        <v>3505</v>
      </c>
      <c r="G3508">
        <f ca="1">_xlfn.NORM.INV(RAND(),$M$7,$M$8)</f>
        <v>-2.2399181218795655E-3</v>
      </c>
    </row>
    <row r="3509" spans="6:7" x14ac:dyDescent="0.25">
      <c r="F3509">
        <v>3506</v>
      </c>
      <c r="G3509">
        <f ca="1">_xlfn.NORM.INV(RAND(),$M$7,$M$8)</f>
        <v>-2.3279692617308011E-2</v>
      </c>
    </row>
    <row r="3510" spans="6:7" x14ac:dyDescent="0.25">
      <c r="F3510">
        <v>3507</v>
      </c>
      <c r="G3510">
        <f ca="1">_xlfn.NORM.INV(RAND(),$M$7,$M$8)</f>
        <v>3.2807220703988005E-2</v>
      </c>
    </row>
    <row r="3511" spans="6:7" x14ac:dyDescent="0.25">
      <c r="F3511">
        <v>3508</v>
      </c>
      <c r="G3511">
        <f ca="1">_xlfn.NORM.INV(RAND(),$M$7,$M$8)</f>
        <v>1.4638283995134834E-2</v>
      </c>
    </row>
    <row r="3512" spans="6:7" x14ac:dyDescent="0.25">
      <c r="F3512">
        <v>3509</v>
      </c>
      <c r="G3512">
        <f ca="1">_xlfn.NORM.INV(RAND(),$M$7,$M$8)</f>
        <v>-2.0882116821311622E-2</v>
      </c>
    </row>
    <row r="3513" spans="6:7" x14ac:dyDescent="0.25">
      <c r="F3513">
        <v>3510</v>
      </c>
      <c r="G3513">
        <f ca="1">_xlfn.NORM.INV(RAND(),$M$7,$M$8)</f>
        <v>-4.0147513424072793E-2</v>
      </c>
    </row>
    <row r="3514" spans="6:7" x14ac:dyDescent="0.25">
      <c r="F3514">
        <v>3511</v>
      </c>
      <c r="G3514">
        <f ca="1">_xlfn.NORM.INV(RAND(),$M$7,$M$8)</f>
        <v>-3.8327583369054522E-3</v>
      </c>
    </row>
    <row r="3515" spans="6:7" x14ac:dyDescent="0.25">
      <c r="F3515">
        <v>3512</v>
      </c>
      <c r="G3515">
        <f ca="1">_xlfn.NORM.INV(RAND(),$M$7,$M$8)</f>
        <v>-2.9322174989972694E-2</v>
      </c>
    </row>
    <row r="3516" spans="6:7" x14ac:dyDescent="0.25">
      <c r="F3516">
        <v>3513</v>
      </c>
      <c r="G3516">
        <f ca="1">_xlfn.NORM.INV(RAND(),$M$7,$M$8)</f>
        <v>7.7374688436147851E-2</v>
      </c>
    </row>
    <row r="3517" spans="6:7" x14ac:dyDescent="0.25">
      <c r="F3517">
        <v>3514</v>
      </c>
      <c r="G3517">
        <f ca="1">_xlfn.NORM.INV(RAND(),$M$7,$M$8)</f>
        <v>3.661598700246807E-2</v>
      </c>
    </row>
    <row r="3518" spans="6:7" x14ac:dyDescent="0.25">
      <c r="F3518">
        <v>3515</v>
      </c>
      <c r="G3518">
        <f ca="1">_xlfn.NORM.INV(RAND(),$M$7,$M$8)</f>
        <v>-5.8663284202613929E-2</v>
      </c>
    </row>
    <row r="3519" spans="6:7" x14ac:dyDescent="0.25">
      <c r="F3519">
        <v>3516</v>
      </c>
      <c r="G3519">
        <f ca="1">_xlfn.NORM.INV(RAND(),$M$7,$M$8)</f>
        <v>-4.1402824701070234E-2</v>
      </c>
    </row>
    <row r="3520" spans="6:7" x14ac:dyDescent="0.25">
      <c r="F3520">
        <v>3517</v>
      </c>
      <c r="G3520">
        <f ca="1">_xlfn.NORM.INV(RAND(),$M$7,$M$8)</f>
        <v>-4.2560450365460398E-2</v>
      </c>
    </row>
    <row r="3521" spans="6:7" x14ac:dyDescent="0.25">
      <c r="F3521">
        <v>3518</v>
      </c>
      <c r="G3521">
        <f ca="1">_xlfn.NORM.INV(RAND(),$M$7,$M$8)</f>
        <v>5.1885198225113411E-3</v>
      </c>
    </row>
    <row r="3522" spans="6:7" x14ac:dyDescent="0.25">
      <c r="F3522">
        <v>3519</v>
      </c>
      <c r="G3522">
        <f ca="1">_xlfn.NORM.INV(RAND(),$M$7,$M$8)</f>
        <v>-2.9832056687479642E-2</v>
      </c>
    </row>
    <row r="3523" spans="6:7" x14ac:dyDescent="0.25">
      <c r="F3523">
        <v>3520</v>
      </c>
      <c r="G3523">
        <f ca="1">_xlfn.NORM.INV(RAND(),$M$7,$M$8)</f>
        <v>-4.443939396210575E-2</v>
      </c>
    </row>
    <row r="3524" spans="6:7" x14ac:dyDescent="0.25">
      <c r="F3524">
        <v>3521</v>
      </c>
      <c r="G3524">
        <f ca="1">_xlfn.NORM.INV(RAND(),$M$7,$M$8)</f>
        <v>-2.7293921998436516E-2</v>
      </c>
    </row>
    <row r="3525" spans="6:7" x14ac:dyDescent="0.25">
      <c r="F3525">
        <v>3522</v>
      </c>
      <c r="G3525">
        <f ca="1">_xlfn.NORM.INV(RAND(),$M$7,$M$8)</f>
        <v>-3.9108781486225791E-3</v>
      </c>
    </row>
    <row r="3526" spans="6:7" x14ac:dyDescent="0.25">
      <c r="F3526">
        <v>3523</v>
      </c>
      <c r="G3526">
        <f ca="1">_xlfn.NORM.INV(RAND(),$M$7,$M$8)</f>
        <v>-2.1537717311038804E-2</v>
      </c>
    </row>
    <row r="3527" spans="6:7" x14ac:dyDescent="0.25">
      <c r="F3527">
        <v>3524</v>
      </c>
      <c r="G3527">
        <f ca="1">_xlfn.NORM.INV(RAND(),$M$7,$M$8)</f>
        <v>1.9655349338417512E-2</v>
      </c>
    </row>
    <row r="3528" spans="6:7" x14ac:dyDescent="0.25">
      <c r="F3528">
        <v>3525</v>
      </c>
      <c r="G3528">
        <f ca="1">_xlfn.NORM.INV(RAND(),$M$7,$M$8)</f>
        <v>-3.2151333831599495E-2</v>
      </c>
    </row>
    <row r="3529" spans="6:7" x14ac:dyDescent="0.25">
      <c r="F3529">
        <v>3526</v>
      </c>
      <c r="G3529">
        <f ca="1">_xlfn.NORM.INV(RAND(),$M$7,$M$8)</f>
        <v>-3.0654419885419355E-2</v>
      </c>
    </row>
    <row r="3530" spans="6:7" x14ac:dyDescent="0.25">
      <c r="F3530">
        <v>3527</v>
      </c>
      <c r="G3530">
        <f ca="1">_xlfn.NORM.INV(RAND(),$M$7,$M$8)</f>
        <v>-2.5693445064283903E-2</v>
      </c>
    </row>
    <row r="3531" spans="6:7" x14ac:dyDescent="0.25">
      <c r="F3531">
        <v>3528</v>
      </c>
      <c r="G3531">
        <f ca="1">_xlfn.NORM.INV(RAND(),$M$7,$M$8)</f>
        <v>6.4409094416959887E-3</v>
      </c>
    </row>
    <row r="3532" spans="6:7" x14ac:dyDescent="0.25">
      <c r="F3532">
        <v>3529</v>
      </c>
      <c r="G3532">
        <f ca="1">_xlfn.NORM.INV(RAND(),$M$7,$M$8)</f>
        <v>-4.6865248551190959E-2</v>
      </c>
    </row>
    <row r="3533" spans="6:7" x14ac:dyDescent="0.25">
      <c r="F3533">
        <v>3530</v>
      </c>
      <c r="G3533">
        <f ca="1">_xlfn.NORM.INV(RAND(),$M$7,$M$8)</f>
        <v>5.220058415917235E-2</v>
      </c>
    </row>
    <row r="3534" spans="6:7" x14ac:dyDescent="0.25">
      <c r="F3534">
        <v>3531</v>
      </c>
      <c r="G3534">
        <f ca="1">_xlfn.NORM.INV(RAND(),$M$7,$M$8)</f>
        <v>-1.4857088468436502E-2</v>
      </c>
    </row>
    <row r="3535" spans="6:7" x14ac:dyDescent="0.25">
      <c r="F3535">
        <v>3532</v>
      </c>
      <c r="G3535">
        <f ca="1">_xlfn.NORM.INV(RAND(),$M$7,$M$8)</f>
        <v>-2.7779071690704313E-3</v>
      </c>
    </row>
    <row r="3536" spans="6:7" x14ac:dyDescent="0.25">
      <c r="F3536">
        <v>3533</v>
      </c>
      <c r="G3536">
        <f ca="1">_xlfn.NORM.INV(RAND(),$M$7,$M$8)</f>
        <v>-1.1153186349828906E-2</v>
      </c>
    </row>
    <row r="3537" spans="6:7" x14ac:dyDescent="0.25">
      <c r="F3537">
        <v>3534</v>
      </c>
      <c r="G3537">
        <f ca="1">_xlfn.NORM.INV(RAND(),$M$7,$M$8)</f>
        <v>-2.2137387403913421E-2</v>
      </c>
    </row>
    <row r="3538" spans="6:7" x14ac:dyDescent="0.25">
      <c r="F3538">
        <v>3535</v>
      </c>
      <c r="G3538">
        <f ca="1">_xlfn.NORM.INV(RAND(),$M$7,$M$8)</f>
        <v>-5.5206700326451835E-3</v>
      </c>
    </row>
    <row r="3539" spans="6:7" x14ac:dyDescent="0.25">
      <c r="F3539">
        <v>3536</v>
      </c>
      <c r="G3539">
        <f ca="1">_xlfn.NORM.INV(RAND(),$M$7,$M$8)</f>
        <v>-6.80027299793475E-3</v>
      </c>
    </row>
    <row r="3540" spans="6:7" x14ac:dyDescent="0.25">
      <c r="F3540">
        <v>3537</v>
      </c>
      <c r="G3540">
        <f ca="1">_xlfn.NORM.INV(RAND(),$M$7,$M$8)</f>
        <v>5.4617492089325814E-3</v>
      </c>
    </row>
    <row r="3541" spans="6:7" x14ac:dyDescent="0.25">
      <c r="F3541">
        <v>3538</v>
      </c>
      <c r="G3541">
        <f ca="1">_xlfn.NORM.INV(RAND(),$M$7,$M$8)</f>
        <v>-6.2481776448225727E-3</v>
      </c>
    </row>
    <row r="3542" spans="6:7" x14ac:dyDescent="0.25">
      <c r="F3542">
        <v>3539</v>
      </c>
      <c r="G3542">
        <f ca="1">_xlfn.NORM.INV(RAND(),$M$7,$M$8)</f>
        <v>-3.5483597432619335E-2</v>
      </c>
    </row>
    <row r="3543" spans="6:7" x14ac:dyDescent="0.25">
      <c r="F3543">
        <v>3540</v>
      </c>
      <c r="G3543">
        <f ca="1">_xlfn.NORM.INV(RAND(),$M$7,$M$8)</f>
        <v>-2.2685405719996901E-3</v>
      </c>
    </row>
    <row r="3544" spans="6:7" x14ac:dyDescent="0.25">
      <c r="F3544">
        <v>3541</v>
      </c>
      <c r="G3544">
        <f ca="1">_xlfn.NORM.INV(RAND(),$M$7,$M$8)</f>
        <v>4.120194406042909E-2</v>
      </c>
    </row>
    <row r="3545" spans="6:7" x14ac:dyDescent="0.25">
      <c r="F3545">
        <v>3542</v>
      </c>
      <c r="G3545">
        <f ca="1">_xlfn.NORM.INV(RAND(),$M$7,$M$8)</f>
        <v>-9.5790101918416994E-3</v>
      </c>
    </row>
    <row r="3546" spans="6:7" x14ac:dyDescent="0.25">
      <c r="F3546">
        <v>3543</v>
      </c>
      <c r="G3546">
        <f ca="1">_xlfn.NORM.INV(RAND(),$M$7,$M$8)</f>
        <v>9.7439073536890325E-3</v>
      </c>
    </row>
    <row r="3547" spans="6:7" x14ac:dyDescent="0.25">
      <c r="F3547">
        <v>3544</v>
      </c>
      <c r="G3547">
        <f ca="1">_xlfn.NORM.INV(RAND(),$M$7,$M$8)</f>
        <v>1.1081449668389483E-2</v>
      </c>
    </row>
    <row r="3548" spans="6:7" x14ac:dyDescent="0.25">
      <c r="F3548">
        <v>3545</v>
      </c>
      <c r="G3548">
        <f ca="1">_xlfn.NORM.INV(RAND(),$M$7,$M$8)</f>
        <v>1.3260858494141471E-2</v>
      </c>
    </row>
    <row r="3549" spans="6:7" x14ac:dyDescent="0.25">
      <c r="F3549">
        <v>3546</v>
      </c>
      <c r="G3549">
        <f ca="1">_xlfn.NORM.INV(RAND(),$M$7,$M$8)</f>
        <v>2.6895348548537239E-2</v>
      </c>
    </row>
    <row r="3550" spans="6:7" x14ac:dyDescent="0.25">
      <c r="F3550">
        <v>3547</v>
      </c>
      <c r="G3550">
        <f ca="1">_xlfn.NORM.INV(RAND(),$M$7,$M$8)</f>
        <v>7.0897685849789522E-4</v>
      </c>
    </row>
    <row r="3551" spans="6:7" x14ac:dyDescent="0.25">
      <c r="F3551">
        <v>3548</v>
      </c>
      <c r="G3551">
        <f ca="1">_xlfn.NORM.INV(RAND(),$M$7,$M$8)</f>
        <v>6.9127302688901018E-3</v>
      </c>
    </row>
    <row r="3552" spans="6:7" x14ac:dyDescent="0.25">
      <c r="F3552">
        <v>3549</v>
      </c>
      <c r="G3552">
        <f ca="1">_xlfn.NORM.INV(RAND(),$M$7,$M$8)</f>
        <v>-9.0901973075212337E-3</v>
      </c>
    </row>
    <row r="3553" spans="6:7" x14ac:dyDescent="0.25">
      <c r="F3553">
        <v>3550</v>
      </c>
      <c r="G3553">
        <f ca="1">_xlfn.NORM.INV(RAND(),$M$7,$M$8)</f>
        <v>-1.3551149951078329E-2</v>
      </c>
    </row>
    <row r="3554" spans="6:7" x14ac:dyDescent="0.25">
      <c r="F3554">
        <v>3551</v>
      </c>
      <c r="G3554">
        <f ca="1">_xlfn.NORM.INV(RAND(),$M$7,$M$8)</f>
        <v>6.112242612148067E-3</v>
      </c>
    </row>
    <row r="3555" spans="6:7" x14ac:dyDescent="0.25">
      <c r="F3555">
        <v>3552</v>
      </c>
      <c r="G3555">
        <f ca="1">_xlfn.NORM.INV(RAND(),$M$7,$M$8)</f>
        <v>-2.767080214444368E-3</v>
      </c>
    </row>
    <row r="3556" spans="6:7" x14ac:dyDescent="0.25">
      <c r="F3556">
        <v>3553</v>
      </c>
      <c r="G3556">
        <f ca="1">_xlfn.NORM.INV(RAND(),$M$7,$M$8)</f>
        <v>3.3156316922298264E-2</v>
      </c>
    </row>
    <row r="3557" spans="6:7" x14ac:dyDescent="0.25">
      <c r="F3557">
        <v>3554</v>
      </c>
      <c r="G3557">
        <f ca="1">_xlfn.NORM.INV(RAND(),$M$7,$M$8)</f>
        <v>-1.3890527880148221E-2</v>
      </c>
    </row>
    <row r="3558" spans="6:7" x14ac:dyDescent="0.25">
      <c r="F3558">
        <v>3555</v>
      </c>
      <c r="G3558">
        <f ca="1">_xlfn.NORM.INV(RAND(),$M$7,$M$8)</f>
        <v>3.7981573920360971E-3</v>
      </c>
    </row>
    <row r="3559" spans="6:7" x14ac:dyDescent="0.25">
      <c r="F3559">
        <v>3556</v>
      </c>
      <c r="G3559">
        <f ca="1">_xlfn.NORM.INV(RAND(),$M$7,$M$8)</f>
        <v>1.3732961293324051E-2</v>
      </c>
    </row>
    <row r="3560" spans="6:7" x14ac:dyDescent="0.25">
      <c r="F3560">
        <v>3557</v>
      </c>
      <c r="G3560">
        <f ca="1">_xlfn.NORM.INV(RAND(),$M$7,$M$8)</f>
        <v>-1.6325072315377002E-2</v>
      </c>
    </row>
    <row r="3561" spans="6:7" x14ac:dyDescent="0.25">
      <c r="F3561">
        <v>3558</v>
      </c>
      <c r="G3561">
        <f ca="1">_xlfn.NORM.INV(RAND(),$M$7,$M$8)</f>
        <v>-4.4681833615007639E-3</v>
      </c>
    </row>
    <row r="3562" spans="6:7" x14ac:dyDescent="0.25">
      <c r="F3562">
        <v>3559</v>
      </c>
      <c r="G3562">
        <f ca="1">_xlfn.NORM.INV(RAND(),$M$7,$M$8)</f>
        <v>2.5780722401793923E-2</v>
      </c>
    </row>
    <row r="3563" spans="6:7" x14ac:dyDescent="0.25">
      <c r="F3563">
        <v>3560</v>
      </c>
      <c r="G3563">
        <f ca="1">_xlfn.NORM.INV(RAND(),$M$7,$M$8)</f>
        <v>5.458137191923948E-2</v>
      </c>
    </row>
    <row r="3564" spans="6:7" x14ac:dyDescent="0.25">
      <c r="F3564">
        <v>3561</v>
      </c>
      <c r="G3564">
        <f ca="1">_xlfn.NORM.INV(RAND(),$M$7,$M$8)</f>
        <v>-3.7549881072142223E-2</v>
      </c>
    </row>
    <row r="3565" spans="6:7" x14ac:dyDescent="0.25">
      <c r="F3565">
        <v>3562</v>
      </c>
      <c r="G3565">
        <f ca="1">_xlfn.NORM.INV(RAND(),$M$7,$M$8)</f>
        <v>2.1548956684307737E-2</v>
      </c>
    </row>
    <row r="3566" spans="6:7" x14ac:dyDescent="0.25">
      <c r="F3566">
        <v>3563</v>
      </c>
      <c r="G3566">
        <f ca="1">_xlfn.NORM.INV(RAND(),$M$7,$M$8)</f>
        <v>1.4270910434803413E-2</v>
      </c>
    </row>
    <row r="3567" spans="6:7" x14ac:dyDescent="0.25">
      <c r="F3567">
        <v>3564</v>
      </c>
      <c r="G3567">
        <f ca="1">_xlfn.NORM.INV(RAND(),$M$7,$M$8)</f>
        <v>5.9176891841722767E-3</v>
      </c>
    </row>
    <row r="3568" spans="6:7" x14ac:dyDescent="0.25">
      <c r="F3568">
        <v>3565</v>
      </c>
      <c r="G3568">
        <f ca="1">_xlfn.NORM.INV(RAND(),$M$7,$M$8)</f>
        <v>7.5134693780010784E-3</v>
      </c>
    </row>
    <row r="3569" spans="6:7" x14ac:dyDescent="0.25">
      <c r="F3569">
        <v>3566</v>
      </c>
      <c r="G3569">
        <f ca="1">_xlfn.NORM.INV(RAND(),$M$7,$M$8)</f>
        <v>-1.7836432008051597E-2</v>
      </c>
    </row>
    <row r="3570" spans="6:7" x14ac:dyDescent="0.25">
      <c r="F3570">
        <v>3567</v>
      </c>
      <c r="G3570">
        <f ca="1">_xlfn.NORM.INV(RAND(),$M$7,$M$8)</f>
        <v>9.5909228259331378E-3</v>
      </c>
    </row>
    <row r="3571" spans="6:7" x14ac:dyDescent="0.25">
      <c r="F3571">
        <v>3568</v>
      </c>
      <c r="G3571">
        <f ca="1">_xlfn.NORM.INV(RAND(),$M$7,$M$8)</f>
        <v>1.6593122458745928E-3</v>
      </c>
    </row>
    <row r="3572" spans="6:7" x14ac:dyDescent="0.25">
      <c r="F3572">
        <v>3569</v>
      </c>
      <c r="G3572">
        <f ca="1">_xlfn.NORM.INV(RAND(),$M$7,$M$8)</f>
        <v>4.8462163897774878E-2</v>
      </c>
    </row>
    <row r="3573" spans="6:7" x14ac:dyDescent="0.25">
      <c r="F3573">
        <v>3570</v>
      </c>
      <c r="G3573">
        <f ca="1">_xlfn.NORM.INV(RAND(),$M$7,$M$8)</f>
        <v>-4.5941260535822946E-2</v>
      </c>
    </row>
    <row r="3574" spans="6:7" x14ac:dyDescent="0.25">
      <c r="F3574">
        <v>3571</v>
      </c>
      <c r="G3574">
        <f ca="1">_xlfn.NORM.INV(RAND(),$M$7,$M$8)</f>
        <v>1.0101895031035132E-2</v>
      </c>
    </row>
    <row r="3575" spans="6:7" x14ac:dyDescent="0.25">
      <c r="F3575">
        <v>3572</v>
      </c>
      <c r="G3575">
        <f ca="1">_xlfn.NORM.INV(RAND(),$M$7,$M$8)</f>
        <v>2.1443554546993074E-4</v>
      </c>
    </row>
    <row r="3576" spans="6:7" x14ac:dyDescent="0.25">
      <c r="F3576">
        <v>3573</v>
      </c>
      <c r="G3576">
        <f ca="1">_xlfn.NORM.INV(RAND(),$M$7,$M$8)</f>
        <v>-4.9088148167553712E-2</v>
      </c>
    </row>
    <row r="3577" spans="6:7" x14ac:dyDescent="0.25">
      <c r="F3577">
        <v>3574</v>
      </c>
      <c r="G3577">
        <f ca="1">_xlfn.NORM.INV(RAND(),$M$7,$M$8)</f>
        <v>-2.7500423330783213E-2</v>
      </c>
    </row>
    <row r="3578" spans="6:7" x14ac:dyDescent="0.25">
      <c r="F3578">
        <v>3575</v>
      </c>
      <c r="G3578">
        <f ca="1">_xlfn.NORM.INV(RAND(),$M$7,$M$8)</f>
        <v>1.3264220449526265E-2</v>
      </c>
    </row>
    <row r="3579" spans="6:7" x14ac:dyDescent="0.25">
      <c r="F3579">
        <v>3576</v>
      </c>
      <c r="G3579">
        <f ca="1">_xlfn.NORM.INV(RAND(),$M$7,$M$8)</f>
        <v>-5.4737702267251016E-3</v>
      </c>
    </row>
    <row r="3580" spans="6:7" x14ac:dyDescent="0.25">
      <c r="F3580">
        <v>3577</v>
      </c>
      <c r="G3580">
        <f ca="1">_xlfn.NORM.INV(RAND(),$M$7,$M$8)</f>
        <v>-3.6316899463354521E-2</v>
      </c>
    </row>
    <row r="3581" spans="6:7" x14ac:dyDescent="0.25">
      <c r="F3581">
        <v>3578</v>
      </c>
      <c r="G3581">
        <f ca="1">_xlfn.NORM.INV(RAND(),$M$7,$M$8)</f>
        <v>1.2087388146035272E-2</v>
      </c>
    </row>
    <row r="3582" spans="6:7" x14ac:dyDescent="0.25">
      <c r="F3582">
        <v>3579</v>
      </c>
      <c r="G3582">
        <f ca="1">_xlfn.NORM.INV(RAND(),$M$7,$M$8)</f>
        <v>2.5634705148234224E-2</v>
      </c>
    </row>
    <row r="3583" spans="6:7" x14ac:dyDescent="0.25">
      <c r="F3583">
        <v>3580</v>
      </c>
      <c r="G3583">
        <f ca="1">_xlfn.NORM.INV(RAND(),$M$7,$M$8)</f>
        <v>2.7415971509456263E-2</v>
      </c>
    </row>
    <row r="3584" spans="6:7" x14ac:dyDescent="0.25">
      <c r="F3584">
        <v>3581</v>
      </c>
      <c r="G3584">
        <f ca="1">_xlfn.NORM.INV(RAND(),$M$7,$M$8)</f>
        <v>2.0434993243597876E-2</v>
      </c>
    </row>
    <row r="3585" spans="6:7" x14ac:dyDescent="0.25">
      <c r="F3585">
        <v>3582</v>
      </c>
      <c r="G3585">
        <f ca="1">_xlfn.NORM.INV(RAND(),$M$7,$M$8)</f>
        <v>6.5087614095136505E-3</v>
      </c>
    </row>
    <row r="3586" spans="6:7" x14ac:dyDescent="0.25">
      <c r="F3586">
        <v>3583</v>
      </c>
      <c r="G3586">
        <f ca="1">_xlfn.NORM.INV(RAND(),$M$7,$M$8)</f>
        <v>1.3801735679656261E-2</v>
      </c>
    </row>
    <row r="3587" spans="6:7" x14ac:dyDescent="0.25">
      <c r="F3587">
        <v>3584</v>
      </c>
      <c r="G3587">
        <f ca="1">_xlfn.NORM.INV(RAND(),$M$7,$M$8)</f>
        <v>-5.1856781572725275E-2</v>
      </c>
    </row>
    <row r="3588" spans="6:7" x14ac:dyDescent="0.25">
      <c r="F3588">
        <v>3585</v>
      </c>
      <c r="G3588">
        <f ca="1">_xlfn.NORM.INV(RAND(),$M$7,$M$8)</f>
        <v>-1.73799430564082E-3</v>
      </c>
    </row>
    <row r="3589" spans="6:7" x14ac:dyDescent="0.25">
      <c r="F3589">
        <v>3586</v>
      </c>
      <c r="G3589">
        <f ca="1">_xlfn.NORM.INV(RAND(),$M$7,$M$8)</f>
        <v>-4.7827078511631448E-2</v>
      </c>
    </row>
    <row r="3590" spans="6:7" x14ac:dyDescent="0.25">
      <c r="F3590">
        <v>3587</v>
      </c>
      <c r="G3590">
        <f ca="1">_xlfn.NORM.INV(RAND(),$M$7,$M$8)</f>
        <v>9.3072199076367941E-3</v>
      </c>
    </row>
    <row r="3591" spans="6:7" x14ac:dyDescent="0.25">
      <c r="F3591">
        <v>3588</v>
      </c>
      <c r="G3591">
        <f ca="1">_xlfn.NORM.INV(RAND(),$M$7,$M$8)</f>
        <v>-2.6414207186223389E-3</v>
      </c>
    </row>
    <row r="3592" spans="6:7" x14ac:dyDescent="0.25">
      <c r="F3592">
        <v>3589</v>
      </c>
      <c r="G3592">
        <f ca="1">_xlfn.NORM.INV(RAND(),$M$7,$M$8)</f>
        <v>-5.3418560078702625E-3</v>
      </c>
    </row>
    <row r="3593" spans="6:7" x14ac:dyDescent="0.25">
      <c r="F3593">
        <v>3590</v>
      </c>
      <c r="G3593">
        <f ca="1">_xlfn.NORM.INV(RAND(),$M$7,$M$8)</f>
        <v>-1.6331123106827702E-2</v>
      </c>
    </row>
    <row r="3594" spans="6:7" x14ac:dyDescent="0.25">
      <c r="F3594">
        <v>3591</v>
      </c>
      <c r="G3594">
        <f ca="1">_xlfn.NORM.INV(RAND(),$M$7,$M$8)</f>
        <v>1.4219283246908843E-2</v>
      </c>
    </row>
    <row r="3595" spans="6:7" x14ac:dyDescent="0.25">
      <c r="F3595">
        <v>3592</v>
      </c>
      <c r="G3595">
        <f ca="1">_xlfn.NORM.INV(RAND(),$M$7,$M$8)</f>
        <v>2.5065391664932879E-2</v>
      </c>
    </row>
    <row r="3596" spans="6:7" x14ac:dyDescent="0.25">
      <c r="F3596">
        <v>3593</v>
      </c>
      <c r="G3596">
        <f ca="1">_xlfn.NORM.INV(RAND(),$M$7,$M$8)</f>
        <v>2.8547033583622212E-2</v>
      </c>
    </row>
    <row r="3597" spans="6:7" x14ac:dyDescent="0.25">
      <c r="F3597">
        <v>3594</v>
      </c>
      <c r="G3597">
        <f ca="1">_xlfn.NORM.INV(RAND(),$M$7,$M$8)</f>
        <v>-1.7759119622308261E-3</v>
      </c>
    </row>
    <row r="3598" spans="6:7" x14ac:dyDescent="0.25">
      <c r="F3598">
        <v>3595</v>
      </c>
      <c r="G3598">
        <f ca="1">_xlfn.NORM.INV(RAND(),$M$7,$M$8)</f>
        <v>9.9853179249364179E-3</v>
      </c>
    </row>
    <row r="3599" spans="6:7" x14ac:dyDescent="0.25">
      <c r="F3599">
        <v>3596</v>
      </c>
      <c r="G3599">
        <f ca="1">_xlfn.NORM.INV(RAND(),$M$7,$M$8)</f>
        <v>-2.3083200883182206E-2</v>
      </c>
    </row>
    <row r="3600" spans="6:7" x14ac:dyDescent="0.25">
      <c r="F3600">
        <v>3597</v>
      </c>
      <c r="G3600">
        <f ca="1">_xlfn.NORM.INV(RAND(),$M$7,$M$8)</f>
        <v>-2.4467637059299458E-2</v>
      </c>
    </row>
    <row r="3601" spans="6:7" x14ac:dyDescent="0.25">
      <c r="F3601">
        <v>3598</v>
      </c>
      <c r="G3601">
        <f ca="1">_xlfn.NORM.INV(RAND(),$M$7,$M$8)</f>
        <v>2.4114261740494317E-2</v>
      </c>
    </row>
    <row r="3602" spans="6:7" x14ac:dyDescent="0.25">
      <c r="F3602">
        <v>3599</v>
      </c>
      <c r="G3602">
        <f ca="1">_xlfn.NORM.INV(RAND(),$M$7,$M$8)</f>
        <v>-1.2902146092129276E-2</v>
      </c>
    </row>
    <row r="3603" spans="6:7" x14ac:dyDescent="0.25">
      <c r="F3603">
        <v>3600</v>
      </c>
      <c r="G3603">
        <f ca="1">_xlfn.NORM.INV(RAND(),$M$7,$M$8)</f>
        <v>3.0906404237293721E-2</v>
      </c>
    </row>
    <row r="3604" spans="6:7" x14ac:dyDescent="0.25">
      <c r="F3604">
        <v>3601</v>
      </c>
      <c r="G3604">
        <f ca="1">_xlfn.NORM.INV(RAND(),$M$7,$M$8)</f>
        <v>-1.0102070550602507E-2</v>
      </c>
    </row>
    <row r="3605" spans="6:7" x14ac:dyDescent="0.25">
      <c r="F3605">
        <v>3602</v>
      </c>
      <c r="G3605">
        <f ca="1">_xlfn.NORM.INV(RAND(),$M$7,$M$8)</f>
        <v>3.4228666196635352E-2</v>
      </c>
    </row>
    <row r="3606" spans="6:7" x14ac:dyDescent="0.25">
      <c r="F3606">
        <v>3603</v>
      </c>
      <c r="G3606">
        <f ca="1">_xlfn.NORM.INV(RAND(),$M$7,$M$8)</f>
        <v>3.7814551638695834E-2</v>
      </c>
    </row>
    <row r="3607" spans="6:7" x14ac:dyDescent="0.25">
      <c r="F3607">
        <v>3604</v>
      </c>
      <c r="G3607">
        <f ca="1">_xlfn.NORM.INV(RAND(),$M$7,$M$8)</f>
        <v>-3.5514078809866963E-2</v>
      </c>
    </row>
    <row r="3608" spans="6:7" x14ac:dyDescent="0.25">
      <c r="F3608">
        <v>3605</v>
      </c>
      <c r="G3608">
        <f ca="1">_xlfn.NORM.INV(RAND(),$M$7,$M$8)</f>
        <v>3.43881449940951E-2</v>
      </c>
    </row>
    <row r="3609" spans="6:7" x14ac:dyDescent="0.25">
      <c r="F3609">
        <v>3606</v>
      </c>
      <c r="G3609">
        <f ca="1">_xlfn.NORM.INV(RAND(),$M$7,$M$8)</f>
        <v>4.673415308162638E-2</v>
      </c>
    </row>
    <row r="3610" spans="6:7" x14ac:dyDescent="0.25">
      <c r="F3610">
        <v>3607</v>
      </c>
      <c r="G3610">
        <f ca="1">_xlfn.NORM.INV(RAND(),$M$7,$M$8)</f>
        <v>4.1185618613750041E-3</v>
      </c>
    </row>
    <row r="3611" spans="6:7" x14ac:dyDescent="0.25">
      <c r="F3611">
        <v>3608</v>
      </c>
      <c r="G3611">
        <f ca="1">_xlfn.NORM.INV(RAND(),$M$7,$M$8)</f>
        <v>-1.2634817332956707E-2</v>
      </c>
    </row>
    <row r="3612" spans="6:7" x14ac:dyDescent="0.25">
      <c r="F3612">
        <v>3609</v>
      </c>
      <c r="G3612">
        <f ca="1">_xlfn.NORM.INV(RAND(),$M$7,$M$8)</f>
        <v>-1.228598972885216E-2</v>
      </c>
    </row>
    <row r="3613" spans="6:7" x14ac:dyDescent="0.25">
      <c r="F3613">
        <v>3610</v>
      </c>
      <c r="G3613">
        <f ca="1">_xlfn.NORM.INV(RAND(),$M$7,$M$8)</f>
        <v>-1.7427514263762746E-2</v>
      </c>
    </row>
    <row r="3614" spans="6:7" x14ac:dyDescent="0.25">
      <c r="F3614">
        <v>3611</v>
      </c>
      <c r="G3614">
        <f ca="1">_xlfn.NORM.INV(RAND(),$M$7,$M$8)</f>
        <v>-4.5345781370306086E-2</v>
      </c>
    </row>
    <row r="3615" spans="6:7" x14ac:dyDescent="0.25">
      <c r="F3615">
        <v>3612</v>
      </c>
      <c r="G3615">
        <f ca="1">_xlfn.NORM.INV(RAND(),$M$7,$M$8)</f>
        <v>2.2640350256990089E-2</v>
      </c>
    </row>
    <row r="3616" spans="6:7" x14ac:dyDescent="0.25">
      <c r="F3616">
        <v>3613</v>
      </c>
      <c r="G3616">
        <f ca="1">_xlfn.NORM.INV(RAND(),$M$7,$M$8)</f>
        <v>2.7629121236742535E-2</v>
      </c>
    </row>
    <row r="3617" spans="6:7" x14ac:dyDescent="0.25">
      <c r="F3617">
        <v>3614</v>
      </c>
      <c r="G3617">
        <f ca="1">_xlfn.NORM.INV(RAND(),$M$7,$M$8)</f>
        <v>3.513169064114853E-2</v>
      </c>
    </row>
    <row r="3618" spans="6:7" x14ac:dyDescent="0.25">
      <c r="F3618">
        <v>3615</v>
      </c>
      <c r="G3618">
        <f ca="1">_xlfn.NORM.INV(RAND(),$M$7,$M$8)</f>
        <v>-5.9761557314678779E-3</v>
      </c>
    </row>
    <row r="3619" spans="6:7" x14ac:dyDescent="0.25">
      <c r="F3619">
        <v>3616</v>
      </c>
      <c r="G3619">
        <f ca="1">_xlfn.NORM.INV(RAND(),$M$7,$M$8)</f>
        <v>2.4178843854358006E-2</v>
      </c>
    </row>
    <row r="3620" spans="6:7" x14ac:dyDescent="0.25">
      <c r="F3620">
        <v>3617</v>
      </c>
      <c r="G3620">
        <f ca="1">_xlfn.NORM.INV(RAND(),$M$7,$M$8)</f>
        <v>2.848379007719774E-2</v>
      </c>
    </row>
    <row r="3621" spans="6:7" x14ac:dyDescent="0.25">
      <c r="F3621">
        <v>3618</v>
      </c>
      <c r="G3621">
        <f ca="1">_xlfn.NORM.INV(RAND(),$M$7,$M$8)</f>
        <v>1.6337433419014044E-2</v>
      </c>
    </row>
    <row r="3622" spans="6:7" x14ac:dyDescent="0.25">
      <c r="F3622">
        <v>3619</v>
      </c>
      <c r="G3622">
        <f ca="1">_xlfn.NORM.INV(RAND(),$M$7,$M$8)</f>
        <v>8.7816474896044838E-3</v>
      </c>
    </row>
    <row r="3623" spans="6:7" x14ac:dyDescent="0.25">
      <c r="F3623">
        <v>3620</v>
      </c>
      <c r="G3623">
        <f ca="1">_xlfn.NORM.INV(RAND(),$M$7,$M$8)</f>
        <v>7.5204605681563116E-3</v>
      </c>
    </row>
    <row r="3624" spans="6:7" x14ac:dyDescent="0.25">
      <c r="F3624">
        <v>3621</v>
      </c>
      <c r="G3624">
        <f ca="1">_xlfn.NORM.INV(RAND(),$M$7,$M$8)</f>
        <v>-4.4032256961986121E-2</v>
      </c>
    </row>
    <row r="3625" spans="6:7" x14ac:dyDescent="0.25">
      <c r="F3625">
        <v>3622</v>
      </c>
      <c r="G3625">
        <f ca="1">_xlfn.NORM.INV(RAND(),$M$7,$M$8)</f>
        <v>-2.1159892804756424E-2</v>
      </c>
    </row>
    <row r="3626" spans="6:7" x14ac:dyDescent="0.25">
      <c r="F3626">
        <v>3623</v>
      </c>
      <c r="G3626">
        <f ca="1">_xlfn.NORM.INV(RAND(),$M$7,$M$8)</f>
        <v>-1.5839722424816231E-2</v>
      </c>
    </row>
    <row r="3627" spans="6:7" x14ac:dyDescent="0.25">
      <c r="F3627">
        <v>3624</v>
      </c>
      <c r="G3627">
        <f ca="1">_xlfn.NORM.INV(RAND(),$M$7,$M$8)</f>
        <v>1.0549789644431823E-2</v>
      </c>
    </row>
    <row r="3628" spans="6:7" x14ac:dyDescent="0.25">
      <c r="F3628">
        <v>3625</v>
      </c>
      <c r="G3628">
        <f ca="1">_xlfn.NORM.INV(RAND(),$M$7,$M$8)</f>
        <v>-8.0860478082050626E-3</v>
      </c>
    </row>
    <row r="3629" spans="6:7" x14ac:dyDescent="0.25">
      <c r="F3629">
        <v>3626</v>
      </c>
      <c r="G3629">
        <f ca="1">_xlfn.NORM.INV(RAND(),$M$7,$M$8)</f>
        <v>2.3488201794439726E-2</v>
      </c>
    </row>
    <row r="3630" spans="6:7" x14ac:dyDescent="0.25">
      <c r="F3630">
        <v>3627</v>
      </c>
      <c r="G3630">
        <f ca="1">_xlfn.NORM.INV(RAND(),$M$7,$M$8)</f>
        <v>3.1499728539203908E-2</v>
      </c>
    </row>
    <row r="3631" spans="6:7" x14ac:dyDescent="0.25">
      <c r="F3631">
        <v>3628</v>
      </c>
      <c r="G3631">
        <f ca="1">_xlfn.NORM.INV(RAND(),$M$7,$M$8)</f>
        <v>2.4310888403529358E-2</v>
      </c>
    </row>
    <row r="3632" spans="6:7" x14ac:dyDescent="0.25">
      <c r="F3632">
        <v>3629</v>
      </c>
      <c r="G3632">
        <f ca="1">_xlfn.NORM.INV(RAND(),$M$7,$M$8)</f>
        <v>3.3005585806434784E-2</v>
      </c>
    </row>
    <row r="3633" spans="6:7" x14ac:dyDescent="0.25">
      <c r="F3633">
        <v>3630</v>
      </c>
      <c r="G3633">
        <f ca="1">_xlfn.NORM.INV(RAND(),$M$7,$M$8)</f>
        <v>-3.2164681546250844E-2</v>
      </c>
    </row>
    <row r="3634" spans="6:7" x14ac:dyDescent="0.25">
      <c r="F3634">
        <v>3631</v>
      </c>
      <c r="G3634">
        <f ca="1">_xlfn.NORM.INV(RAND(),$M$7,$M$8)</f>
        <v>-1.5097493683119176E-2</v>
      </c>
    </row>
    <row r="3635" spans="6:7" x14ac:dyDescent="0.25">
      <c r="F3635">
        <v>3632</v>
      </c>
      <c r="G3635">
        <f ca="1">_xlfn.NORM.INV(RAND(),$M$7,$M$8)</f>
        <v>-2.1185509832495788E-3</v>
      </c>
    </row>
    <row r="3636" spans="6:7" x14ac:dyDescent="0.25">
      <c r="F3636">
        <v>3633</v>
      </c>
      <c r="G3636">
        <f ca="1">_xlfn.NORM.INV(RAND(),$M$7,$M$8)</f>
        <v>1.8588401828352225E-2</v>
      </c>
    </row>
    <row r="3637" spans="6:7" x14ac:dyDescent="0.25">
      <c r="F3637">
        <v>3634</v>
      </c>
      <c r="G3637">
        <f ca="1">_xlfn.NORM.INV(RAND(),$M$7,$M$8)</f>
        <v>1.027346608777821E-2</v>
      </c>
    </row>
    <row r="3638" spans="6:7" x14ac:dyDescent="0.25">
      <c r="F3638">
        <v>3635</v>
      </c>
      <c r="G3638">
        <f ca="1">_xlfn.NORM.INV(RAND(),$M$7,$M$8)</f>
        <v>1.0305341955632784E-2</v>
      </c>
    </row>
    <row r="3639" spans="6:7" x14ac:dyDescent="0.25">
      <c r="F3639">
        <v>3636</v>
      </c>
      <c r="G3639">
        <f ca="1">_xlfn.NORM.INV(RAND(),$M$7,$M$8)</f>
        <v>-9.6828160904150647E-3</v>
      </c>
    </row>
    <row r="3640" spans="6:7" x14ac:dyDescent="0.25">
      <c r="F3640">
        <v>3637</v>
      </c>
      <c r="G3640">
        <f ca="1">_xlfn.NORM.INV(RAND(),$M$7,$M$8)</f>
        <v>-3.7213700065845561E-2</v>
      </c>
    </row>
    <row r="3641" spans="6:7" x14ac:dyDescent="0.25">
      <c r="F3641">
        <v>3638</v>
      </c>
      <c r="G3641">
        <f ca="1">_xlfn.NORM.INV(RAND(),$M$7,$M$8)</f>
        <v>2.143994987469245E-3</v>
      </c>
    </row>
    <row r="3642" spans="6:7" x14ac:dyDescent="0.25">
      <c r="F3642">
        <v>3639</v>
      </c>
      <c r="G3642">
        <f ca="1">_xlfn.NORM.INV(RAND(),$M$7,$M$8)</f>
        <v>4.6392128142615237E-2</v>
      </c>
    </row>
    <row r="3643" spans="6:7" x14ac:dyDescent="0.25">
      <c r="F3643">
        <v>3640</v>
      </c>
      <c r="G3643">
        <f ca="1">_xlfn.NORM.INV(RAND(),$M$7,$M$8)</f>
        <v>-1.1894178208117679E-2</v>
      </c>
    </row>
    <row r="3644" spans="6:7" x14ac:dyDescent="0.25">
      <c r="F3644">
        <v>3641</v>
      </c>
      <c r="G3644">
        <f ca="1">_xlfn.NORM.INV(RAND(),$M$7,$M$8)</f>
        <v>-5.4395861607858184E-3</v>
      </c>
    </row>
    <row r="3645" spans="6:7" x14ac:dyDescent="0.25">
      <c r="F3645">
        <v>3642</v>
      </c>
      <c r="G3645">
        <f ca="1">_xlfn.NORM.INV(RAND(),$M$7,$M$8)</f>
        <v>1.5108215613329989E-2</v>
      </c>
    </row>
    <row r="3646" spans="6:7" x14ac:dyDescent="0.25">
      <c r="F3646">
        <v>3643</v>
      </c>
      <c r="G3646">
        <f ca="1">_xlfn.NORM.INV(RAND(),$M$7,$M$8)</f>
        <v>-1.3621869709175836E-2</v>
      </c>
    </row>
    <row r="3647" spans="6:7" x14ac:dyDescent="0.25">
      <c r="F3647">
        <v>3644</v>
      </c>
      <c r="G3647">
        <f ca="1">_xlfn.NORM.INV(RAND(),$M$7,$M$8)</f>
        <v>6.8322287466628558E-3</v>
      </c>
    </row>
    <row r="3648" spans="6:7" x14ac:dyDescent="0.25">
      <c r="F3648">
        <v>3645</v>
      </c>
      <c r="G3648">
        <f ca="1">_xlfn.NORM.INV(RAND(),$M$7,$M$8)</f>
        <v>-2.16759789753985E-2</v>
      </c>
    </row>
    <row r="3649" spans="6:7" x14ac:dyDescent="0.25">
      <c r="F3649">
        <v>3646</v>
      </c>
      <c r="G3649">
        <f ca="1">_xlfn.NORM.INV(RAND(),$M$7,$M$8)</f>
        <v>4.0688957933689818E-2</v>
      </c>
    </row>
    <row r="3650" spans="6:7" x14ac:dyDescent="0.25">
      <c r="F3650">
        <v>3647</v>
      </c>
      <c r="G3650">
        <f ca="1">_xlfn.NORM.INV(RAND(),$M$7,$M$8)</f>
        <v>-2.3007681511890882E-2</v>
      </c>
    </row>
    <row r="3651" spans="6:7" x14ac:dyDescent="0.25">
      <c r="F3651">
        <v>3648</v>
      </c>
      <c r="G3651">
        <f ca="1">_xlfn.NORM.INV(RAND(),$M$7,$M$8)</f>
        <v>-2.9625775057818639E-2</v>
      </c>
    </row>
    <row r="3652" spans="6:7" x14ac:dyDescent="0.25">
      <c r="F3652">
        <v>3649</v>
      </c>
      <c r="G3652">
        <f ca="1">_xlfn.NORM.INV(RAND(),$M$7,$M$8)</f>
        <v>-2.2497477793894893E-2</v>
      </c>
    </row>
    <row r="3653" spans="6:7" x14ac:dyDescent="0.25">
      <c r="F3653">
        <v>3650</v>
      </c>
      <c r="G3653">
        <f ca="1">_xlfn.NORM.INV(RAND(),$M$7,$M$8)</f>
        <v>2.1697452669756302E-2</v>
      </c>
    </row>
    <row r="3654" spans="6:7" x14ac:dyDescent="0.25">
      <c r="F3654">
        <v>3651</v>
      </c>
      <c r="G3654">
        <f ca="1">_xlfn.NORM.INV(RAND(),$M$7,$M$8)</f>
        <v>1.9090184768484935E-2</v>
      </c>
    </row>
    <row r="3655" spans="6:7" x14ac:dyDescent="0.25">
      <c r="F3655">
        <v>3652</v>
      </c>
      <c r="G3655">
        <f ca="1">_xlfn.NORM.INV(RAND(),$M$7,$M$8)</f>
        <v>2.9088385960453877E-2</v>
      </c>
    </row>
    <row r="3656" spans="6:7" x14ac:dyDescent="0.25">
      <c r="F3656">
        <v>3653</v>
      </c>
      <c r="G3656">
        <f ca="1">_xlfn.NORM.INV(RAND(),$M$7,$M$8)</f>
        <v>6.2153283780994495E-2</v>
      </c>
    </row>
    <row r="3657" spans="6:7" x14ac:dyDescent="0.25">
      <c r="F3657">
        <v>3654</v>
      </c>
      <c r="G3657">
        <f ca="1">_xlfn.NORM.INV(RAND(),$M$7,$M$8)</f>
        <v>-3.3761322784261381E-2</v>
      </c>
    </row>
    <row r="3658" spans="6:7" x14ac:dyDescent="0.25">
      <c r="F3658">
        <v>3655</v>
      </c>
      <c r="G3658">
        <f ca="1">_xlfn.NORM.INV(RAND(),$M$7,$M$8)</f>
        <v>8.2863135580384176E-3</v>
      </c>
    </row>
    <row r="3659" spans="6:7" x14ac:dyDescent="0.25">
      <c r="F3659">
        <v>3656</v>
      </c>
      <c r="G3659">
        <f ca="1">_xlfn.NORM.INV(RAND(),$M$7,$M$8)</f>
        <v>2.1621750632338791E-2</v>
      </c>
    </row>
    <row r="3660" spans="6:7" x14ac:dyDescent="0.25">
      <c r="F3660">
        <v>3657</v>
      </c>
      <c r="G3660">
        <f ca="1">_xlfn.NORM.INV(RAND(),$M$7,$M$8)</f>
        <v>-4.8785004836261046E-2</v>
      </c>
    </row>
    <row r="3661" spans="6:7" x14ac:dyDescent="0.25">
      <c r="F3661">
        <v>3658</v>
      </c>
      <c r="G3661">
        <f ca="1">_xlfn.NORM.INV(RAND(),$M$7,$M$8)</f>
        <v>1.7487018824368767E-3</v>
      </c>
    </row>
    <row r="3662" spans="6:7" x14ac:dyDescent="0.25">
      <c r="F3662">
        <v>3659</v>
      </c>
      <c r="G3662">
        <f ca="1">_xlfn.NORM.INV(RAND(),$M$7,$M$8)</f>
        <v>-3.4084072077677094E-2</v>
      </c>
    </row>
    <row r="3663" spans="6:7" x14ac:dyDescent="0.25">
      <c r="F3663">
        <v>3660</v>
      </c>
      <c r="G3663">
        <f ca="1">_xlfn.NORM.INV(RAND(),$M$7,$M$8)</f>
        <v>-1.0903221879447018E-2</v>
      </c>
    </row>
    <row r="3664" spans="6:7" x14ac:dyDescent="0.25">
      <c r="F3664">
        <v>3661</v>
      </c>
      <c r="G3664">
        <f ca="1">_xlfn.NORM.INV(RAND(),$M$7,$M$8)</f>
        <v>-7.8753567397354535E-3</v>
      </c>
    </row>
    <row r="3665" spans="6:7" x14ac:dyDescent="0.25">
      <c r="F3665">
        <v>3662</v>
      </c>
      <c r="G3665">
        <f ca="1">_xlfn.NORM.INV(RAND(),$M$7,$M$8)</f>
        <v>-2.3956341831835641E-2</v>
      </c>
    </row>
    <row r="3666" spans="6:7" x14ac:dyDescent="0.25">
      <c r="F3666">
        <v>3663</v>
      </c>
      <c r="G3666">
        <f ca="1">_xlfn.NORM.INV(RAND(),$M$7,$M$8)</f>
        <v>1.4099454266927202E-2</v>
      </c>
    </row>
    <row r="3667" spans="6:7" x14ac:dyDescent="0.25">
      <c r="F3667">
        <v>3664</v>
      </c>
      <c r="G3667">
        <f ca="1">_xlfn.NORM.INV(RAND(),$M$7,$M$8)</f>
        <v>-2.3967634271961708E-2</v>
      </c>
    </row>
    <row r="3668" spans="6:7" x14ac:dyDescent="0.25">
      <c r="F3668">
        <v>3665</v>
      </c>
      <c r="G3668">
        <f ca="1">_xlfn.NORM.INV(RAND(),$M$7,$M$8)</f>
        <v>-3.1182961685347354E-2</v>
      </c>
    </row>
    <row r="3669" spans="6:7" x14ac:dyDescent="0.25">
      <c r="F3669">
        <v>3666</v>
      </c>
      <c r="G3669">
        <f ca="1">_xlfn.NORM.INV(RAND(),$M$7,$M$8)</f>
        <v>-2.457835837393809E-3</v>
      </c>
    </row>
    <row r="3670" spans="6:7" x14ac:dyDescent="0.25">
      <c r="F3670">
        <v>3667</v>
      </c>
      <c r="G3670">
        <f ca="1">_xlfn.NORM.INV(RAND(),$M$7,$M$8)</f>
        <v>-3.3265979642179089E-2</v>
      </c>
    </row>
    <row r="3671" spans="6:7" x14ac:dyDescent="0.25">
      <c r="F3671">
        <v>3668</v>
      </c>
      <c r="G3671">
        <f ca="1">_xlfn.NORM.INV(RAND(),$M$7,$M$8)</f>
        <v>-4.3513271575627843E-2</v>
      </c>
    </row>
    <row r="3672" spans="6:7" x14ac:dyDescent="0.25">
      <c r="F3672">
        <v>3669</v>
      </c>
      <c r="G3672">
        <f ca="1">_xlfn.NORM.INV(RAND(),$M$7,$M$8)</f>
        <v>1.7068242719715139E-2</v>
      </c>
    </row>
    <row r="3673" spans="6:7" x14ac:dyDescent="0.25">
      <c r="F3673">
        <v>3670</v>
      </c>
      <c r="G3673">
        <f ca="1">_xlfn.NORM.INV(RAND(),$M$7,$M$8)</f>
        <v>3.8249912922031705E-2</v>
      </c>
    </row>
    <row r="3674" spans="6:7" x14ac:dyDescent="0.25">
      <c r="F3674">
        <v>3671</v>
      </c>
      <c r="G3674">
        <f ca="1">_xlfn.NORM.INV(RAND(),$M$7,$M$8)</f>
        <v>2.6089156848179244E-2</v>
      </c>
    </row>
    <row r="3675" spans="6:7" x14ac:dyDescent="0.25">
      <c r="F3675">
        <v>3672</v>
      </c>
      <c r="G3675">
        <f ca="1">_xlfn.NORM.INV(RAND(),$M$7,$M$8)</f>
        <v>-2.8231381691460201E-2</v>
      </c>
    </row>
    <row r="3676" spans="6:7" x14ac:dyDescent="0.25">
      <c r="F3676">
        <v>3673</v>
      </c>
      <c r="G3676">
        <f ca="1">_xlfn.NORM.INV(RAND(),$M$7,$M$8)</f>
        <v>2.0397149062673311E-2</v>
      </c>
    </row>
    <row r="3677" spans="6:7" x14ac:dyDescent="0.25">
      <c r="F3677">
        <v>3674</v>
      </c>
      <c r="G3677">
        <f ca="1">_xlfn.NORM.INV(RAND(),$M$7,$M$8)</f>
        <v>2.8763742502490561E-2</v>
      </c>
    </row>
    <row r="3678" spans="6:7" x14ac:dyDescent="0.25">
      <c r="F3678">
        <v>3675</v>
      </c>
      <c r="G3678">
        <f ca="1">_xlfn.NORM.INV(RAND(),$M$7,$M$8)</f>
        <v>1.3956531013535814E-2</v>
      </c>
    </row>
    <row r="3679" spans="6:7" x14ac:dyDescent="0.25">
      <c r="F3679">
        <v>3676</v>
      </c>
      <c r="G3679">
        <f ca="1">_xlfn.NORM.INV(RAND(),$M$7,$M$8)</f>
        <v>-1.7074720741738634E-2</v>
      </c>
    </row>
    <row r="3680" spans="6:7" x14ac:dyDescent="0.25">
      <c r="F3680">
        <v>3677</v>
      </c>
      <c r="G3680">
        <f ca="1">_xlfn.NORM.INV(RAND(),$M$7,$M$8)</f>
        <v>2.7885041477301531E-2</v>
      </c>
    </row>
    <row r="3681" spans="6:7" x14ac:dyDescent="0.25">
      <c r="F3681">
        <v>3678</v>
      </c>
      <c r="G3681">
        <f ca="1">_xlfn.NORM.INV(RAND(),$M$7,$M$8)</f>
        <v>2.2974160282017628E-2</v>
      </c>
    </row>
    <row r="3682" spans="6:7" x14ac:dyDescent="0.25">
      <c r="F3682">
        <v>3679</v>
      </c>
      <c r="G3682">
        <f ca="1">_xlfn.NORM.INV(RAND(),$M$7,$M$8)</f>
        <v>4.5225222611119135E-3</v>
      </c>
    </row>
    <row r="3683" spans="6:7" x14ac:dyDescent="0.25">
      <c r="F3683">
        <v>3680</v>
      </c>
      <c r="G3683">
        <f ca="1">_xlfn.NORM.INV(RAND(),$M$7,$M$8)</f>
        <v>-1.6276769969963072E-2</v>
      </c>
    </row>
    <row r="3684" spans="6:7" x14ac:dyDescent="0.25">
      <c r="F3684">
        <v>3681</v>
      </c>
      <c r="G3684">
        <f ca="1">_xlfn.NORM.INV(RAND(),$M$7,$M$8)</f>
        <v>3.49307161050623E-2</v>
      </c>
    </row>
    <row r="3685" spans="6:7" x14ac:dyDescent="0.25">
      <c r="F3685">
        <v>3682</v>
      </c>
      <c r="G3685">
        <f ca="1">_xlfn.NORM.INV(RAND(),$M$7,$M$8)</f>
        <v>1.6930549879611553E-2</v>
      </c>
    </row>
    <row r="3686" spans="6:7" x14ac:dyDescent="0.25">
      <c r="F3686">
        <v>3683</v>
      </c>
      <c r="G3686">
        <f ca="1">_xlfn.NORM.INV(RAND(),$M$7,$M$8)</f>
        <v>-3.3270554917102749E-2</v>
      </c>
    </row>
    <row r="3687" spans="6:7" x14ac:dyDescent="0.25">
      <c r="F3687">
        <v>3684</v>
      </c>
      <c r="G3687">
        <f ca="1">_xlfn.NORM.INV(RAND(),$M$7,$M$8)</f>
        <v>-3.6486708069676244E-2</v>
      </c>
    </row>
    <row r="3688" spans="6:7" x14ac:dyDescent="0.25">
      <c r="F3688">
        <v>3685</v>
      </c>
      <c r="G3688">
        <f ca="1">_xlfn.NORM.INV(RAND(),$M$7,$M$8)</f>
        <v>-7.7311768181589236E-3</v>
      </c>
    </row>
    <row r="3689" spans="6:7" x14ac:dyDescent="0.25">
      <c r="F3689">
        <v>3686</v>
      </c>
      <c r="G3689">
        <f ca="1">_xlfn.NORM.INV(RAND(),$M$7,$M$8)</f>
        <v>-3.5738462683077579E-2</v>
      </c>
    </row>
    <row r="3690" spans="6:7" x14ac:dyDescent="0.25">
      <c r="F3690">
        <v>3687</v>
      </c>
      <c r="G3690">
        <f ca="1">_xlfn.NORM.INV(RAND(),$M$7,$M$8)</f>
        <v>1.7762473317224955E-2</v>
      </c>
    </row>
    <row r="3691" spans="6:7" x14ac:dyDescent="0.25">
      <c r="F3691">
        <v>3688</v>
      </c>
      <c r="G3691">
        <f ca="1">_xlfn.NORM.INV(RAND(),$M$7,$M$8)</f>
        <v>-3.5159203943902213E-2</v>
      </c>
    </row>
    <row r="3692" spans="6:7" x14ac:dyDescent="0.25">
      <c r="F3692">
        <v>3689</v>
      </c>
      <c r="G3692">
        <f ca="1">_xlfn.NORM.INV(RAND(),$M$7,$M$8)</f>
        <v>-8.8372713447091803E-3</v>
      </c>
    </row>
    <row r="3693" spans="6:7" x14ac:dyDescent="0.25">
      <c r="F3693">
        <v>3690</v>
      </c>
      <c r="G3693">
        <f ca="1">_xlfn.NORM.INV(RAND(),$M$7,$M$8)</f>
        <v>-1.2889039516099579E-2</v>
      </c>
    </row>
    <row r="3694" spans="6:7" x14ac:dyDescent="0.25">
      <c r="F3694">
        <v>3691</v>
      </c>
      <c r="G3694">
        <f ca="1">_xlfn.NORM.INV(RAND(),$M$7,$M$8)</f>
        <v>1.4734824869886476E-2</v>
      </c>
    </row>
    <row r="3695" spans="6:7" x14ac:dyDescent="0.25">
      <c r="F3695">
        <v>3692</v>
      </c>
      <c r="G3695">
        <f ca="1">_xlfn.NORM.INV(RAND(),$M$7,$M$8)</f>
        <v>-1.0211776197671328E-2</v>
      </c>
    </row>
    <row r="3696" spans="6:7" x14ac:dyDescent="0.25">
      <c r="F3696">
        <v>3693</v>
      </c>
      <c r="G3696">
        <f ca="1">_xlfn.NORM.INV(RAND(),$M$7,$M$8)</f>
        <v>-4.6530030758220452E-2</v>
      </c>
    </row>
    <row r="3697" spans="6:7" x14ac:dyDescent="0.25">
      <c r="F3697">
        <v>3694</v>
      </c>
      <c r="G3697">
        <f ca="1">_xlfn.NORM.INV(RAND(),$M$7,$M$8)</f>
        <v>-2.415370782493465E-3</v>
      </c>
    </row>
    <row r="3698" spans="6:7" x14ac:dyDescent="0.25">
      <c r="F3698">
        <v>3695</v>
      </c>
      <c r="G3698">
        <f ca="1">_xlfn.NORM.INV(RAND(),$M$7,$M$8)</f>
        <v>-1.177971724097507E-2</v>
      </c>
    </row>
    <row r="3699" spans="6:7" x14ac:dyDescent="0.25">
      <c r="F3699">
        <v>3696</v>
      </c>
      <c r="G3699">
        <f ca="1">_xlfn.NORM.INV(RAND(),$M$7,$M$8)</f>
        <v>-2.3079507891057054E-2</v>
      </c>
    </row>
    <row r="3700" spans="6:7" x14ac:dyDescent="0.25">
      <c r="F3700">
        <v>3697</v>
      </c>
      <c r="G3700">
        <f ca="1">_xlfn.NORM.INV(RAND(),$M$7,$M$8)</f>
        <v>1.9471128357971487E-2</v>
      </c>
    </row>
    <row r="3701" spans="6:7" x14ac:dyDescent="0.25">
      <c r="F3701">
        <v>3698</v>
      </c>
      <c r="G3701">
        <f ca="1">_xlfn.NORM.INV(RAND(),$M$7,$M$8)</f>
        <v>7.4397606279398738E-4</v>
      </c>
    </row>
    <row r="3702" spans="6:7" x14ac:dyDescent="0.25">
      <c r="F3702">
        <v>3699</v>
      </c>
      <c r="G3702">
        <f ca="1">_xlfn.NORM.INV(RAND(),$M$7,$M$8)</f>
        <v>-1.5653374296155549E-2</v>
      </c>
    </row>
    <row r="3703" spans="6:7" x14ac:dyDescent="0.25">
      <c r="F3703">
        <v>3700</v>
      </c>
      <c r="G3703">
        <f ca="1">_xlfn.NORM.INV(RAND(),$M$7,$M$8)</f>
        <v>-2.6231103876753023E-2</v>
      </c>
    </row>
    <row r="3704" spans="6:7" x14ac:dyDescent="0.25">
      <c r="F3704">
        <v>3701</v>
      </c>
      <c r="G3704">
        <f ca="1">_xlfn.NORM.INV(RAND(),$M$7,$M$8)</f>
        <v>3.525986013563203E-2</v>
      </c>
    </row>
    <row r="3705" spans="6:7" x14ac:dyDescent="0.25">
      <c r="F3705">
        <v>3702</v>
      </c>
      <c r="G3705">
        <f ca="1">_xlfn.NORM.INV(RAND(),$M$7,$M$8)</f>
        <v>3.2071010232298448E-2</v>
      </c>
    </row>
    <row r="3706" spans="6:7" x14ac:dyDescent="0.25">
      <c r="F3706">
        <v>3703</v>
      </c>
      <c r="G3706">
        <f ca="1">_xlfn.NORM.INV(RAND(),$M$7,$M$8)</f>
        <v>-2.0429210091006157E-3</v>
      </c>
    </row>
    <row r="3707" spans="6:7" x14ac:dyDescent="0.25">
      <c r="F3707">
        <v>3704</v>
      </c>
      <c r="G3707">
        <f ca="1">_xlfn.NORM.INV(RAND(),$M$7,$M$8)</f>
        <v>-1.6496212432327604E-2</v>
      </c>
    </row>
    <row r="3708" spans="6:7" x14ac:dyDescent="0.25">
      <c r="F3708">
        <v>3705</v>
      </c>
      <c r="G3708">
        <f ca="1">_xlfn.NORM.INV(RAND(),$M$7,$M$8)</f>
        <v>-3.7905395581175082E-2</v>
      </c>
    </row>
    <row r="3709" spans="6:7" x14ac:dyDescent="0.25">
      <c r="F3709">
        <v>3706</v>
      </c>
      <c r="G3709">
        <f ca="1">_xlfn.NORM.INV(RAND(),$M$7,$M$8)</f>
        <v>-8.7511066327171441E-3</v>
      </c>
    </row>
    <row r="3710" spans="6:7" x14ac:dyDescent="0.25">
      <c r="F3710">
        <v>3707</v>
      </c>
      <c r="G3710">
        <f ca="1">_xlfn.NORM.INV(RAND(),$M$7,$M$8)</f>
        <v>1.1220024504375863E-2</v>
      </c>
    </row>
    <row r="3711" spans="6:7" x14ac:dyDescent="0.25">
      <c r="F3711">
        <v>3708</v>
      </c>
      <c r="G3711">
        <f ca="1">_xlfn.NORM.INV(RAND(),$M$7,$M$8)</f>
        <v>-2.1187841869385982E-2</v>
      </c>
    </row>
    <row r="3712" spans="6:7" x14ac:dyDescent="0.25">
      <c r="F3712">
        <v>3709</v>
      </c>
      <c r="G3712">
        <f ca="1">_xlfn.NORM.INV(RAND(),$M$7,$M$8)</f>
        <v>2.1753743666322378E-2</v>
      </c>
    </row>
    <row r="3713" spans="6:7" x14ac:dyDescent="0.25">
      <c r="F3713">
        <v>3710</v>
      </c>
      <c r="G3713">
        <f ca="1">_xlfn.NORM.INV(RAND(),$M$7,$M$8)</f>
        <v>-3.825997174616403E-2</v>
      </c>
    </row>
    <row r="3714" spans="6:7" x14ac:dyDescent="0.25">
      <c r="F3714">
        <v>3711</v>
      </c>
      <c r="G3714">
        <f ca="1">_xlfn.NORM.INV(RAND(),$M$7,$M$8)</f>
        <v>6.280182934606842E-3</v>
      </c>
    </row>
    <row r="3715" spans="6:7" x14ac:dyDescent="0.25">
      <c r="F3715">
        <v>3712</v>
      </c>
      <c r="G3715">
        <f ca="1">_xlfn.NORM.INV(RAND(),$M$7,$M$8)</f>
        <v>-1.3577116412040723E-2</v>
      </c>
    </row>
    <row r="3716" spans="6:7" x14ac:dyDescent="0.25">
      <c r="F3716">
        <v>3713</v>
      </c>
      <c r="G3716">
        <f ca="1">_xlfn.NORM.INV(RAND(),$M$7,$M$8)</f>
        <v>-7.673032127109309E-3</v>
      </c>
    </row>
    <row r="3717" spans="6:7" x14ac:dyDescent="0.25">
      <c r="F3717">
        <v>3714</v>
      </c>
      <c r="G3717">
        <f ca="1">_xlfn.NORM.INV(RAND(),$M$7,$M$8)</f>
        <v>1.1026118400291636E-2</v>
      </c>
    </row>
    <row r="3718" spans="6:7" x14ac:dyDescent="0.25">
      <c r="F3718">
        <v>3715</v>
      </c>
      <c r="G3718">
        <f ca="1">_xlfn.NORM.INV(RAND(),$M$7,$M$8)</f>
        <v>7.7757841365328761E-3</v>
      </c>
    </row>
    <row r="3719" spans="6:7" x14ac:dyDescent="0.25">
      <c r="F3719">
        <v>3716</v>
      </c>
      <c r="G3719">
        <f ca="1">_xlfn.NORM.INV(RAND(),$M$7,$M$8)</f>
        <v>1.1468385913570817E-2</v>
      </c>
    </row>
    <row r="3720" spans="6:7" x14ac:dyDescent="0.25">
      <c r="F3720">
        <v>3717</v>
      </c>
      <c r="G3720">
        <f ca="1">_xlfn.NORM.INV(RAND(),$M$7,$M$8)</f>
        <v>3.445386410872029E-2</v>
      </c>
    </row>
    <row r="3721" spans="6:7" x14ac:dyDescent="0.25">
      <c r="F3721">
        <v>3718</v>
      </c>
      <c r="G3721">
        <f ca="1">_xlfn.NORM.INV(RAND(),$M$7,$M$8)</f>
        <v>-2.4336623539283373E-2</v>
      </c>
    </row>
    <row r="3722" spans="6:7" x14ac:dyDescent="0.25">
      <c r="F3722">
        <v>3719</v>
      </c>
      <c r="G3722">
        <f ca="1">_xlfn.NORM.INV(RAND(),$M$7,$M$8)</f>
        <v>-9.7201674596373491E-3</v>
      </c>
    </row>
    <row r="3723" spans="6:7" x14ac:dyDescent="0.25">
      <c r="F3723">
        <v>3720</v>
      </c>
      <c r="G3723">
        <f ca="1">_xlfn.NORM.INV(RAND(),$M$7,$M$8)</f>
        <v>6.5382557245137248E-3</v>
      </c>
    </row>
    <row r="3724" spans="6:7" x14ac:dyDescent="0.25">
      <c r="F3724">
        <v>3721</v>
      </c>
      <c r="G3724">
        <f ca="1">_xlfn.NORM.INV(RAND(),$M$7,$M$8)</f>
        <v>-6.1913616279213619E-3</v>
      </c>
    </row>
    <row r="3725" spans="6:7" x14ac:dyDescent="0.25">
      <c r="F3725">
        <v>3722</v>
      </c>
      <c r="G3725">
        <f ca="1">_xlfn.NORM.INV(RAND(),$M$7,$M$8)</f>
        <v>3.1748104938314069E-3</v>
      </c>
    </row>
    <row r="3726" spans="6:7" x14ac:dyDescent="0.25">
      <c r="F3726">
        <v>3723</v>
      </c>
      <c r="G3726">
        <f ca="1">_xlfn.NORM.INV(RAND(),$M$7,$M$8)</f>
        <v>1.6650417445971202E-2</v>
      </c>
    </row>
    <row r="3727" spans="6:7" x14ac:dyDescent="0.25">
      <c r="F3727">
        <v>3724</v>
      </c>
      <c r="G3727">
        <f ca="1">_xlfn.NORM.INV(RAND(),$M$7,$M$8)</f>
        <v>-6.968545150441173E-3</v>
      </c>
    </row>
    <row r="3728" spans="6:7" x14ac:dyDescent="0.25">
      <c r="F3728">
        <v>3725</v>
      </c>
      <c r="G3728">
        <f ca="1">_xlfn.NORM.INV(RAND(),$M$7,$M$8)</f>
        <v>-1.1687511892408138E-2</v>
      </c>
    </row>
    <row r="3729" spans="6:7" x14ac:dyDescent="0.25">
      <c r="F3729">
        <v>3726</v>
      </c>
      <c r="G3729">
        <f ca="1">_xlfn.NORM.INV(RAND(),$M$7,$M$8)</f>
        <v>2.1237761330500753E-2</v>
      </c>
    </row>
    <row r="3730" spans="6:7" x14ac:dyDescent="0.25">
      <c r="F3730">
        <v>3727</v>
      </c>
      <c r="G3730">
        <f ca="1">_xlfn.NORM.INV(RAND(),$M$7,$M$8)</f>
        <v>1.1245993009458981E-2</v>
      </c>
    </row>
    <row r="3731" spans="6:7" x14ac:dyDescent="0.25">
      <c r="F3731">
        <v>3728</v>
      </c>
      <c r="G3731">
        <f ca="1">_xlfn.NORM.INV(RAND(),$M$7,$M$8)</f>
        <v>-9.5555060615629562E-3</v>
      </c>
    </row>
    <row r="3732" spans="6:7" x14ac:dyDescent="0.25">
      <c r="F3732">
        <v>3729</v>
      </c>
      <c r="G3732">
        <f ca="1">_xlfn.NORM.INV(RAND(),$M$7,$M$8)</f>
        <v>1.1239083873197902E-2</v>
      </c>
    </row>
    <row r="3733" spans="6:7" x14ac:dyDescent="0.25">
      <c r="F3733">
        <v>3730</v>
      </c>
      <c r="G3733">
        <f ca="1">_xlfn.NORM.INV(RAND(),$M$7,$M$8)</f>
        <v>-3.7500029651884613E-2</v>
      </c>
    </row>
    <row r="3734" spans="6:7" x14ac:dyDescent="0.25">
      <c r="F3734">
        <v>3731</v>
      </c>
      <c r="G3734">
        <f ca="1">_xlfn.NORM.INV(RAND(),$M$7,$M$8)</f>
        <v>2.7887431860122634E-2</v>
      </c>
    </row>
    <row r="3735" spans="6:7" x14ac:dyDescent="0.25">
      <c r="F3735">
        <v>3732</v>
      </c>
      <c r="G3735">
        <f ca="1">_xlfn.NORM.INV(RAND(),$M$7,$M$8)</f>
        <v>4.5226141809330597E-3</v>
      </c>
    </row>
    <row r="3736" spans="6:7" x14ac:dyDescent="0.25">
      <c r="F3736">
        <v>3733</v>
      </c>
      <c r="G3736">
        <f ca="1">_xlfn.NORM.INV(RAND(),$M$7,$M$8)</f>
        <v>-2.1340515940317276E-2</v>
      </c>
    </row>
    <row r="3737" spans="6:7" x14ac:dyDescent="0.25">
      <c r="F3737">
        <v>3734</v>
      </c>
      <c r="G3737">
        <f ca="1">_xlfn.NORM.INV(RAND(),$M$7,$M$8)</f>
        <v>1.4879968630583327E-2</v>
      </c>
    </row>
    <row r="3738" spans="6:7" x14ac:dyDescent="0.25">
      <c r="F3738">
        <v>3735</v>
      </c>
      <c r="G3738">
        <f ca="1">_xlfn.NORM.INV(RAND(),$M$7,$M$8)</f>
        <v>2.7284517547849996E-2</v>
      </c>
    </row>
    <row r="3739" spans="6:7" x14ac:dyDescent="0.25">
      <c r="F3739">
        <v>3736</v>
      </c>
      <c r="G3739">
        <f ca="1">_xlfn.NORM.INV(RAND(),$M$7,$M$8)</f>
        <v>2.5227024742210676E-2</v>
      </c>
    </row>
    <row r="3740" spans="6:7" x14ac:dyDescent="0.25">
      <c r="F3740">
        <v>3737</v>
      </c>
      <c r="G3740">
        <f ca="1">_xlfn.NORM.INV(RAND(),$M$7,$M$8)</f>
        <v>4.0665528172444537E-3</v>
      </c>
    </row>
    <row r="3741" spans="6:7" x14ac:dyDescent="0.25">
      <c r="F3741">
        <v>3738</v>
      </c>
      <c r="G3741">
        <f ca="1">_xlfn.NORM.INV(RAND(),$M$7,$M$8)</f>
        <v>-2.3127499013220209E-2</v>
      </c>
    </row>
    <row r="3742" spans="6:7" x14ac:dyDescent="0.25">
      <c r="F3742">
        <v>3739</v>
      </c>
      <c r="G3742">
        <f ca="1">_xlfn.NORM.INV(RAND(),$M$7,$M$8)</f>
        <v>-2.7227938526837341E-2</v>
      </c>
    </row>
    <row r="3743" spans="6:7" x14ac:dyDescent="0.25">
      <c r="F3743">
        <v>3740</v>
      </c>
      <c r="G3743">
        <f ca="1">_xlfn.NORM.INV(RAND(),$M$7,$M$8)</f>
        <v>5.4741347218874494E-3</v>
      </c>
    </row>
    <row r="3744" spans="6:7" x14ac:dyDescent="0.25">
      <c r="F3744">
        <v>3741</v>
      </c>
      <c r="G3744">
        <f ca="1">_xlfn.NORM.INV(RAND(),$M$7,$M$8)</f>
        <v>3.6921447392787486E-2</v>
      </c>
    </row>
    <row r="3745" spans="6:7" x14ac:dyDescent="0.25">
      <c r="F3745">
        <v>3742</v>
      </c>
      <c r="G3745">
        <f ca="1">_xlfn.NORM.INV(RAND(),$M$7,$M$8)</f>
        <v>2.5942167085885849E-2</v>
      </c>
    </row>
    <row r="3746" spans="6:7" x14ac:dyDescent="0.25">
      <c r="F3746">
        <v>3743</v>
      </c>
      <c r="G3746">
        <f ca="1">_xlfn.NORM.INV(RAND(),$M$7,$M$8)</f>
        <v>-3.1062091419466847E-2</v>
      </c>
    </row>
    <row r="3747" spans="6:7" x14ac:dyDescent="0.25">
      <c r="F3747">
        <v>3744</v>
      </c>
      <c r="G3747">
        <f ca="1">_xlfn.NORM.INV(RAND(),$M$7,$M$8)</f>
        <v>-4.0578290233692204E-3</v>
      </c>
    </row>
    <row r="3748" spans="6:7" x14ac:dyDescent="0.25">
      <c r="F3748">
        <v>3745</v>
      </c>
      <c r="G3748">
        <f ca="1">_xlfn.NORM.INV(RAND(),$M$7,$M$8)</f>
        <v>3.3033161187488412E-2</v>
      </c>
    </row>
    <row r="3749" spans="6:7" x14ac:dyDescent="0.25">
      <c r="F3749">
        <v>3746</v>
      </c>
      <c r="G3749">
        <f ca="1">_xlfn.NORM.INV(RAND(),$M$7,$M$8)</f>
        <v>8.0278994783452226E-3</v>
      </c>
    </row>
    <row r="3750" spans="6:7" x14ac:dyDescent="0.25">
      <c r="F3750">
        <v>3747</v>
      </c>
      <c r="G3750">
        <f ca="1">_xlfn.NORM.INV(RAND(),$M$7,$M$8)</f>
        <v>-1.1259859898972038E-2</v>
      </c>
    </row>
    <row r="3751" spans="6:7" x14ac:dyDescent="0.25">
      <c r="F3751">
        <v>3748</v>
      </c>
      <c r="G3751">
        <f ca="1">_xlfn.NORM.INV(RAND(),$M$7,$M$8)</f>
        <v>4.5543297506121299E-3</v>
      </c>
    </row>
    <row r="3752" spans="6:7" x14ac:dyDescent="0.25">
      <c r="F3752">
        <v>3749</v>
      </c>
      <c r="G3752">
        <f ca="1">_xlfn.NORM.INV(RAND(),$M$7,$M$8)</f>
        <v>1.7310799889174073E-2</v>
      </c>
    </row>
    <row r="3753" spans="6:7" x14ac:dyDescent="0.25">
      <c r="F3753">
        <v>3750</v>
      </c>
      <c r="G3753">
        <f ca="1">_xlfn.NORM.INV(RAND(),$M$7,$M$8)</f>
        <v>2.5920778465749767E-2</v>
      </c>
    </row>
    <row r="3754" spans="6:7" x14ac:dyDescent="0.25">
      <c r="F3754">
        <v>3751</v>
      </c>
      <c r="G3754">
        <f ca="1">_xlfn.NORM.INV(RAND(),$M$7,$M$8)</f>
        <v>1.2515986214131684E-2</v>
      </c>
    </row>
    <row r="3755" spans="6:7" x14ac:dyDescent="0.25">
      <c r="F3755">
        <v>3752</v>
      </c>
      <c r="G3755">
        <f ca="1">_xlfn.NORM.INV(RAND(),$M$7,$M$8)</f>
        <v>-3.753336838990512E-2</v>
      </c>
    </row>
    <row r="3756" spans="6:7" x14ac:dyDescent="0.25">
      <c r="F3756">
        <v>3753</v>
      </c>
      <c r="G3756">
        <f ca="1">_xlfn.NORM.INV(RAND(),$M$7,$M$8)</f>
        <v>3.4730706314031204E-2</v>
      </c>
    </row>
    <row r="3757" spans="6:7" x14ac:dyDescent="0.25">
      <c r="F3757">
        <v>3754</v>
      </c>
      <c r="G3757">
        <f ca="1">_xlfn.NORM.INV(RAND(),$M$7,$M$8)</f>
        <v>3.6012694590211142E-2</v>
      </c>
    </row>
    <row r="3758" spans="6:7" x14ac:dyDescent="0.25">
      <c r="F3758">
        <v>3755</v>
      </c>
      <c r="G3758">
        <f ca="1">_xlfn.NORM.INV(RAND(),$M$7,$M$8)</f>
        <v>-3.0507073564198864E-3</v>
      </c>
    </row>
    <row r="3759" spans="6:7" x14ac:dyDescent="0.25">
      <c r="F3759">
        <v>3756</v>
      </c>
      <c r="G3759">
        <f ca="1">_xlfn.NORM.INV(RAND(),$M$7,$M$8)</f>
        <v>1.415123199464224E-2</v>
      </c>
    </row>
    <row r="3760" spans="6:7" x14ac:dyDescent="0.25">
      <c r="F3760">
        <v>3757</v>
      </c>
      <c r="G3760">
        <f ca="1">_xlfn.NORM.INV(RAND(),$M$7,$M$8)</f>
        <v>-1.619034641886144E-2</v>
      </c>
    </row>
    <row r="3761" spans="6:7" x14ac:dyDescent="0.25">
      <c r="F3761">
        <v>3758</v>
      </c>
      <c r="G3761">
        <f ca="1">_xlfn.NORM.INV(RAND(),$M$7,$M$8)</f>
        <v>-1.7570211511246128E-2</v>
      </c>
    </row>
    <row r="3762" spans="6:7" x14ac:dyDescent="0.25">
      <c r="F3762">
        <v>3759</v>
      </c>
      <c r="G3762">
        <f ca="1">_xlfn.NORM.INV(RAND(),$M$7,$M$8)</f>
        <v>-4.2096304473146051E-2</v>
      </c>
    </row>
    <row r="3763" spans="6:7" x14ac:dyDescent="0.25">
      <c r="F3763">
        <v>3760</v>
      </c>
      <c r="G3763">
        <f ca="1">_xlfn.NORM.INV(RAND(),$M$7,$M$8)</f>
        <v>2.9472023057429939E-2</v>
      </c>
    </row>
    <row r="3764" spans="6:7" x14ac:dyDescent="0.25">
      <c r="F3764">
        <v>3761</v>
      </c>
      <c r="G3764">
        <f ca="1">_xlfn.NORM.INV(RAND(),$M$7,$M$8)</f>
        <v>-2.0653338286900122E-2</v>
      </c>
    </row>
    <row r="3765" spans="6:7" x14ac:dyDescent="0.25">
      <c r="F3765">
        <v>3762</v>
      </c>
      <c r="G3765">
        <f ca="1">_xlfn.NORM.INV(RAND(),$M$7,$M$8)</f>
        <v>-2.4637787034902693E-2</v>
      </c>
    </row>
    <row r="3766" spans="6:7" x14ac:dyDescent="0.25">
      <c r="F3766">
        <v>3763</v>
      </c>
      <c r="G3766">
        <f ca="1">_xlfn.NORM.INV(RAND(),$M$7,$M$8)</f>
        <v>1.2248621816506246E-2</v>
      </c>
    </row>
    <row r="3767" spans="6:7" x14ac:dyDescent="0.25">
      <c r="F3767">
        <v>3764</v>
      </c>
      <c r="G3767">
        <f ca="1">_xlfn.NORM.INV(RAND(),$M$7,$M$8)</f>
        <v>3.1296322640139164E-3</v>
      </c>
    </row>
    <row r="3768" spans="6:7" x14ac:dyDescent="0.25">
      <c r="F3768">
        <v>3765</v>
      </c>
      <c r="G3768">
        <f ca="1">_xlfn.NORM.INV(RAND(),$M$7,$M$8)</f>
        <v>1.5919075877908414E-2</v>
      </c>
    </row>
    <row r="3769" spans="6:7" x14ac:dyDescent="0.25">
      <c r="F3769">
        <v>3766</v>
      </c>
      <c r="G3769">
        <f ca="1">_xlfn.NORM.INV(RAND(),$M$7,$M$8)</f>
        <v>-1.432512599444309E-2</v>
      </c>
    </row>
    <row r="3770" spans="6:7" x14ac:dyDescent="0.25">
      <c r="F3770">
        <v>3767</v>
      </c>
      <c r="G3770">
        <f ca="1">_xlfn.NORM.INV(RAND(),$M$7,$M$8)</f>
        <v>2.1112036846284914E-2</v>
      </c>
    </row>
    <row r="3771" spans="6:7" x14ac:dyDescent="0.25">
      <c r="F3771">
        <v>3768</v>
      </c>
      <c r="G3771">
        <f ca="1">_xlfn.NORM.INV(RAND(),$M$7,$M$8)</f>
        <v>-3.3588042934832823E-3</v>
      </c>
    </row>
    <row r="3772" spans="6:7" x14ac:dyDescent="0.25">
      <c r="F3772">
        <v>3769</v>
      </c>
      <c r="G3772">
        <f ca="1">_xlfn.NORM.INV(RAND(),$M$7,$M$8)</f>
        <v>-2.5678775166952401E-4</v>
      </c>
    </row>
    <row r="3773" spans="6:7" x14ac:dyDescent="0.25">
      <c r="F3773">
        <v>3770</v>
      </c>
      <c r="G3773">
        <f ca="1">_xlfn.NORM.INV(RAND(),$M$7,$M$8)</f>
        <v>-2.4119588443410413E-2</v>
      </c>
    </row>
    <row r="3774" spans="6:7" x14ac:dyDescent="0.25">
      <c r="F3774">
        <v>3771</v>
      </c>
      <c r="G3774">
        <f ca="1">_xlfn.NORM.INV(RAND(),$M$7,$M$8)</f>
        <v>-1.5911150036537376E-2</v>
      </c>
    </row>
    <row r="3775" spans="6:7" x14ac:dyDescent="0.25">
      <c r="F3775">
        <v>3772</v>
      </c>
      <c r="G3775">
        <f ca="1">_xlfn.NORM.INV(RAND(),$M$7,$M$8)</f>
        <v>-2.461429277575071E-2</v>
      </c>
    </row>
    <row r="3776" spans="6:7" x14ac:dyDescent="0.25">
      <c r="F3776">
        <v>3773</v>
      </c>
      <c r="G3776">
        <f ca="1">_xlfn.NORM.INV(RAND(),$M$7,$M$8)</f>
        <v>-2.4351946105321785E-3</v>
      </c>
    </row>
    <row r="3777" spans="6:7" x14ac:dyDescent="0.25">
      <c r="F3777">
        <v>3774</v>
      </c>
      <c r="G3777">
        <f ca="1">_xlfn.NORM.INV(RAND(),$M$7,$M$8)</f>
        <v>2.0043653015862351E-2</v>
      </c>
    </row>
    <row r="3778" spans="6:7" x14ac:dyDescent="0.25">
      <c r="F3778">
        <v>3775</v>
      </c>
      <c r="G3778">
        <f ca="1">_xlfn.NORM.INV(RAND(),$M$7,$M$8)</f>
        <v>-3.1418416056840266E-2</v>
      </c>
    </row>
    <row r="3779" spans="6:7" x14ac:dyDescent="0.25">
      <c r="F3779">
        <v>3776</v>
      </c>
      <c r="G3779">
        <f ca="1">_xlfn.NORM.INV(RAND(),$M$7,$M$8)</f>
        <v>5.2453751524551284E-3</v>
      </c>
    </row>
    <row r="3780" spans="6:7" x14ac:dyDescent="0.25">
      <c r="F3780">
        <v>3777</v>
      </c>
      <c r="G3780">
        <f ca="1">_xlfn.NORM.INV(RAND(),$M$7,$M$8)</f>
        <v>-1.1709799883796449E-2</v>
      </c>
    </row>
    <row r="3781" spans="6:7" x14ac:dyDescent="0.25">
      <c r="F3781">
        <v>3778</v>
      </c>
      <c r="G3781">
        <f ca="1">_xlfn.NORM.INV(RAND(),$M$7,$M$8)</f>
        <v>4.1959423238365878E-2</v>
      </c>
    </row>
    <row r="3782" spans="6:7" x14ac:dyDescent="0.25">
      <c r="F3782">
        <v>3779</v>
      </c>
      <c r="G3782">
        <f ca="1">_xlfn.NORM.INV(RAND(),$M$7,$M$8)</f>
        <v>-5.4588197245014507E-2</v>
      </c>
    </row>
    <row r="3783" spans="6:7" x14ac:dyDescent="0.25">
      <c r="F3783">
        <v>3780</v>
      </c>
      <c r="G3783">
        <f ca="1">_xlfn.NORM.INV(RAND(),$M$7,$M$8)</f>
        <v>-7.0437102200402515E-3</v>
      </c>
    </row>
    <row r="3784" spans="6:7" x14ac:dyDescent="0.25">
      <c r="F3784">
        <v>3781</v>
      </c>
      <c r="G3784">
        <f ca="1">_xlfn.NORM.INV(RAND(),$M$7,$M$8)</f>
        <v>-4.3160876460300743E-2</v>
      </c>
    </row>
    <row r="3785" spans="6:7" x14ac:dyDescent="0.25">
      <c r="F3785">
        <v>3782</v>
      </c>
      <c r="G3785">
        <f ca="1">_xlfn.NORM.INV(RAND(),$M$7,$M$8)</f>
        <v>7.9294483703013004E-3</v>
      </c>
    </row>
    <row r="3786" spans="6:7" x14ac:dyDescent="0.25">
      <c r="F3786">
        <v>3783</v>
      </c>
      <c r="G3786">
        <f ca="1">_xlfn.NORM.INV(RAND(),$M$7,$M$8)</f>
        <v>-2.6050419526104932E-2</v>
      </c>
    </row>
    <row r="3787" spans="6:7" x14ac:dyDescent="0.25">
      <c r="F3787">
        <v>3784</v>
      </c>
      <c r="G3787">
        <f ca="1">_xlfn.NORM.INV(RAND(),$M$7,$M$8)</f>
        <v>-1.1646226615476256E-2</v>
      </c>
    </row>
    <row r="3788" spans="6:7" x14ac:dyDescent="0.25">
      <c r="F3788">
        <v>3785</v>
      </c>
      <c r="G3788">
        <f ca="1">_xlfn.NORM.INV(RAND(),$M$7,$M$8)</f>
        <v>-1.1057701743226874E-2</v>
      </c>
    </row>
    <row r="3789" spans="6:7" x14ac:dyDescent="0.25">
      <c r="F3789">
        <v>3786</v>
      </c>
      <c r="G3789">
        <f ca="1">_xlfn.NORM.INV(RAND(),$M$7,$M$8)</f>
        <v>2.164441742731836E-2</v>
      </c>
    </row>
    <row r="3790" spans="6:7" x14ac:dyDescent="0.25">
      <c r="F3790">
        <v>3787</v>
      </c>
      <c r="G3790">
        <f ca="1">_xlfn.NORM.INV(RAND(),$M$7,$M$8)</f>
        <v>3.7890188499802982E-2</v>
      </c>
    </row>
    <row r="3791" spans="6:7" x14ac:dyDescent="0.25">
      <c r="F3791">
        <v>3788</v>
      </c>
      <c r="G3791">
        <f ca="1">_xlfn.NORM.INV(RAND(),$M$7,$M$8)</f>
        <v>-6.5024027157746401E-3</v>
      </c>
    </row>
    <row r="3792" spans="6:7" x14ac:dyDescent="0.25">
      <c r="F3792">
        <v>3789</v>
      </c>
      <c r="G3792">
        <f ca="1">_xlfn.NORM.INV(RAND(),$M$7,$M$8)</f>
        <v>-2.1753886472176385E-2</v>
      </c>
    </row>
    <row r="3793" spans="6:7" x14ac:dyDescent="0.25">
      <c r="F3793">
        <v>3790</v>
      </c>
      <c r="G3793">
        <f ca="1">_xlfn.NORM.INV(RAND(),$M$7,$M$8)</f>
        <v>3.1479666580017586E-2</v>
      </c>
    </row>
    <row r="3794" spans="6:7" x14ac:dyDescent="0.25">
      <c r="F3794">
        <v>3791</v>
      </c>
      <c r="G3794">
        <f ca="1">_xlfn.NORM.INV(RAND(),$M$7,$M$8)</f>
        <v>-1.2756075342411919E-2</v>
      </c>
    </row>
    <row r="3795" spans="6:7" x14ac:dyDescent="0.25">
      <c r="F3795">
        <v>3792</v>
      </c>
      <c r="G3795">
        <f ca="1">_xlfn.NORM.INV(RAND(),$M$7,$M$8)</f>
        <v>1.6518046852628594E-2</v>
      </c>
    </row>
    <row r="3796" spans="6:7" x14ac:dyDescent="0.25">
      <c r="F3796">
        <v>3793</v>
      </c>
      <c r="G3796">
        <f ca="1">_xlfn.NORM.INV(RAND(),$M$7,$M$8)</f>
        <v>-3.8127769899362368E-2</v>
      </c>
    </row>
    <row r="3797" spans="6:7" x14ac:dyDescent="0.25">
      <c r="F3797">
        <v>3794</v>
      </c>
      <c r="G3797">
        <f ca="1">_xlfn.NORM.INV(RAND(),$M$7,$M$8)</f>
        <v>-9.5292132522037821E-3</v>
      </c>
    </row>
    <row r="3798" spans="6:7" x14ac:dyDescent="0.25">
      <c r="F3798">
        <v>3795</v>
      </c>
      <c r="G3798">
        <f ca="1">_xlfn.NORM.INV(RAND(),$M$7,$M$8)</f>
        <v>8.1218641089521385E-3</v>
      </c>
    </row>
    <row r="3799" spans="6:7" x14ac:dyDescent="0.25">
      <c r="F3799">
        <v>3796</v>
      </c>
      <c r="G3799">
        <f ca="1">_xlfn.NORM.INV(RAND(),$M$7,$M$8)</f>
        <v>2.3617052151507098E-2</v>
      </c>
    </row>
    <row r="3800" spans="6:7" x14ac:dyDescent="0.25">
      <c r="F3800">
        <v>3797</v>
      </c>
      <c r="G3800">
        <f ca="1">_xlfn.NORM.INV(RAND(),$M$7,$M$8)</f>
        <v>1.562510240897378E-2</v>
      </c>
    </row>
    <row r="3801" spans="6:7" x14ac:dyDescent="0.25">
      <c r="F3801">
        <v>3798</v>
      </c>
      <c r="G3801">
        <f ca="1">_xlfn.NORM.INV(RAND(),$M$7,$M$8)</f>
        <v>-5.4357540201841408E-2</v>
      </c>
    </row>
    <row r="3802" spans="6:7" x14ac:dyDescent="0.25">
      <c r="F3802">
        <v>3799</v>
      </c>
      <c r="G3802">
        <f ca="1">_xlfn.NORM.INV(RAND(),$M$7,$M$8)</f>
        <v>-1.5294308394958059E-2</v>
      </c>
    </row>
    <row r="3803" spans="6:7" x14ac:dyDescent="0.25">
      <c r="F3803">
        <v>3800</v>
      </c>
      <c r="G3803">
        <f ca="1">_xlfn.NORM.INV(RAND(),$M$7,$M$8)</f>
        <v>-2.9227821604574249E-2</v>
      </c>
    </row>
    <row r="3804" spans="6:7" x14ac:dyDescent="0.25">
      <c r="F3804">
        <v>3801</v>
      </c>
      <c r="G3804">
        <f ca="1">_xlfn.NORM.INV(RAND(),$M$7,$M$8)</f>
        <v>7.6067483406644688E-3</v>
      </c>
    </row>
    <row r="3805" spans="6:7" x14ac:dyDescent="0.25">
      <c r="F3805">
        <v>3802</v>
      </c>
      <c r="G3805">
        <f ca="1">_xlfn.NORM.INV(RAND(),$M$7,$M$8)</f>
        <v>6.7967813667512509E-3</v>
      </c>
    </row>
    <row r="3806" spans="6:7" x14ac:dyDescent="0.25">
      <c r="F3806">
        <v>3803</v>
      </c>
      <c r="G3806">
        <f ca="1">_xlfn.NORM.INV(RAND(),$M$7,$M$8)</f>
        <v>5.7053003665522788E-2</v>
      </c>
    </row>
    <row r="3807" spans="6:7" x14ac:dyDescent="0.25">
      <c r="F3807">
        <v>3804</v>
      </c>
      <c r="G3807">
        <f ca="1">_xlfn.NORM.INV(RAND(),$M$7,$M$8)</f>
        <v>-1.2327151975485316E-2</v>
      </c>
    </row>
    <row r="3808" spans="6:7" x14ac:dyDescent="0.25">
      <c r="F3808">
        <v>3805</v>
      </c>
      <c r="G3808">
        <f ca="1">_xlfn.NORM.INV(RAND(),$M$7,$M$8)</f>
        <v>-1.9268123582367045E-2</v>
      </c>
    </row>
    <row r="3809" spans="6:7" x14ac:dyDescent="0.25">
      <c r="F3809">
        <v>3806</v>
      </c>
      <c r="G3809">
        <f ca="1">_xlfn.NORM.INV(RAND(),$M$7,$M$8)</f>
        <v>9.9928676044096412E-3</v>
      </c>
    </row>
    <row r="3810" spans="6:7" x14ac:dyDescent="0.25">
      <c r="F3810">
        <v>3807</v>
      </c>
      <c r="G3810">
        <f ca="1">_xlfn.NORM.INV(RAND(),$M$7,$M$8)</f>
        <v>-3.6399247981202143E-2</v>
      </c>
    </row>
    <row r="3811" spans="6:7" x14ac:dyDescent="0.25">
      <c r="F3811">
        <v>3808</v>
      </c>
      <c r="G3811">
        <f ca="1">_xlfn.NORM.INV(RAND(),$M$7,$M$8)</f>
        <v>1.6846953075901395E-3</v>
      </c>
    </row>
    <row r="3812" spans="6:7" x14ac:dyDescent="0.25">
      <c r="F3812">
        <v>3809</v>
      </c>
      <c r="G3812">
        <f ca="1">_xlfn.NORM.INV(RAND(),$M$7,$M$8)</f>
        <v>1.0983881934305165E-2</v>
      </c>
    </row>
    <row r="3813" spans="6:7" x14ac:dyDescent="0.25">
      <c r="F3813">
        <v>3810</v>
      </c>
      <c r="G3813">
        <f ca="1">_xlfn.NORM.INV(RAND(),$M$7,$M$8)</f>
        <v>-2.4802707868962614E-3</v>
      </c>
    </row>
    <row r="3814" spans="6:7" x14ac:dyDescent="0.25">
      <c r="F3814">
        <v>3811</v>
      </c>
      <c r="G3814">
        <f ca="1">_xlfn.NORM.INV(RAND(),$M$7,$M$8)</f>
        <v>1.0212271924150954E-2</v>
      </c>
    </row>
    <row r="3815" spans="6:7" x14ac:dyDescent="0.25">
      <c r="F3815">
        <v>3812</v>
      </c>
      <c r="G3815">
        <f ca="1">_xlfn.NORM.INV(RAND(),$M$7,$M$8)</f>
        <v>-9.2651208509535402E-3</v>
      </c>
    </row>
    <row r="3816" spans="6:7" x14ac:dyDescent="0.25">
      <c r="F3816">
        <v>3813</v>
      </c>
      <c r="G3816">
        <f ca="1">_xlfn.NORM.INV(RAND(),$M$7,$M$8)</f>
        <v>-7.2540249815518832E-4</v>
      </c>
    </row>
    <row r="3817" spans="6:7" x14ac:dyDescent="0.25">
      <c r="F3817">
        <v>3814</v>
      </c>
      <c r="G3817">
        <f ca="1">_xlfn.NORM.INV(RAND(),$M$7,$M$8)</f>
        <v>3.2103434169296514E-2</v>
      </c>
    </row>
    <row r="3818" spans="6:7" x14ac:dyDescent="0.25">
      <c r="F3818">
        <v>3815</v>
      </c>
      <c r="G3818">
        <f ca="1">_xlfn.NORM.INV(RAND(),$M$7,$M$8)</f>
        <v>1.2680726407971592E-2</v>
      </c>
    </row>
    <row r="3819" spans="6:7" x14ac:dyDescent="0.25">
      <c r="F3819">
        <v>3816</v>
      </c>
      <c r="G3819">
        <f ca="1">_xlfn.NORM.INV(RAND(),$M$7,$M$8)</f>
        <v>-2.2607459282425718E-2</v>
      </c>
    </row>
    <row r="3820" spans="6:7" x14ac:dyDescent="0.25">
      <c r="F3820">
        <v>3817</v>
      </c>
      <c r="G3820">
        <f ca="1">_xlfn.NORM.INV(RAND(),$M$7,$M$8)</f>
        <v>1.1420483746251134E-2</v>
      </c>
    </row>
    <row r="3821" spans="6:7" x14ac:dyDescent="0.25">
      <c r="F3821">
        <v>3818</v>
      </c>
      <c r="G3821">
        <f ca="1">_xlfn.NORM.INV(RAND(),$M$7,$M$8)</f>
        <v>-3.4656014944468641E-2</v>
      </c>
    </row>
    <row r="3822" spans="6:7" x14ac:dyDescent="0.25">
      <c r="F3822">
        <v>3819</v>
      </c>
      <c r="G3822">
        <f ca="1">_xlfn.NORM.INV(RAND(),$M$7,$M$8)</f>
        <v>-1.0599945124770615E-2</v>
      </c>
    </row>
    <row r="3823" spans="6:7" x14ac:dyDescent="0.25">
      <c r="F3823">
        <v>3820</v>
      </c>
      <c r="G3823">
        <f ca="1">_xlfn.NORM.INV(RAND(),$M$7,$M$8)</f>
        <v>2.6882540488187664E-2</v>
      </c>
    </row>
    <row r="3824" spans="6:7" x14ac:dyDescent="0.25">
      <c r="F3824">
        <v>3821</v>
      </c>
      <c r="G3824">
        <f ca="1">_xlfn.NORM.INV(RAND(),$M$7,$M$8)</f>
        <v>-2.1201833394007077E-2</v>
      </c>
    </row>
    <row r="3825" spans="6:7" x14ac:dyDescent="0.25">
      <c r="F3825">
        <v>3822</v>
      </c>
      <c r="G3825">
        <f ca="1">_xlfn.NORM.INV(RAND(),$M$7,$M$8)</f>
        <v>-5.9336759483422825E-3</v>
      </c>
    </row>
    <row r="3826" spans="6:7" x14ac:dyDescent="0.25">
      <c r="F3826">
        <v>3823</v>
      </c>
      <c r="G3826">
        <f ca="1">_xlfn.NORM.INV(RAND(),$M$7,$M$8)</f>
        <v>-3.048190939676836E-3</v>
      </c>
    </row>
    <row r="3827" spans="6:7" x14ac:dyDescent="0.25">
      <c r="F3827">
        <v>3824</v>
      </c>
      <c r="G3827">
        <f ca="1">_xlfn.NORM.INV(RAND(),$M$7,$M$8)</f>
        <v>1.2081121561722263E-2</v>
      </c>
    </row>
    <row r="3828" spans="6:7" x14ac:dyDescent="0.25">
      <c r="F3828">
        <v>3825</v>
      </c>
      <c r="G3828">
        <f ca="1">_xlfn.NORM.INV(RAND(),$M$7,$M$8)</f>
        <v>7.2770807146237265E-3</v>
      </c>
    </row>
    <row r="3829" spans="6:7" x14ac:dyDescent="0.25">
      <c r="F3829">
        <v>3826</v>
      </c>
      <c r="G3829">
        <f ca="1">_xlfn.NORM.INV(RAND(),$M$7,$M$8)</f>
        <v>-1.5367462293042356E-2</v>
      </c>
    </row>
    <row r="3830" spans="6:7" x14ac:dyDescent="0.25">
      <c r="F3830">
        <v>3827</v>
      </c>
      <c r="G3830">
        <f ca="1">_xlfn.NORM.INV(RAND(),$M$7,$M$8)</f>
        <v>-2.3924927107005948E-2</v>
      </c>
    </row>
    <row r="3831" spans="6:7" x14ac:dyDescent="0.25">
      <c r="F3831">
        <v>3828</v>
      </c>
      <c r="G3831">
        <f ca="1">_xlfn.NORM.INV(RAND(),$M$7,$M$8)</f>
        <v>-1.4981848453996744E-3</v>
      </c>
    </row>
    <row r="3832" spans="6:7" x14ac:dyDescent="0.25">
      <c r="F3832">
        <v>3829</v>
      </c>
      <c r="G3832">
        <f ca="1">_xlfn.NORM.INV(RAND(),$M$7,$M$8)</f>
        <v>3.5168417359055723E-2</v>
      </c>
    </row>
    <row r="3833" spans="6:7" x14ac:dyDescent="0.25">
      <c r="F3833">
        <v>3830</v>
      </c>
      <c r="G3833">
        <f ca="1">_xlfn.NORM.INV(RAND(),$M$7,$M$8)</f>
        <v>-2.046361594769304E-2</v>
      </c>
    </row>
    <row r="3834" spans="6:7" x14ac:dyDescent="0.25">
      <c r="F3834">
        <v>3831</v>
      </c>
      <c r="G3834">
        <f ca="1">_xlfn.NORM.INV(RAND(),$M$7,$M$8)</f>
        <v>2.1876079180740089E-2</v>
      </c>
    </row>
    <row r="3835" spans="6:7" x14ac:dyDescent="0.25">
      <c r="F3835">
        <v>3832</v>
      </c>
      <c r="G3835">
        <f ca="1">_xlfn.NORM.INV(RAND(),$M$7,$M$8)</f>
        <v>7.5136673290718704E-3</v>
      </c>
    </row>
    <row r="3836" spans="6:7" x14ac:dyDescent="0.25">
      <c r="F3836">
        <v>3833</v>
      </c>
      <c r="G3836">
        <f ca="1">_xlfn.NORM.INV(RAND(),$M$7,$M$8)</f>
        <v>-4.066203264232357E-2</v>
      </c>
    </row>
    <row r="3837" spans="6:7" x14ac:dyDescent="0.25">
      <c r="F3837">
        <v>3834</v>
      </c>
      <c r="G3837">
        <f ca="1">_xlfn.NORM.INV(RAND(),$M$7,$M$8)</f>
        <v>2.8790048394736235E-2</v>
      </c>
    </row>
    <row r="3838" spans="6:7" x14ac:dyDescent="0.25">
      <c r="F3838">
        <v>3835</v>
      </c>
      <c r="G3838">
        <f ca="1">_xlfn.NORM.INV(RAND(),$M$7,$M$8)</f>
        <v>1.1356342941061687E-2</v>
      </c>
    </row>
    <row r="3839" spans="6:7" x14ac:dyDescent="0.25">
      <c r="F3839">
        <v>3836</v>
      </c>
      <c r="G3839">
        <f ca="1">_xlfn.NORM.INV(RAND(),$M$7,$M$8)</f>
        <v>1.362494803139451E-2</v>
      </c>
    </row>
    <row r="3840" spans="6:7" x14ac:dyDescent="0.25">
      <c r="F3840">
        <v>3837</v>
      </c>
      <c r="G3840">
        <f ca="1">_xlfn.NORM.INV(RAND(),$M$7,$M$8)</f>
        <v>-1.4553359711314945E-2</v>
      </c>
    </row>
    <row r="3841" spans="6:7" x14ac:dyDescent="0.25">
      <c r="F3841">
        <v>3838</v>
      </c>
      <c r="G3841">
        <f ca="1">_xlfn.NORM.INV(RAND(),$M$7,$M$8)</f>
        <v>2.4570885915590701E-2</v>
      </c>
    </row>
    <row r="3842" spans="6:7" x14ac:dyDescent="0.25">
      <c r="F3842">
        <v>3839</v>
      </c>
      <c r="G3842">
        <f ca="1">_xlfn.NORM.INV(RAND(),$M$7,$M$8)</f>
        <v>1.0545732956915922E-2</v>
      </c>
    </row>
    <row r="3843" spans="6:7" x14ac:dyDescent="0.25">
      <c r="F3843">
        <v>3840</v>
      </c>
      <c r="G3843">
        <f ca="1">_xlfn.NORM.INV(RAND(),$M$7,$M$8)</f>
        <v>5.4033729153426177E-3</v>
      </c>
    </row>
    <row r="3844" spans="6:7" x14ac:dyDescent="0.25">
      <c r="F3844">
        <v>3841</v>
      </c>
      <c r="G3844">
        <f ca="1">_xlfn.NORM.INV(RAND(),$M$7,$M$8)</f>
        <v>9.3544463362079874E-3</v>
      </c>
    </row>
    <row r="3845" spans="6:7" x14ac:dyDescent="0.25">
      <c r="F3845">
        <v>3842</v>
      </c>
      <c r="G3845">
        <f ca="1">_xlfn.NORM.INV(RAND(),$M$7,$M$8)</f>
        <v>-1.5150882855889426E-2</v>
      </c>
    </row>
    <row r="3846" spans="6:7" x14ac:dyDescent="0.25">
      <c r="F3846">
        <v>3843</v>
      </c>
      <c r="G3846">
        <f ca="1">_xlfn.NORM.INV(RAND(),$M$7,$M$8)</f>
        <v>3.1780823763236883E-2</v>
      </c>
    </row>
    <row r="3847" spans="6:7" x14ac:dyDescent="0.25">
      <c r="F3847">
        <v>3844</v>
      </c>
      <c r="G3847">
        <f ca="1">_xlfn.NORM.INV(RAND(),$M$7,$M$8)</f>
        <v>9.4448045225838332E-3</v>
      </c>
    </row>
    <row r="3848" spans="6:7" x14ac:dyDescent="0.25">
      <c r="F3848">
        <v>3845</v>
      </c>
      <c r="G3848">
        <f ca="1">_xlfn.NORM.INV(RAND(),$M$7,$M$8)</f>
        <v>8.8269329488860539E-3</v>
      </c>
    </row>
    <row r="3849" spans="6:7" x14ac:dyDescent="0.25">
      <c r="F3849">
        <v>3846</v>
      </c>
      <c r="G3849">
        <f ca="1">_xlfn.NORM.INV(RAND(),$M$7,$M$8)</f>
        <v>1.2844018945968523E-2</v>
      </c>
    </row>
    <row r="3850" spans="6:7" x14ac:dyDescent="0.25">
      <c r="F3850">
        <v>3847</v>
      </c>
      <c r="G3850">
        <f ca="1">_xlfn.NORM.INV(RAND(),$M$7,$M$8)</f>
        <v>2.2673088631527758E-2</v>
      </c>
    </row>
    <row r="3851" spans="6:7" x14ac:dyDescent="0.25">
      <c r="F3851">
        <v>3848</v>
      </c>
      <c r="G3851">
        <f ca="1">_xlfn.NORM.INV(RAND(),$M$7,$M$8)</f>
        <v>2.4491647990388669E-2</v>
      </c>
    </row>
    <row r="3852" spans="6:7" x14ac:dyDescent="0.25">
      <c r="F3852">
        <v>3849</v>
      </c>
      <c r="G3852">
        <f ca="1">_xlfn.NORM.INV(RAND(),$M$7,$M$8)</f>
        <v>-2.0167208431628957E-2</v>
      </c>
    </row>
    <row r="3853" spans="6:7" x14ac:dyDescent="0.25">
      <c r="F3853">
        <v>3850</v>
      </c>
      <c r="G3853">
        <f ca="1">_xlfn.NORM.INV(RAND(),$M$7,$M$8)</f>
        <v>2.0616443954753871E-2</v>
      </c>
    </row>
    <row r="3854" spans="6:7" x14ac:dyDescent="0.25">
      <c r="F3854">
        <v>3851</v>
      </c>
      <c r="G3854">
        <f ca="1">_xlfn.NORM.INV(RAND(),$M$7,$M$8)</f>
        <v>-1.1976794882636988E-2</v>
      </c>
    </row>
    <row r="3855" spans="6:7" x14ac:dyDescent="0.25">
      <c r="F3855">
        <v>3852</v>
      </c>
      <c r="G3855">
        <f ca="1">_xlfn.NORM.INV(RAND(),$M$7,$M$8)</f>
        <v>2.4120173096076565E-2</v>
      </c>
    </row>
    <row r="3856" spans="6:7" x14ac:dyDescent="0.25">
      <c r="F3856">
        <v>3853</v>
      </c>
      <c r="G3856">
        <f ca="1">_xlfn.NORM.INV(RAND(),$M$7,$M$8)</f>
        <v>2.4336656396213924E-2</v>
      </c>
    </row>
    <row r="3857" spans="6:7" x14ac:dyDescent="0.25">
      <c r="F3857">
        <v>3854</v>
      </c>
      <c r="G3857">
        <f ca="1">_xlfn.NORM.INV(RAND(),$M$7,$M$8)</f>
        <v>-1.6548200447107881E-2</v>
      </c>
    </row>
    <row r="3858" spans="6:7" x14ac:dyDescent="0.25">
      <c r="F3858">
        <v>3855</v>
      </c>
      <c r="G3858">
        <f ca="1">_xlfn.NORM.INV(RAND(),$M$7,$M$8)</f>
        <v>-2.9484267791803152E-2</v>
      </c>
    </row>
    <row r="3859" spans="6:7" x14ac:dyDescent="0.25">
      <c r="F3859">
        <v>3856</v>
      </c>
      <c r="G3859">
        <f ca="1">_xlfn.NORM.INV(RAND(),$M$7,$M$8)</f>
        <v>-2.2681536327111104E-2</v>
      </c>
    </row>
    <row r="3860" spans="6:7" x14ac:dyDescent="0.25">
      <c r="F3860">
        <v>3857</v>
      </c>
      <c r="G3860">
        <f ca="1">_xlfn.NORM.INV(RAND(),$M$7,$M$8)</f>
        <v>-4.1108818455548757E-2</v>
      </c>
    </row>
    <row r="3861" spans="6:7" x14ac:dyDescent="0.25">
      <c r="F3861">
        <v>3858</v>
      </c>
      <c r="G3861">
        <f ca="1">_xlfn.NORM.INV(RAND(),$M$7,$M$8)</f>
        <v>-6.009074455720324E-3</v>
      </c>
    </row>
    <row r="3862" spans="6:7" x14ac:dyDescent="0.25">
      <c r="F3862">
        <v>3859</v>
      </c>
      <c r="G3862">
        <f ca="1">_xlfn.NORM.INV(RAND(),$M$7,$M$8)</f>
        <v>-1.9572495652536426E-2</v>
      </c>
    </row>
    <row r="3863" spans="6:7" x14ac:dyDescent="0.25">
      <c r="F3863">
        <v>3860</v>
      </c>
      <c r="G3863">
        <f ca="1">_xlfn.NORM.INV(RAND(),$M$7,$M$8)</f>
        <v>-9.4149593203587071E-3</v>
      </c>
    </row>
    <row r="3864" spans="6:7" x14ac:dyDescent="0.25">
      <c r="F3864">
        <v>3861</v>
      </c>
      <c r="G3864">
        <f ca="1">_xlfn.NORM.INV(RAND(),$M$7,$M$8)</f>
        <v>-2.1969126725796727E-2</v>
      </c>
    </row>
    <row r="3865" spans="6:7" x14ac:dyDescent="0.25">
      <c r="F3865">
        <v>3862</v>
      </c>
      <c r="G3865">
        <f ca="1">_xlfn.NORM.INV(RAND(),$M$7,$M$8)</f>
        <v>-2.5005957546796733E-3</v>
      </c>
    </row>
    <row r="3866" spans="6:7" x14ac:dyDescent="0.25">
      <c r="F3866">
        <v>3863</v>
      </c>
      <c r="G3866">
        <f ca="1">_xlfn.NORM.INV(RAND(),$M$7,$M$8)</f>
        <v>-2.6302810964588939E-2</v>
      </c>
    </row>
    <row r="3867" spans="6:7" x14ac:dyDescent="0.25">
      <c r="F3867">
        <v>3864</v>
      </c>
      <c r="G3867">
        <f ca="1">_xlfn.NORM.INV(RAND(),$M$7,$M$8)</f>
        <v>5.784609369596995E-3</v>
      </c>
    </row>
    <row r="3868" spans="6:7" x14ac:dyDescent="0.25">
      <c r="F3868">
        <v>3865</v>
      </c>
      <c r="G3868">
        <f ca="1">_xlfn.NORM.INV(RAND(),$M$7,$M$8)</f>
        <v>2.0459862584391784E-2</v>
      </c>
    </row>
    <row r="3869" spans="6:7" x14ac:dyDescent="0.25">
      <c r="F3869">
        <v>3866</v>
      </c>
      <c r="G3869">
        <f ca="1">_xlfn.NORM.INV(RAND(),$M$7,$M$8)</f>
        <v>-2.2599732627379434E-2</v>
      </c>
    </row>
    <row r="3870" spans="6:7" x14ac:dyDescent="0.25">
      <c r="F3870">
        <v>3867</v>
      </c>
      <c r="G3870">
        <f ca="1">_xlfn.NORM.INV(RAND(),$M$7,$M$8)</f>
        <v>3.3010397043673929E-2</v>
      </c>
    </row>
    <row r="3871" spans="6:7" x14ac:dyDescent="0.25">
      <c r="F3871">
        <v>3868</v>
      </c>
      <c r="G3871">
        <f ca="1">_xlfn.NORM.INV(RAND(),$M$7,$M$8)</f>
        <v>-6.4732622370839085E-3</v>
      </c>
    </row>
    <row r="3872" spans="6:7" x14ac:dyDescent="0.25">
      <c r="F3872">
        <v>3869</v>
      </c>
      <c r="G3872">
        <f ca="1">_xlfn.NORM.INV(RAND(),$M$7,$M$8)</f>
        <v>-1.46630762457536E-2</v>
      </c>
    </row>
    <row r="3873" spans="6:7" x14ac:dyDescent="0.25">
      <c r="F3873">
        <v>3870</v>
      </c>
      <c r="G3873">
        <f ca="1">_xlfn.NORM.INV(RAND(),$M$7,$M$8)</f>
        <v>-1.6363570502140174E-2</v>
      </c>
    </row>
    <row r="3874" spans="6:7" x14ac:dyDescent="0.25">
      <c r="F3874">
        <v>3871</v>
      </c>
      <c r="G3874">
        <f ca="1">_xlfn.NORM.INV(RAND(),$M$7,$M$8)</f>
        <v>3.3533738893157228E-4</v>
      </c>
    </row>
    <row r="3875" spans="6:7" x14ac:dyDescent="0.25">
      <c r="F3875">
        <v>3872</v>
      </c>
      <c r="G3875">
        <f ca="1">_xlfn.NORM.INV(RAND(),$M$7,$M$8)</f>
        <v>-1.9308478353289457E-2</v>
      </c>
    </row>
    <row r="3876" spans="6:7" x14ac:dyDescent="0.25">
      <c r="F3876">
        <v>3873</v>
      </c>
      <c r="G3876">
        <f ca="1">_xlfn.NORM.INV(RAND(),$M$7,$M$8)</f>
        <v>-5.7271117204627596E-2</v>
      </c>
    </row>
    <row r="3877" spans="6:7" x14ac:dyDescent="0.25">
      <c r="F3877">
        <v>3874</v>
      </c>
      <c r="G3877">
        <f ca="1">_xlfn.NORM.INV(RAND(),$M$7,$M$8)</f>
        <v>-4.0749215259180085E-2</v>
      </c>
    </row>
    <row r="3878" spans="6:7" x14ac:dyDescent="0.25">
      <c r="F3878">
        <v>3875</v>
      </c>
      <c r="G3878">
        <f ca="1">_xlfn.NORM.INV(RAND(),$M$7,$M$8)</f>
        <v>2.313967917441417E-2</v>
      </c>
    </row>
    <row r="3879" spans="6:7" x14ac:dyDescent="0.25">
      <c r="F3879">
        <v>3876</v>
      </c>
      <c r="G3879">
        <f ca="1">_xlfn.NORM.INV(RAND(),$M$7,$M$8)</f>
        <v>-2.0944984972803844E-2</v>
      </c>
    </row>
    <row r="3880" spans="6:7" x14ac:dyDescent="0.25">
      <c r="F3880">
        <v>3877</v>
      </c>
      <c r="G3880">
        <f ca="1">_xlfn.NORM.INV(RAND(),$M$7,$M$8)</f>
        <v>1.8235050543284833E-2</v>
      </c>
    </row>
    <row r="3881" spans="6:7" x14ac:dyDescent="0.25">
      <c r="F3881">
        <v>3878</v>
      </c>
      <c r="G3881">
        <f ca="1">_xlfn.NORM.INV(RAND(),$M$7,$M$8)</f>
        <v>-3.0064542323131653E-2</v>
      </c>
    </row>
    <row r="3882" spans="6:7" x14ac:dyDescent="0.25">
      <c r="F3882">
        <v>3879</v>
      </c>
      <c r="G3882">
        <f ca="1">_xlfn.NORM.INV(RAND(),$M$7,$M$8)</f>
        <v>1.582693432659758E-2</v>
      </c>
    </row>
    <row r="3883" spans="6:7" x14ac:dyDescent="0.25">
      <c r="F3883">
        <v>3880</v>
      </c>
      <c r="G3883">
        <f ca="1">_xlfn.NORM.INV(RAND(),$M$7,$M$8)</f>
        <v>-2.1245107737193184E-2</v>
      </c>
    </row>
    <row r="3884" spans="6:7" x14ac:dyDescent="0.25">
      <c r="F3884">
        <v>3881</v>
      </c>
      <c r="G3884">
        <f ca="1">_xlfn.NORM.INV(RAND(),$M$7,$M$8)</f>
        <v>-2.1712473002429213E-2</v>
      </c>
    </row>
    <row r="3885" spans="6:7" x14ac:dyDescent="0.25">
      <c r="F3885">
        <v>3882</v>
      </c>
      <c r="G3885">
        <f ca="1">_xlfn.NORM.INV(RAND(),$M$7,$M$8)</f>
        <v>3.0484236756616441E-2</v>
      </c>
    </row>
    <row r="3886" spans="6:7" x14ac:dyDescent="0.25">
      <c r="F3886">
        <v>3883</v>
      </c>
      <c r="G3886">
        <f ca="1">_xlfn.NORM.INV(RAND(),$M$7,$M$8)</f>
        <v>6.9911439460233638E-3</v>
      </c>
    </row>
    <row r="3887" spans="6:7" x14ac:dyDescent="0.25">
      <c r="F3887">
        <v>3884</v>
      </c>
      <c r="G3887">
        <f ca="1">_xlfn.NORM.INV(RAND(),$M$7,$M$8)</f>
        <v>8.5960708992223328E-3</v>
      </c>
    </row>
    <row r="3888" spans="6:7" x14ac:dyDescent="0.25">
      <c r="F3888">
        <v>3885</v>
      </c>
      <c r="G3888">
        <f ca="1">_xlfn.NORM.INV(RAND(),$M$7,$M$8)</f>
        <v>-7.3455558920742618E-3</v>
      </c>
    </row>
    <row r="3889" spans="6:7" x14ac:dyDescent="0.25">
      <c r="F3889">
        <v>3886</v>
      </c>
      <c r="G3889">
        <f ca="1">_xlfn.NORM.INV(RAND(),$M$7,$M$8)</f>
        <v>-1.6792135326054104E-2</v>
      </c>
    </row>
    <row r="3890" spans="6:7" x14ac:dyDescent="0.25">
      <c r="F3890">
        <v>3887</v>
      </c>
      <c r="G3890">
        <f ca="1">_xlfn.NORM.INV(RAND(),$M$7,$M$8)</f>
        <v>-2.2441342802575578E-2</v>
      </c>
    </row>
    <row r="3891" spans="6:7" x14ac:dyDescent="0.25">
      <c r="F3891">
        <v>3888</v>
      </c>
      <c r="G3891">
        <f ca="1">_xlfn.NORM.INV(RAND(),$M$7,$M$8)</f>
        <v>7.9674323954914087E-3</v>
      </c>
    </row>
    <row r="3892" spans="6:7" x14ac:dyDescent="0.25">
      <c r="F3892">
        <v>3889</v>
      </c>
      <c r="G3892">
        <f ca="1">_xlfn.NORM.INV(RAND(),$M$7,$M$8)</f>
        <v>-1.6462421103115008E-2</v>
      </c>
    </row>
    <row r="3893" spans="6:7" x14ac:dyDescent="0.25">
      <c r="F3893">
        <v>3890</v>
      </c>
      <c r="G3893">
        <f ca="1">_xlfn.NORM.INV(RAND(),$M$7,$M$8)</f>
        <v>-7.9981892426767378E-4</v>
      </c>
    </row>
    <row r="3894" spans="6:7" x14ac:dyDescent="0.25">
      <c r="F3894">
        <v>3891</v>
      </c>
      <c r="G3894">
        <f ca="1">_xlfn.NORM.INV(RAND(),$M$7,$M$8)</f>
        <v>-2.0428025862842987E-2</v>
      </c>
    </row>
    <row r="3895" spans="6:7" x14ac:dyDescent="0.25">
      <c r="F3895">
        <v>3892</v>
      </c>
      <c r="G3895">
        <f ca="1">_xlfn.NORM.INV(RAND(),$M$7,$M$8)</f>
        <v>-2.0601694465326854E-2</v>
      </c>
    </row>
    <row r="3896" spans="6:7" x14ac:dyDescent="0.25">
      <c r="F3896">
        <v>3893</v>
      </c>
      <c r="G3896">
        <f ca="1">_xlfn.NORM.INV(RAND(),$M$7,$M$8)</f>
        <v>-4.2191779210603512E-2</v>
      </c>
    </row>
    <row r="3897" spans="6:7" x14ac:dyDescent="0.25">
      <c r="F3897">
        <v>3894</v>
      </c>
      <c r="G3897">
        <f ca="1">_xlfn.NORM.INV(RAND(),$M$7,$M$8)</f>
        <v>-4.0396292419042946E-3</v>
      </c>
    </row>
    <row r="3898" spans="6:7" x14ac:dyDescent="0.25">
      <c r="F3898">
        <v>3895</v>
      </c>
      <c r="G3898">
        <f ca="1">_xlfn.NORM.INV(RAND(),$M$7,$M$8)</f>
        <v>1.5572549921723836E-2</v>
      </c>
    </row>
    <row r="3899" spans="6:7" x14ac:dyDescent="0.25">
      <c r="F3899">
        <v>3896</v>
      </c>
      <c r="G3899">
        <f ca="1">_xlfn.NORM.INV(RAND(),$M$7,$M$8)</f>
        <v>9.2182427622561573E-3</v>
      </c>
    </row>
    <row r="3900" spans="6:7" x14ac:dyDescent="0.25">
      <c r="F3900">
        <v>3897</v>
      </c>
      <c r="G3900">
        <f ca="1">_xlfn.NORM.INV(RAND(),$M$7,$M$8)</f>
        <v>-2.9525050567307313E-2</v>
      </c>
    </row>
    <row r="3901" spans="6:7" x14ac:dyDescent="0.25">
      <c r="F3901">
        <v>3898</v>
      </c>
      <c r="G3901">
        <f ca="1">_xlfn.NORM.INV(RAND(),$M$7,$M$8)</f>
        <v>6.6772455458382077E-2</v>
      </c>
    </row>
    <row r="3902" spans="6:7" x14ac:dyDescent="0.25">
      <c r="F3902">
        <v>3899</v>
      </c>
      <c r="G3902">
        <f ca="1">_xlfn.NORM.INV(RAND(),$M$7,$M$8)</f>
        <v>-2.3893664797530509E-2</v>
      </c>
    </row>
    <row r="3903" spans="6:7" x14ac:dyDescent="0.25">
      <c r="F3903">
        <v>3900</v>
      </c>
      <c r="G3903">
        <f ca="1">_xlfn.NORM.INV(RAND(),$M$7,$M$8)</f>
        <v>-1.5608719112324945E-2</v>
      </c>
    </row>
    <row r="3904" spans="6:7" x14ac:dyDescent="0.25">
      <c r="F3904">
        <v>3901</v>
      </c>
      <c r="G3904">
        <f ca="1">_xlfn.NORM.INV(RAND(),$M$7,$M$8)</f>
        <v>6.1795923837070797E-2</v>
      </c>
    </row>
    <row r="3905" spans="6:7" x14ac:dyDescent="0.25">
      <c r="F3905">
        <v>3902</v>
      </c>
      <c r="G3905">
        <f ca="1">_xlfn.NORM.INV(RAND(),$M$7,$M$8)</f>
        <v>9.18170481638627E-3</v>
      </c>
    </row>
    <row r="3906" spans="6:7" x14ac:dyDescent="0.25">
      <c r="F3906">
        <v>3903</v>
      </c>
      <c r="G3906">
        <f ca="1">_xlfn.NORM.INV(RAND(),$M$7,$M$8)</f>
        <v>-1.2078949475553685E-2</v>
      </c>
    </row>
    <row r="3907" spans="6:7" x14ac:dyDescent="0.25">
      <c r="F3907">
        <v>3904</v>
      </c>
      <c r="G3907">
        <f ca="1">_xlfn.NORM.INV(RAND(),$M$7,$M$8)</f>
        <v>-1.9548279935116247E-2</v>
      </c>
    </row>
    <row r="3908" spans="6:7" x14ac:dyDescent="0.25">
      <c r="F3908">
        <v>3905</v>
      </c>
      <c r="G3908">
        <f ca="1">_xlfn.NORM.INV(RAND(),$M$7,$M$8)</f>
        <v>2.5245372343391768E-3</v>
      </c>
    </row>
    <row r="3909" spans="6:7" x14ac:dyDescent="0.25">
      <c r="F3909">
        <v>3906</v>
      </c>
      <c r="G3909">
        <f ca="1">_xlfn.NORM.INV(RAND(),$M$7,$M$8)</f>
        <v>2.4493034627722171E-3</v>
      </c>
    </row>
    <row r="3910" spans="6:7" x14ac:dyDescent="0.25">
      <c r="F3910">
        <v>3907</v>
      </c>
      <c r="G3910">
        <f ca="1">_xlfn.NORM.INV(RAND(),$M$7,$M$8)</f>
        <v>1.7736166371980461E-2</v>
      </c>
    </row>
    <row r="3911" spans="6:7" x14ac:dyDescent="0.25">
      <c r="F3911">
        <v>3908</v>
      </c>
      <c r="G3911">
        <f ca="1">_xlfn.NORM.INV(RAND(),$M$7,$M$8)</f>
        <v>6.9507956408463422E-3</v>
      </c>
    </row>
    <row r="3912" spans="6:7" x14ac:dyDescent="0.25">
      <c r="F3912">
        <v>3909</v>
      </c>
      <c r="G3912">
        <f ca="1">_xlfn.NORM.INV(RAND(),$M$7,$M$8)</f>
        <v>-1.0955804527777556E-2</v>
      </c>
    </row>
    <row r="3913" spans="6:7" x14ac:dyDescent="0.25">
      <c r="F3913">
        <v>3910</v>
      </c>
      <c r="G3913">
        <f ca="1">_xlfn.NORM.INV(RAND(),$M$7,$M$8)</f>
        <v>2.590554274761489E-2</v>
      </c>
    </row>
    <row r="3914" spans="6:7" x14ac:dyDescent="0.25">
      <c r="F3914">
        <v>3911</v>
      </c>
      <c r="G3914">
        <f ca="1">_xlfn.NORM.INV(RAND(),$M$7,$M$8)</f>
        <v>9.7831203209680136E-3</v>
      </c>
    </row>
    <row r="3915" spans="6:7" x14ac:dyDescent="0.25">
      <c r="F3915">
        <v>3912</v>
      </c>
      <c r="G3915">
        <f ca="1">_xlfn.NORM.INV(RAND(),$M$7,$M$8)</f>
        <v>2.2485712820821586E-2</v>
      </c>
    </row>
    <row r="3916" spans="6:7" x14ac:dyDescent="0.25">
      <c r="F3916">
        <v>3913</v>
      </c>
      <c r="G3916">
        <f ca="1">_xlfn.NORM.INV(RAND(),$M$7,$M$8)</f>
        <v>4.9059334417837861E-3</v>
      </c>
    </row>
    <row r="3917" spans="6:7" x14ac:dyDescent="0.25">
      <c r="F3917">
        <v>3914</v>
      </c>
      <c r="G3917">
        <f ca="1">_xlfn.NORM.INV(RAND(),$M$7,$M$8)</f>
        <v>1.7111707070134876E-3</v>
      </c>
    </row>
    <row r="3918" spans="6:7" x14ac:dyDescent="0.25">
      <c r="F3918">
        <v>3915</v>
      </c>
      <c r="G3918">
        <f ca="1">_xlfn.NORM.INV(RAND(),$M$7,$M$8)</f>
        <v>-2.3113989920803464E-4</v>
      </c>
    </row>
    <row r="3919" spans="6:7" x14ac:dyDescent="0.25">
      <c r="F3919">
        <v>3916</v>
      </c>
      <c r="G3919">
        <f ca="1">_xlfn.NORM.INV(RAND(),$M$7,$M$8)</f>
        <v>2.707379897598184E-2</v>
      </c>
    </row>
    <row r="3920" spans="6:7" x14ac:dyDescent="0.25">
      <c r="F3920">
        <v>3917</v>
      </c>
      <c r="G3920">
        <f ca="1">_xlfn.NORM.INV(RAND(),$M$7,$M$8)</f>
        <v>-3.1517327908524018E-2</v>
      </c>
    </row>
    <row r="3921" spans="6:7" x14ac:dyDescent="0.25">
      <c r="F3921">
        <v>3918</v>
      </c>
      <c r="G3921">
        <f ca="1">_xlfn.NORM.INV(RAND(),$M$7,$M$8)</f>
        <v>-4.3137986765846022E-2</v>
      </c>
    </row>
    <row r="3922" spans="6:7" x14ac:dyDescent="0.25">
      <c r="F3922">
        <v>3919</v>
      </c>
      <c r="G3922">
        <f ca="1">_xlfn.NORM.INV(RAND(),$M$7,$M$8)</f>
        <v>6.9590186771811627E-3</v>
      </c>
    </row>
    <row r="3923" spans="6:7" x14ac:dyDescent="0.25">
      <c r="F3923">
        <v>3920</v>
      </c>
      <c r="G3923">
        <f ca="1">_xlfn.NORM.INV(RAND(),$M$7,$M$8)</f>
        <v>-4.8681483823298025E-3</v>
      </c>
    </row>
    <row r="3924" spans="6:7" x14ac:dyDescent="0.25">
      <c r="F3924">
        <v>3921</v>
      </c>
      <c r="G3924">
        <f ca="1">_xlfn.NORM.INV(RAND(),$M$7,$M$8)</f>
        <v>-3.5935012124939991E-2</v>
      </c>
    </row>
    <row r="3925" spans="6:7" x14ac:dyDescent="0.25">
      <c r="F3925">
        <v>3922</v>
      </c>
      <c r="G3925">
        <f ca="1">_xlfn.NORM.INV(RAND(),$M$7,$M$8)</f>
        <v>1.8448204733265975E-2</v>
      </c>
    </row>
    <row r="3926" spans="6:7" x14ac:dyDescent="0.25">
      <c r="F3926">
        <v>3923</v>
      </c>
      <c r="G3926">
        <f ca="1">_xlfn.NORM.INV(RAND(),$M$7,$M$8)</f>
        <v>2.9564605074616425E-2</v>
      </c>
    </row>
    <row r="3927" spans="6:7" x14ac:dyDescent="0.25">
      <c r="F3927">
        <v>3924</v>
      </c>
      <c r="G3927">
        <f ca="1">_xlfn.NORM.INV(RAND(),$M$7,$M$8)</f>
        <v>1.5890961709082989E-2</v>
      </c>
    </row>
    <row r="3928" spans="6:7" x14ac:dyDescent="0.25">
      <c r="F3928">
        <v>3925</v>
      </c>
      <c r="G3928">
        <f ca="1">_xlfn.NORM.INV(RAND(),$M$7,$M$8)</f>
        <v>5.3693334528557551E-3</v>
      </c>
    </row>
    <row r="3929" spans="6:7" x14ac:dyDescent="0.25">
      <c r="F3929">
        <v>3926</v>
      </c>
      <c r="G3929">
        <f ca="1">_xlfn.NORM.INV(RAND(),$M$7,$M$8)</f>
        <v>3.6313676404372041E-3</v>
      </c>
    </row>
    <row r="3930" spans="6:7" x14ac:dyDescent="0.25">
      <c r="F3930">
        <v>3927</v>
      </c>
      <c r="G3930">
        <f ca="1">_xlfn.NORM.INV(RAND(),$M$7,$M$8)</f>
        <v>-9.3013444093740932E-3</v>
      </c>
    </row>
    <row r="3931" spans="6:7" x14ac:dyDescent="0.25">
      <c r="F3931">
        <v>3928</v>
      </c>
      <c r="G3931">
        <f ca="1">_xlfn.NORM.INV(RAND(),$M$7,$M$8)</f>
        <v>1.4948587082110804E-2</v>
      </c>
    </row>
    <row r="3932" spans="6:7" x14ac:dyDescent="0.25">
      <c r="F3932">
        <v>3929</v>
      </c>
      <c r="G3932">
        <f ca="1">_xlfn.NORM.INV(RAND(),$M$7,$M$8)</f>
        <v>-1.5918735164439516E-3</v>
      </c>
    </row>
    <row r="3933" spans="6:7" x14ac:dyDescent="0.25">
      <c r="F3933">
        <v>3930</v>
      </c>
      <c r="G3933">
        <f ca="1">_xlfn.NORM.INV(RAND(),$M$7,$M$8)</f>
        <v>3.951234844964336E-2</v>
      </c>
    </row>
    <row r="3934" spans="6:7" x14ac:dyDescent="0.25">
      <c r="F3934">
        <v>3931</v>
      </c>
      <c r="G3934">
        <f ca="1">_xlfn.NORM.INV(RAND(),$M$7,$M$8)</f>
        <v>3.9212323276473303E-2</v>
      </c>
    </row>
    <row r="3935" spans="6:7" x14ac:dyDescent="0.25">
      <c r="F3935">
        <v>3932</v>
      </c>
      <c r="G3935">
        <f ca="1">_xlfn.NORM.INV(RAND(),$M$7,$M$8)</f>
        <v>2.2462637990363601E-2</v>
      </c>
    </row>
    <row r="3936" spans="6:7" x14ac:dyDescent="0.25">
      <c r="F3936">
        <v>3933</v>
      </c>
      <c r="G3936">
        <f ca="1">_xlfn.NORM.INV(RAND(),$M$7,$M$8)</f>
        <v>1.6359207000354415E-2</v>
      </c>
    </row>
    <row r="3937" spans="6:7" x14ac:dyDescent="0.25">
      <c r="F3937">
        <v>3934</v>
      </c>
      <c r="G3937">
        <f ca="1">_xlfn.NORM.INV(RAND(),$M$7,$M$8)</f>
        <v>-3.3163649624920258E-2</v>
      </c>
    </row>
    <row r="3938" spans="6:7" x14ac:dyDescent="0.25">
      <c r="F3938">
        <v>3935</v>
      </c>
      <c r="G3938">
        <f ca="1">_xlfn.NORM.INV(RAND(),$M$7,$M$8)</f>
        <v>1.4474801717303778E-2</v>
      </c>
    </row>
    <row r="3939" spans="6:7" x14ac:dyDescent="0.25">
      <c r="F3939">
        <v>3936</v>
      </c>
      <c r="G3939">
        <f ca="1">_xlfn.NORM.INV(RAND(),$M$7,$M$8)</f>
        <v>1.5981609887730616E-3</v>
      </c>
    </row>
    <row r="3940" spans="6:7" x14ac:dyDescent="0.25">
      <c r="F3940">
        <v>3937</v>
      </c>
      <c r="G3940">
        <f ca="1">_xlfn.NORM.INV(RAND(),$M$7,$M$8)</f>
        <v>-2.3050829366707055E-2</v>
      </c>
    </row>
    <row r="3941" spans="6:7" x14ac:dyDescent="0.25">
      <c r="F3941">
        <v>3938</v>
      </c>
      <c r="G3941">
        <f ca="1">_xlfn.NORM.INV(RAND(),$M$7,$M$8)</f>
        <v>-1.274504495185913E-2</v>
      </c>
    </row>
    <row r="3942" spans="6:7" x14ac:dyDescent="0.25">
      <c r="F3942">
        <v>3939</v>
      </c>
      <c r="G3942">
        <f ca="1">_xlfn.NORM.INV(RAND(),$M$7,$M$8)</f>
        <v>1.37672161403795E-2</v>
      </c>
    </row>
    <row r="3943" spans="6:7" x14ac:dyDescent="0.25">
      <c r="F3943">
        <v>3940</v>
      </c>
      <c r="G3943">
        <f ca="1">_xlfn.NORM.INV(RAND(),$M$7,$M$8)</f>
        <v>2.0505524218534181E-2</v>
      </c>
    </row>
    <row r="3944" spans="6:7" x14ac:dyDescent="0.25">
      <c r="F3944">
        <v>3941</v>
      </c>
      <c r="G3944">
        <f ca="1">_xlfn.NORM.INV(RAND(),$M$7,$M$8)</f>
        <v>-2.4943811005053683E-2</v>
      </c>
    </row>
    <row r="3945" spans="6:7" x14ac:dyDescent="0.25">
      <c r="F3945">
        <v>3942</v>
      </c>
      <c r="G3945">
        <f ca="1">_xlfn.NORM.INV(RAND(),$M$7,$M$8)</f>
        <v>3.7265533549947202E-2</v>
      </c>
    </row>
    <row r="3946" spans="6:7" x14ac:dyDescent="0.25">
      <c r="F3946">
        <v>3943</v>
      </c>
      <c r="G3946">
        <f ca="1">_xlfn.NORM.INV(RAND(),$M$7,$M$8)</f>
        <v>4.6224199536216412E-2</v>
      </c>
    </row>
    <row r="3947" spans="6:7" x14ac:dyDescent="0.25">
      <c r="F3947">
        <v>3944</v>
      </c>
      <c r="G3947">
        <f ca="1">_xlfn.NORM.INV(RAND(),$M$7,$M$8)</f>
        <v>1.317234683855339E-2</v>
      </c>
    </row>
    <row r="3948" spans="6:7" x14ac:dyDescent="0.25">
      <c r="F3948">
        <v>3945</v>
      </c>
      <c r="G3948">
        <f ca="1">_xlfn.NORM.INV(RAND(),$M$7,$M$8)</f>
        <v>1.1402138932809192E-2</v>
      </c>
    </row>
    <row r="3949" spans="6:7" x14ac:dyDescent="0.25">
      <c r="F3949">
        <v>3946</v>
      </c>
      <c r="G3949">
        <f ca="1">_xlfn.NORM.INV(RAND(),$M$7,$M$8)</f>
        <v>-1.4814971219378921E-2</v>
      </c>
    </row>
    <row r="3950" spans="6:7" x14ac:dyDescent="0.25">
      <c r="F3950">
        <v>3947</v>
      </c>
      <c r="G3950">
        <f ca="1">_xlfn.NORM.INV(RAND(),$M$7,$M$8)</f>
        <v>1.2687976362966768E-2</v>
      </c>
    </row>
    <row r="3951" spans="6:7" x14ac:dyDescent="0.25">
      <c r="F3951">
        <v>3948</v>
      </c>
      <c r="G3951">
        <f ca="1">_xlfn.NORM.INV(RAND(),$M$7,$M$8)</f>
        <v>-5.1206436666269665E-3</v>
      </c>
    </row>
    <row r="3952" spans="6:7" x14ac:dyDescent="0.25">
      <c r="F3952">
        <v>3949</v>
      </c>
      <c r="G3952">
        <f ca="1">_xlfn.NORM.INV(RAND(),$M$7,$M$8)</f>
        <v>8.1717139662004466E-3</v>
      </c>
    </row>
    <row r="3953" spans="6:7" x14ac:dyDescent="0.25">
      <c r="F3953">
        <v>3950</v>
      </c>
      <c r="G3953">
        <f ca="1">_xlfn.NORM.INV(RAND(),$M$7,$M$8)</f>
        <v>2.1167179673642979E-2</v>
      </c>
    </row>
    <row r="3954" spans="6:7" x14ac:dyDescent="0.25">
      <c r="F3954">
        <v>3951</v>
      </c>
      <c r="G3954">
        <f ca="1">_xlfn.NORM.INV(RAND(),$M$7,$M$8)</f>
        <v>7.2625491127638296E-3</v>
      </c>
    </row>
    <row r="3955" spans="6:7" x14ac:dyDescent="0.25">
      <c r="F3955">
        <v>3952</v>
      </c>
      <c r="G3955">
        <f ca="1">_xlfn.NORM.INV(RAND(),$M$7,$M$8)</f>
        <v>1.6786044140721178E-2</v>
      </c>
    </row>
    <row r="3956" spans="6:7" x14ac:dyDescent="0.25">
      <c r="F3956">
        <v>3953</v>
      </c>
      <c r="G3956">
        <f ca="1">_xlfn.NORM.INV(RAND(),$M$7,$M$8)</f>
        <v>2.9053906880524571E-2</v>
      </c>
    </row>
    <row r="3957" spans="6:7" x14ac:dyDescent="0.25">
      <c r="F3957">
        <v>3954</v>
      </c>
      <c r="G3957">
        <f ca="1">_xlfn.NORM.INV(RAND(),$M$7,$M$8)</f>
        <v>1.2546622536677505E-2</v>
      </c>
    </row>
    <row r="3958" spans="6:7" x14ac:dyDescent="0.25">
      <c r="F3958">
        <v>3955</v>
      </c>
      <c r="G3958">
        <f ca="1">_xlfn.NORM.INV(RAND(),$M$7,$M$8)</f>
        <v>1.964612019971557E-2</v>
      </c>
    </row>
    <row r="3959" spans="6:7" x14ac:dyDescent="0.25">
      <c r="F3959">
        <v>3956</v>
      </c>
      <c r="G3959">
        <f ca="1">_xlfn.NORM.INV(RAND(),$M$7,$M$8)</f>
        <v>-1.1228690680700414E-2</v>
      </c>
    </row>
    <row r="3960" spans="6:7" x14ac:dyDescent="0.25">
      <c r="F3960">
        <v>3957</v>
      </c>
      <c r="G3960">
        <f ca="1">_xlfn.NORM.INV(RAND(),$M$7,$M$8)</f>
        <v>2.6214150078998442E-3</v>
      </c>
    </row>
    <row r="3961" spans="6:7" x14ac:dyDescent="0.25">
      <c r="F3961">
        <v>3958</v>
      </c>
      <c r="G3961">
        <f ca="1">_xlfn.NORM.INV(RAND(),$M$7,$M$8)</f>
        <v>-4.7929809928862262E-2</v>
      </c>
    </row>
    <row r="3962" spans="6:7" x14ac:dyDescent="0.25">
      <c r="F3962">
        <v>3959</v>
      </c>
      <c r="G3962">
        <f ca="1">_xlfn.NORM.INV(RAND(),$M$7,$M$8)</f>
        <v>2.7973750173396063E-2</v>
      </c>
    </row>
    <row r="3963" spans="6:7" x14ac:dyDescent="0.25">
      <c r="F3963">
        <v>3960</v>
      </c>
      <c r="G3963">
        <f ca="1">_xlfn.NORM.INV(RAND(),$M$7,$M$8)</f>
        <v>5.7887422529656635E-3</v>
      </c>
    </row>
    <row r="3964" spans="6:7" x14ac:dyDescent="0.25">
      <c r="F3964">
        <v>3961</v>
      </c>
      <c r="G3964">
        <f ca="1">_xlfn.NORM.INV(RAND(),$M$7,$M$8)</f>
        <v>-3.9071843712324313E-2</v>
      </c>
    </row>
    <row r="3965" spans="6:7" x14ac:dyDescent="0.25">
      <c r="F3965">
        <v>3962</v>
      </c>
      <c r="G3965">
        <f ca="1">_xlfn.NORM.INV(RAND(),$M$7,$M$8)</f>
        <v>6.3085057259649729E-3</v>
      </c>
    </row>
    <row r="3966" spans="6:7" x14ac:dyDescent="0.25">
      <c r="F3966">
        <v>3963</v>
      </c>
      <c r="G3966">
        <f ca="1">_xlfn.NORM.INV(RAND(),$M$7,$M$8)</f>
        <v>-5.2930503025903366E-4</v>
      </c>
    </row>
    <row r="3967" spans="6:7" x14ac:dyDescent="0.25">
      <c r="F3967">
        <v>3964</v>
      </c>
      <c r="G3967">
        <f ca="1">_xlfn.NORM.INV(RAND(),$M$7,$M$8)</f>
        <v>2.5967336207399438E-2</v>
      </c>
    </row>
    <row r="3968" spans="6:7" x14ac:dyDescent="0.25">
      <c r="F3968">
        <v>3965</v>
      </c>
      <c r="G3968">
        <f ca="1">_xlfn.NORM.INV(RAND(),$M$7,$M$8)</f>
        <v>-1.057078073011943E-2</v>
      </c>
    </row>
    <row r="3969" spans="6:7" x14ac:dyDescent="0.25">
      <c r="F3969">
        <v>3966</v>
      </c>
      <c r="G3969">
        <f ca="1">_xlfn.NORM.INV(RAND(),$M$7,$M$8)</f>
        <v>5.8724860526371929E-3</v>
      </c>
    </row>
    <row r="3970" spans="6:7" x14ac:dyDescent="0.25">
      <c r="F3970">
        <v>3967</v>
      </c>
      <c r="G3970">
        <f ca="1">_xlfn.NORM.INV(RAND(),$M$7,$M$8)</f>
        <v>-2.2838990119329404E-2</v>
      </c>
    </row>
    <row r="3971" spans="6:7" x14ac:dyDescent="0.25">
      <c r="F3971">
        <v>3968</v>
      </c>
      <c r="G3971">
        <f ca="1">_xlfn.NORM.INV(RAND(),$M$7,$M$8)</f>
        <v>6.3431875592988053E-3</v>
      </c>
    </row>
    <row r="3972" spans="6:7" x14ac:dyDescent="0.25">
      <c r="F3972">
        <v>3969</v>
      </c>
      <c r="G3972">
        <f ca="1">_xlfn.NORM.INV(RAND(),$M$7,$M$8)</f>
        <v>2.4745230156238862E-2</v>
      </c>
    </row>
    <row r="3973" spans="6:7" x14ac:dyDescent="0.25">
      <c r="F3973">
        <v>3970</v>
      </c>
      <c r="G3973">
        <f ca="1">_xlfn.NORM.INV(RAND(),$M$7,$M$8)</f>
        <v>5.2233625905730649E-3</v>
      </c>
    </row>
    <row r="3974" spans="6:7" x14ac:dyDescent="0.25">
      <c r="F3974">
        <v>3971</v>
      </c>
      <c r="G3974">
        <f ca="1">_xlfn.NORM.INV(RAND(),$M$7,$M$8)</f>
        <v>5.3054461116251034E-3</v>
      </c>
    </row>
    <row r="3975" spans="6:7" x14ac:dyDescent="0.25">
      <c r="F3975">
        <v>3972</v>
      </c>
      <c r="G3975">
        <f ca="1">_xlfn.NORM.INV(RAND(),$M$7,$M$8)</f>
        <v>2.6120371220665422E-4</v>
      </c>
    </row>
    <row r="3976" spans="6:7" x14ac:dyDescent="0.25">
      <c r="F3976">
        <v>3973</v>
      </c>
      <c r="G3976">
        <f ca="1">_xlfn.NORM.INV(RAND(),$M$7,$M$8)</f>
        <v>-3.1613938612563112E-2</v>
      </c>
    </row>
    <row r="3977" spans="6:7" x14ac:dyDescent="0.25">
      <c r="F3977">
        <v>3974</v>
      </c>
      <c r="G3977">
        <f ca="1">_xlfn.NORM.INV(RAND(),$M$7,$M$8)</f>
        <v>-1.1257372207533893E-2</v>
      </c>
    </row>
    <row r="3978" spans="6:7" x14ac:dyDescent="0.25">
      <c r="F3978">
        <v>3975</v>
      </c>
      <c r="G3978">
        <f ca="1">_xlfn.NORM.INV(RAND(),$M$7,$M$8)</f>
        <v>-1.3949346303766293E-2</v>
      </c>
    </row>
    <row r="3979" spans="6:7" x14ac:dyDescent="0.25">
      <c r="F3979">
        <v>3976</v>
      </c>
      <c r="G3979">
        <f ca="1">_xlfn.NORM.INV(RAND(),$M$7,$M$8)</f>
        <v>-1.996386362328266E-2</v>
      </c>
    </row>
    <row r="3980" spans="6:7" x14ac:dyDescent="0.25">
      <c r="F3980">
        <v>3977</v>
      </c>
      <c r="G3980">
        <f ca="1">_xlfn.NORM.INV(RAND(),$M$7,$M$8)</f>
        <v>2.8512529478903578E-2</v>
      </c>
    </row>
    <row r="3981" spans="6:7" x14ac:dyDescent="0.25">
      <c r="F3981">
        <v>3978</v>
      </c>
      <c r="G3981">
        <f ca="1">_xlfn.NORM.INV(RAND(),$M$7,$M$8)</f>
        <v>4.5140851173324045E-2</v>
      </c>
    </row>
    <row r="3982" spans="6:7" x14ac:dyDescent="0.25">
      <c r="F3982">
        <v>3979</v>
      </c>
      <c r="G3982">
        <f ca="1">_xlfn.NORM.INV(RAND(),$M$7,$M$8)</f>
        <v>2.1434112448731404E-2</v>
      </c>
    </row>
    <row r="3983" spans="6:7" x14ac:dyDescent="0.25">
      <c r="F3983">
        <v>3980</v>
      </c>
      <c r="G3983">
        <f ca="1">_xlfn.NORM.INV(RAND(),$M$7,$M$8)</f>
        <v>-7.4607556695152899E-3</v>
      </c>
    </row>
    <row r="3984" spans="6:7" x14ac:dyDescent="0.25">
      <c r="F3984">
        <v>3981</v>
      </c>
      <c r="G3984">
        <f ca="1">_xlfn.NORM.INV(RAND(),$M$7,$M$8)</f>
        <v>1.554837129861484E-2</v>
      </c>
    </row>
    <row r="3985" spans="6:7" x14ac:dyDescent="0.25">
      <c r="F3985">
        <v>3982</v>
      </c>
      <c r="G3985">
        <f ca="1">_xlfn.NORM.INV(RAND(),$M$7,$M$8)</f>
        <v>-2.901913040498208E-2</v>
      </c>
    </row>
    <row r="3986" spans="6:7" x14ac:dyDescent="0.25">
      <c r="F3986">
        <v>3983</v>
      </c>
      <c r="G3986">
        <f ca="1">_xlfn.NORM.INV(RAND(),$M$7,$M$8)</f>
        <v>1.233490447238611E-3</v>
      </c>
    </row>
    <row r="3987" spans="6:7" x14ac:dyDescent="0.25">
      <c r="F3987">
        <v>3984</v>
      </c>
      <c r="G3987">
        <f ca="1">_xlfn.NORM.INV(RAND(),$M$7,$M$8)</f>
        <v>-1.6972760597692677E-2</v>
      </c>
    </row>
    <row r="3988" spans="6:7" x14ac:dyDescent="0.25">
      <c r="F3988">
        <v>3985</v>
      </c>
      <c r="G3988">
        <f ca="1">_xlfn.NORM.INV(RAND(),$M$7,$M$8)</f>
        <v>4.4514554041428366E-2</v>
      </c>
    </row>
    <row r="3989" spans="6:7" x14ac:dyDescent="0.25">
      <c r="F3989">
        <v>3986</v>
      </c>
      <c r="G3989">
        <f ca="1">_xlfn.NORM.INV(RAND(),$M$7,$M$8)</f>
        <v>6.6539373285733599E-3</v>
      </c>
    </row>
    <row r="3990" spans="6:7" x14ac:dyDescent="0.25">
      <c r="F3990">
        <v>3987</v>
      </c>
      <c r="G3990">
        <f ca="1">_xlfn.NORM.INV(RAND(),$M$7,$M$8)</f>
        <v>1.2164296184636181E-2</v>
      </c>
    </row>
    <row r="3991" spans="6:7" x14ac:dyDescent="0.25">
      <c r="F3991">
        <v>3988</v>
      </c>
      <c r="G3991">
        <f ca="1">_xlfn.NORM.INV(RAND(),$M$7,$M$8)</f>
        <v>1.766572581750599E-2</v>
      </c>
    </row>
    <row r="3992" spans="6:7" x14ac:dyDescent="0.25">
      <c r="F3992">
        <v>3989</v>
      </c>
      <c r="G3992">
        <f ca="1">_xlfn.NORM.INV(RAND(),$M$7,$M$8)</f>
        <v>2.8821833723029579E-2</v>
      </c>
    </row>
    <row r="3993" spans="6:7" x14ac:dyDescent="0.25">
      <c r="F3993">
        <v>3990</v>
      </c>
      <c r="G3993">
        <f ca="1">_xlfn.NORM.INV(RAND(),$M$7,$M$8)</f>
        <v>2.2425344921437822E-2</v>
      </c>
    </row>
    <row r="3994" spans="6:7" x14ac:dyDescent="0.25">
      <c r="F3994">
        <v>3991</v>
      </c>
      <c r="G3994">
        <f ca="1">_xlfn.NORM.INV(RAND(),$M$7,$M$8)</f>
        <v>-1.3961503867750417E-2</v>
      </c>
    </row>
    <row r="3995" spans="6:7" x14ac:dyDescent="0.25">
      <c r="F3995">
        <v>3992</v>
      </c>
      <c r="G3995">
        <f ca="1">_xlfn.NORM.INV(RAND(),$M$7,$M$8)</f>
        <v>4.1702925842716163E-2</v>
      </c>
    </row>
    <row r="3996" spans="6:7" x14ac:dyDescent="0.25">
      <c r="F3996">
        <v>3993</v>
      </c>
      <c r="G3996">
        <f ca="1">_xlfn.NORM.INV(RAND(),$M$7,$M$8)</f>
        <v>-9.1452670723856169E-3</v>
      </c>
    </row>
    <row r="3997" spans="6:7" x14ac:dyDescent="0.25">
      <c r="F3997">
        <v>3994</v>
      </c>
      <c r="G3997">
        <f ca="1">_xlfn.NORM.INV(RAND(),$M$7,$M$8)</f>
        <v>4.0589243946565191E-2</v>
      </c>
    </row>
    <row r="3998" spans="6:7" x14ac:dyDescent="0.25">
      <c r="F3998">
        <v>3995</v>
      </c>
      <c r="G3998">
        <f ca="1">_xlfn.NORM.INV(RAND(),$M$7,$M$8)</f>
        <v>-1.2805785083717056E-2</v>
      </c>
    </row>
    <row r="3999" spans="6:7" x14ac:dyDescent="0.25">
      <c r="F3999">
        <v>3996</v>
      </c>
      <c r="G3999">
        <f ca="1">_xlfn.NORM.INV(RAND(),$M$7,$M$8)</f>
        <v>-4.0097367523180064E-2</v>
      </c>
    </row>
    <row r="4000" spans="6:7" x14ac:dyDescent="0.25">
      <c r="F4000">
        <v>3997</v>
      </c>
      <c r="G4000">
        <f ca="1">_xlfn.NORM.INV(RAND(),$M$7,$M$8)</f>
        <v>-3.1045602911969571E-2</v>
      </c>
    </row>
    <row r="4001" spans="6:7" x14ac:dyDescent="0.25">
      <c r="F4001">
        <v>3998</v>
      </c>
      <c r="G4001">
        <f ca="1">_xlfn.NORM.INV(RAND(),$M$7,$M$8)</f>
        <v>5.4072869032600716E-7</v>
      </c>
    </row>
    <row r="4002" spans="6:7" x14ac:dyDescent="0.25">
      <c r="F4002">
        <v>3999</v>
      </c>
      <c r="G4002">
        <f ca="1">_xlfn.NORM.INV(RAND(),$M$7,$M$8)</f>
        <v>5.7305968134567838E-3</v>
      </c>
    </row>
    <row r="4003" spans="6:7" x14ac:dyDescent="0.25">
      <c r="F4003">
        <v>4000</v>
      </c>
      <c r="G4003">
        <f ca="1">_xlfn.NORM.INV(RAND(),$M$7,$M$8)</f>
        <v>-1.0945183252375514E-2</v>
      </c>
    </row>
    <row r="4004" spans="6:7" x14ac:dyDescent="0.25">
      <c r="F4004">
        <v>4001</v>
      </c>
      <c r="G4004">
        <f ca="1">_xlfn.NORM.INV(RAND(),$M$7,$M$8)</f>
        <v>3.6106274110479135E-3</v>
      </c>
    </row>
    <row r="4005" spans="6:7" x14ac:dyDescent="0.25">
      <c r="F4005">
        <v>4002</v>
      </c>
      <c r="G4005">
        <f ca="1">_xlfn.NORM.INV(RAND(),$M$7,$M$8)</f>
        <v>1.8034966999575276E-2</v>
      </c>
    </row>
    <row r="4006" spans="6:7" x14ac:dyDescent="0.25">
      <c r="F4006">
        <v>4003</v>
      </c>
      <c r="G4006">
        <f ca="1">_xlfn.NORM.INV(RAND(),$M$7,$M$8)</f>
        <v>-5.2238446824344545E-3</v>
      </c>
    </row>
    <row r="4007" spans="6:7" x14ac:dyDescent="0.25">
      <c r="F4007">
        <v>4004</v>
      </c>
      <c r="G4007">
        <f ca="1">_xlfn.NORM.INV(RAND(),$M$7,$M$8)</f>
        <v>2.289640248862539E-3</v>
      </c>
    </row>
    <row r="4008" spans="6:7" x14ac:dyDescent="0.25">
      <c r="F4008">
        <v>4005</v>
      </c>
      <c r="G4008">
        <f ca="1">_xlfn.NORM.INV(RAND(),$M$7,$M$8)</f>
        <v>-3.687780447863481E-3</v>
      </c>
    </row>
    <row r="4009" spans="6:7" x14ac:dyDescent="0.25">
      <c r="F4009">
        <v>4006</v>
      </c>
      <c r="G4009">
        <f ca="1">_xlfn.NORM.INV(RAND(),$M$7,$M$8)</f>
        <v>-5.6622936180824295E-3</v>
      </c>
    </row>
    <row r="4010" spans="6:7" x14ac:dyDescent="0.25">
      <c r="F4010">
        <v>4007</v>
      </c>
      <c r="G4010">
        <f ca="1">_xlfn.NORM.INV(RAND(),$M$7,$M$8)</f>
        <v>1.2680468539791961E-2</v>
      </c>
    </row>
    <row r="4011" spans="6:7" x14ac:dyDescent="0.25">
      <c r="F4011">
        <v>4008</v>
      </c>
      <c r="G4011">
        <f ca="1">_xlfn.NORM.INV(RAND(),$M$7,$M$8)</f>
        <v>3.0578790303400979E-2</v>
      </c>
    </row>
    <row r="4012" spans="6:7" x14ac:dyDescent="0.25">
      <c r="F4012">
        <v>4009</v>
      </c>
      <c r="G4012">
        <f ca="1">_xlfn.NORM.INV(RAND(),$M$7,$M$8)</f>
        <v>-1.3689024691618675E-2</v>
      </c>
    </row>
    <row r="4013" spans="6:7" x14ac:dyDescent="0.25">
      <c r="F4013">
        <v>4010</v>
      </c>
      <c r="G4013">
        <f ca="1">_xlfn.NORM.INV(RAND(),$M$7,$M$8)</f>
        <v>-1.3669800209944887E-2</v>
      </c>
    </row>
    <row r="4014" spans="6:7" x14ac:dyDescent="0.25">
      <c r="F4014">
        <v>4011</v>
      </c>
      <c r="G4014">
        <f ca="1">_xlfn.NORM.INV(RAND(),$M$7,$M$8)</f>
        <v>-1.1166440261030897E-3</v>
      </c>
    </row>
    <row r="4015" spans="6:7" x14ac:dyDescent="0.25">
      <c r="F4015">
        <v>4012</v>
      </c>
      <c r="G4015">
        <f ca="1">_xlfn.NORM.INV(RAND(),$M$7,$M$8)</f>
        <v>-1.5757750361905718E-2</v>
      </c>
    </row>
    <row r="4016" spans="6:7" x14ac:dyDescent="0.25">
      <c r="F4016">
        <v>4013</v>
      </c>
      <c r="G4016">
        <f ca="1">_xlfn.NORM.INV(RAND(),$M$7,$M$8)</f>
        <v>5.5151432542371193E-3</v>
      </c>
    </row>
    <row r="4017" spans="6:7" x14ac:dyDescent="0.25">
      <c r="F4017">
        <v>4014</v>
      </c>
      <c r="G4017">
        <f ca="1">_xlfn.NORM.INV(RAND(),$M$7,$M$8)</f>
        <v>2.4948411754074085E-2</v>
      </c>
    </row>
    <row r="4018" spans="6:7" x14ac:dyDescent="0.25">
      <c r="F4018">
        <v>4015</v>
      </c>
      <c r="G4018">
        <f ca="1">_xlfn.NORM.INV(RAND(),$M$7,$M$8)</f>
        <v>4.2699535120524545E-2</v>
      </c>
    </row>
    <row r="4019" spans="6:7" x14ac:dyDescent="0.25">
      <c r="F4019">
        <v>4016</v>
      </c>
      <c r="G4019">
        <f ca="1">_xlfn.NORM.INV(RAND(),$M$7,$M$8)</f>
        <v>8.9525010095486048E-3</v>
      </c>
    </row>
    <row r="4020" spans="6:7" x14ac:dyDescent="0.25">
      <c r="F4020">
        <v>4017</v>
      </c>
      <c r="G4020">
        <f ca="1">_xlfn.NORM.INV(RAND(),$M$7,$M$8)</f>
        <v>6.6872197909991198E-3</v>
      </c>
    </row>
    <row r="4021" spans="6:7" x14ac:dyDescent="0.25">
      <c r="F4021">
        <v>4018</v>
      </c>
      <c r="G4021">
        <f ca="1">_xlfn.NORM.INV(RAND(),$M$7,$M$8)</f>
        <v>-4.1915070270643878E-3</v>
      </c>
    </row>
    <row r="4022" spans="6:7" x14ac:dyDescent="0.25">
      <c r="F4022">
        <v>4019</v>
      </c>
      <c r="G4022">
        <f ca="1">_xlfn.NORM.INV(RAND(),$M$7,$M$8)</f>
        <v>-2.0395768495124551E-4</v>
      </c>
    </row>
    <row r="4023" spans="6:7" x14ac:dyDescent="0.25">
      <c r="F4023">
        <v>4020</v>
      </c>
      <c r="G4023">
        <f ca="1">_xlfn.NORM.INV(RAND(),$M$7,$M$8)</f>
        <v>4.1400068727421212E-2</v>
      </c>
    </row>
    <row r="4024" spans="6:7" x14ac:dyDescent="0.25">
      <c r="F4024">
        <v>4021</v>
      </c>
      <c r="G4024">
        <f ca="1">_xlfn.NORM.INV(RAND(),$M$7,$M$8)</f>
        <v>-3.8678097904029708E-3</v>
      </c>
    </row>
    <row r="4025" spans="6:7" x14ac:dyDescent="0.25">
      <c r="F4025">
        <v>4022</v>
      </c>
      <c r="G4025">
        <f ca="1">_xlfn.NORM.INV(RAND(),$M$7,$M$8)</f>
        <v>4.8937838938533838E-2</v>
      </c>
    </row>
    <row r="4026" spans="6:7" x14ac:dyDescent="0.25">
      <c r="F4026">
        <v>4023</v>
      </c>
      <c r="G4026">
        <f ca="1">_xlfn.NORM.INV(RAND(),$M$7,$M$8)</f>
        <v>-4.4037551199606992E-2</v>
      </c>
    </row>
    <row r="4027" spans="6:7" x14ac:dyDescent="0.25">
      <c r="F4027">
        <v>4024</v>
      </c>
      <c r="G4027">
        <f ca="1">_xlfn.NORM.INV(RAND(),$M$7,$M$8)</f>
        <v>1.9429471233407263E-2</v>
      </c>
    </row>
    <row r="4028" spans="6:7" x14ac:dyDescent="0.25">
      <c r="F4028">
        <v>4025</v>
      </c>
      <c r="G4028">
        <f ca="1">_xlfn.NORM.INV(RAND(),$M$7,$M$8)</f>
        <v>4.5442983250352526E-3</v>
      </c>
    </row>
    <row r="4029" spans="6:7" x14ac:dyDescent="0.25">
      <c r="F4029">
        <v>4026</v>
      </c>
      <c r="G4029">
        <f ca="1">_xlfn.NORM.INV(RAND(),$M$7,$M$8)</f>
        <v>9.9839774390695375E-3</v>
      </c>
    </row>
    <row r="4030" spans="6:7" x14ac:dyDescent="0.25">
      <c r="F4030">
        <v>4027</v>
      </c>
      <c r="G4030">
        <f ca="1">_xlfn.NORM.INV(RAND(),$M$7,$M$8)</f>
        <v>2.5334544935035667E-2</v>
      </c>
    </row>
    <row r="4031" spans="6:7" x14ac:dyDescent="0.25">
      <c r="F4031">
        <v>4028</v>
      </c>
      <c r="G4031">
        <f ca="1">_xlfn.NORM.INV(RAND(),$M$7,$M$8)</f>
        <v>1.9217123768443759E-2</v>
      </c>
    </row>
    <row r="4032" spans="6:7" x14ac:dyDescent="0.25">
      <c r="F4032">
        <v>4029</v>
      </c>
      <c r="G4032">
        <f ca="1">_xlfn.NORM.INV(RAND(),$M$7,$M$8)</f>
        <v>4.1689755682737546E-3</v>
      </c>
    </row>
    <row r="4033" spans="6:7" x14ac:dyDescent="0.25">
      <c r="F4033">
        <v>4030</v>
      </c>
      <c r="G4033">
        <f ca="1">_xlfn.NORM.INV(RAND(),$M$7,$M$8)</f>
        <v>-1.5670239154239391E-2</v>
      </c>
    </row>
    <row r="4034" spans="6:7" x14ac:dyDescent="0.25">
      <c r="F4034">
        <v>4031</v>
      </c>
      <c r="G4034">
        <f ca="1">_xlfn.NORM.INV(RAND(),$M$7,$M$8)</f>
        <v>2.9450410709744777E-2</v>
      </c>
    </row>
    <row r="4035" spans="6:7" x14ac:dyDescent="0.25">
      <c r="F4035">
        <v>4032</v>
      </c>
      <c r="G4035">
        <f ca="1">_xlfn.NORM.INV(RAND(),$M$7,$M$8)</f>
        <v>-3.3360601296024153E-2</v>
      </c>
    </row>
    <row r="4036" spans="6:7" x14ac:dyDescent="0.25">
      <c r="F4036">
        <v>4033</v>
      </c>
      <c r="G4036">
        <f ca="1">_xlfn.NORM.INV(RAND(),$M$7,$M$8)</f>
        <v>-2.8514427690178812E-2</v>
      </c>
    </row>
    <row r="4037" spans="6:7" x14ac:dyDescent="0.25">
      <c r="F4037">
        <v>4034</v>
      </c>
      <c r="G4037">
        <f ca="1">_xlfn.NORM.INV(RAND(),$M$7,$M$8)</f>
        <v>-5.7080826586216063E-2</v>
      </c>
    </row>
    <row r="4038" spans="6:7" x14ac:dyDescent="0.25">
      <c r="F4038">
        <v>4035</v>
      </c>
      <c r="G4038">
        <f ca="1">_xlfn.NORM.INV(RAND(),$M$7,$M$8)</f>
        <v>2.9216744708952452E-2</v>
      </c>
    </row>
    <row r="4039" spans="6:7" x14ac:dyDescent="0.25">
      <c r="F4039">
        <v>4036</v>
      </c>
      <c r="G4039">
        <f ca="1">_xlfn.NORM.INV(RAND(),$M$7,$M$8)</f>
        <v>1.2627064393445487E-2</v>
      </c>
    </row>
    <row r="4040" spans="6:7" x14ac:dyDescent="0.25">
      <c r="F4040">
        <v>4037</v>
      </c>
      <c r="G4040">
        <f ca="1">_xlfn.NORM.INV(RAND(),$M$7,$M$8)</f>
        <v>-7.0681012240708073E-3</v>
      </c>
    </row>
    <row r="4041" spans="6:7" x14ac:dyDescent="0.25">
      <c r="F4041">
        <v>4038</v>
      </c>
      <c r="G4041">
        <f ca="1">_xlfn.NORM.INV(RAND(),$M$7,$M$8)</f>
        <v>-1.4462604696099175E-2</v>
      </c>
    </row>
    <row r="4042" spans="6:7" x14ac:dyDescent="0.25">
      <c r="F4042">
        <v>4039</v>
      </c>
      <c r="G4042">
        <f ca="1">_xlfn.NORM.INV(RAND(),$M$7,$M$8)</f>
        <v>-1.7874274789287967E-2</v>
      </c>
    </row>
    <row r="4043" spans="6:7" x14ac:dyDescent="0.25">
      <c r="F4043">
        <v>4040</v>
      </c>
      <c r="G4043">
        <f ca="1">_xlfn.NORM.INV(RAND(),$M$7,$M$8)</f>
        <v>-4.8996095818222389E-3</v>
      </c>
    </row>
    <row r="4044" spans="6:7" x14ac:dyDescent="0.25">
      <c r="F4044">
        <v>4041</v>
      </c>
      <c r="G4044">
        <f ca="1">_xlfn.NORM.INV(RAND(),$M$7,$M$8)</f>
        <v>2.104566310040859E-2</v>
      </c>
    </row>
    <row r="4045" spans="6:7" x14ac:dyDescent="0.25">
      <c r="F4045">
        <v>4042</v>
      </c>
      <c r="G4045">
        <f ca="1">_xlfn.NORM.INV(RAND(),$M$7,$M$8)</f>
        <v>-2.2278715035933774E-2</v>
      </c>
    </row>
    <row r="4046" spans="6:7" x14ac:dyDescent="0.25">
      <c r="F4046">
        <v>4043</v>
      </c>
      <c r="G4046">
        <f ca="1">_xlfn.NORM.INV(RAND(),$M$7,$M$8)</f>
        <v>2.3522976784470132E-2</v>
      </c>
    </row>
    <row r="4047" spans="6:7" x14ac:dyDescent="0.25">
      <c r="F4047">
        <v>4044</v>
      </c>
      <c r="G4047">
        <f ca="1">_xlfn.NORM.INV(RAND(),$M$7,$M$8)</f>
        <v>-3.7758947678201558E-2</v>
      </c>
    </row>
    <row r="4048" spans="6:7" x14ac:dyDescent="0.25">
      <c r="F4048">
        <v>4045</v>
      </c>
      <c r="G4048">
        <f ca="1">_xlfn.NORM.INV(RAND(),$M$7,$M$8)</f>
        <v>-2.0530036054952801E-2</v>
      </c>
    </row>
    <row r="4049" spans="6:7" x14ac:dyDescent="0.25">
      <c r="F4049">
        <v>4046</v>
      </c>
      <c r="G4049">
        <f ca="1">_xlfn.NORM.INV(RAND(),$M$7,$M$8)</f>
        <v>-7.0608363672679558E-2</v>
      </c>
    </row>
    <row r="4050" spans="6:7" x14ac:dyDescent="0.25">
      <c r="F4050">
        <v>4047</v>
      </c>
      <c r="G4050">
        <f ca="1">_xlfn.NORM.INV(RAND(),$M$7,$M$8)</f>
        <v>2.5684753719603347E-4</v>
      </c>
    </row>
    <row r="4051" spans="6:7" x14ac:dyDescent="0.25">
      <c r="F4051">
        <v>4048</v>
      </c>
      <c r="G4051">
        <f ca="1">_xlfn.NORM.INV(RAND(),$M$7,$M$8)</f>
        <v>2.679601154085454E-2</v>
      </c>
    </row>
    <row r="4052" spans="6:7" x14ac:dyDescent="0.25">
      <c r="F4052">
        <v>4049</v>
      </c>
      <c r="G4052">
        <f ca="1">_xlfn.NORM.INV(RAND(),$M$7,$M$8)</f>
        <v>1.7522865215015785E-2</v>
      </c>
    </row>
    <row r="4053" spans="6:7" x14ac:dyDescent="0.25">
      <c r="F4053">
        <v>4050</v>
      </c>
      <c r="G4053">
        <f ca="1">_xlfn.NORM.INV(RAND(),$M$7,$M$8)</f>
        <v>-2.371215172970113E-2</v>
      </c>
    </row>
    <row r="4054" spans="6:7" x14ac:dyDescent="0.25">
      <c r="F4054">
        <v>4051</v>
      </c>
      <c r="G4054">
        <f ca="1">_xlfn.NORM.INV(RAND(),$M$7,$M$8)</f>
        <v>2.6587442372150424E-2</v>
      </c>
    </row>
    <row r="4055" spans="6:7" x14ac:dyDescent="0.25">
      <c r="F4055">
        <v>4052</v>
      </c>
      <c r="G4055">
        <f ca="1">_xlfn.NORM.INV(RAND(),$M$7,$M$8)</f>
        <v>-1.0893015340112203E-2</v>
      </c>
    </row>
    <row r="4056" spans="6:7" x14ac:dyDescent="0.25">
      <c r="F4056">
        <v>4053</v>
      </c>
      <c r="G4056">
        <f ca="1">_xlfn.NORM.INV(RAND(),$M$7,$M$8)</f>
        <v>-1.158663649126525E-3</v>
      </c>
    </row>
    <row r="4057" spans="6:7" x14ac:dyDescent="0.25">
      <c r="F4057">
        <v>4054</v>
      </c>
      <c r="G4057">
        <f ca="1">_xlfn.NORM.INV(RAND(),$M$7,$M$8)</f>
        <v>-1.0265036015497723E-2</v>
      </c>
    </row>
    <row r="4058" spans="6:7" x14ac:dyDescent="0.25">
      <c r="F4058">
        <v>4055</v>
      </c>
      <c r="G4058">
        <f ca="1">_xlfn.NORM.INV(RAND(),$M$7,$M$8)</f>
        <v>2.1065892302181474E-2</v>
      </c>
    </row>
    <row r="4059" spans="6:7" x14ac:dyDescent="0.25">
      <c r="F4059">
        <v>4056</v>
      </c>
      <c r="G4059">
        <f ca="1">_xlfn.NORM.INV(RAND(),$M$7,$M$8)</f>
        <v>8.7908078327283068E-4</v>
      </c>
    </row>
    <row r="4060" spans="6:7" x14ac:dyDescent="0.25">
      <c r="F4060">
        <v>4057</v>
      </c>
      <c r="G4060">
        <f ca="1">_xlfn.NORM.INV(RAND(),$M$7,$M$8)</f>
        <v>1.1313746995639156E-2</v>
      </c>
    </row>
    <row r="4061" spans="6:7" x14ac:dyDescent="0.25">
      <c r="F4061">
        <v>4058</v>
      </c>
      <c r="G4061">
        <f ca="1">_xlfn.NORM.INV(RAND(),$M$7,$M$8)</f>
        <v>-1.5101348840757506E-2</v>
      </c>
    </row>
    <row r="4062" spans="6:7" x14ac:dyDescent="0.25">
      <c r="F4062">
        <v>4059</v>
      </c>
      <c r="G4062">
        <f ca="1">_xlfn.NORM.INV(RAND(),$M$7,$M$8)</f>
        <v>-1.7637601151358304E-2</v>
      </c>
    </row>
    <row r="4063" spans="6:7" x14ac:dyDescent="0.25">
      <c r="F4063">
        <v>4060</v>
      </c>
      <c r="G4063">
        <f ca="1">_xlfn.NORM.INV(RAND(),$M$7,$M$8)</f>
        <v>1.5672060878794504E-2</v>
      </c>
    </row>
    <row r="4064" spans="6:7" x14ac:dyDescent="0.25">
      <c r="F4064">
        <v>4061</v>
      </c>
      <c r="G4064">
        <f ca="1">_xlfn.NORM.INV(RAND(),$M$7,$M$8)</f>
        <v>8.4807316997764295E-3</v>
      </c>
    </row>
    <row r="4065" spans="6:7" x14ac:dyDescent="0.25">
      <c r="F4065">
        <v>4062</v>
      </c>
      <c r="G4065">
        <f ca="1">_xlfn.NORM.INV(RAND(),$M$7,$M$8)</f>
        <v>1.8662113460087736E-2</v>
      </c>
    </row>
    <row r="4066" spans="6:7" x14ac:dyDescent="0.25">
      <c r="F4066">
        <v>4063</v>
      </c>
      <c r="G4066">
        <f ca="1">_xlfn.NORM.INV(RAND(),$M$7,$M$8)</f>
        <v>4.1893950622191624E-3</v>
      </c>
    </row>
    <row r="4067" spans="6:7" x14ac:dyDescent="0.25">
      <c r="F4067">
        <v>4064</v>
      </c>
      <c r="G4067">
        <f ca="1">_xlfn.NORM.INV(RAND(),$M$7,$M$8)</f>
        <v>-2.1530213830023761E-2</v>
      </c>
    </row>
    <row r="4068" spans="6:7" x14ac:dyDescent="0.25">
      <c r="F4068">
        <v>4065</v>
      </c>
      <c r="G4068">
        <f ca="1">_xlfn.NORM.INV(RAND(),$M$7,$M$8)</f>
        <v>1.799239664652056E-2</v>
      </c>
    </row>
    <row r="4069" spans="6:7" x14ac:dyDescent="0.25">
      <c r="F4069">
        <v>4066</v>
      </c>
      <c r="G4069">
        <f ca="1">_xlfn.NORM.INV(RAND(),$M$7,$M$8)</f>
        <v>-4.2643632469794517E-2</v>
      </c>
    </row>
    <row r="4070" spans="6:7" x14ac:dyDescent="0.25">
      <c r="F4070">
        <v>4067</v>
      </c>
      <c r="G4070">
        <f ca="1">_xlfn.NORM.INV(RAND(),$M$7,$M$8)</f>
        <v>5.5068131387968219E-2</v>
      </c>
    </row>
    <row r="4071" spans="6:7" x14ac:dyDescent="0.25">
      <c r="F4071">
        <v>4068</v>
      </c>
      <c r="G4071">
        <f ca="1">_xlfn.NORM.INV(RAND(),$M$7,$M$8)</f>
        <v>1.8987259636624051E-2</v>
      </c>
    </row>
    <row r="4072" spans="6:7" x14ac:dyDescent="0.25">
      <c r="F4072">
        <v>4069</v>
      </c>
      <c r="G4072">
        <f ca="1">_xlfn.NORM.INV(RAND(),$M$7,$M$8)</f>
        <v>4.8876636376463049E-2</v>
      </c>
    </row>
    <row r="4073" spans="6:7" x14ac:dyDescent="0.25">
      <c r="F4073">
        <v>4070</v>
      </c>
      <c r="G4073">
        <f ca="1">_xlfn.NORM.INV(RAND(),$M$7,$M$8)</f>
        <v>3.3297513662136537E-3</v>
      </c>
    </row>
    <row r="4074" spans="6:7" x14ac:dyDescent="0.25">
      <c r="F4074">
        <v>4071</v>
      </c>
      <c r="G4074">
        <f ca="1">_xlfn.NORM.INV(RAND(),$M$7,$M$8)</f>
        <v>1.3696028153884493E-2</v>
      </c>
    </row>
    <row r="4075" spans="6:7" x14ac:dyDescent="0.25">
      <c r="F4075">
        <v>4072</v>
      </c>
      <c r="G4075">
        <f ca="1">_xlfn.NORM.INV(RAND(),$M$7,$M$8)</f>
        <v>1.9544960014949431E-2</v>
      </c>
    </row>
    <row r="4076" spans="6:7" x14ac:dyDescent="0.25">
      <c r="F4076">
        <v>4073</v>
      </c>
      <c r="G4076">
        <f ca="1">_xlfn.NORM.INV(RAND(),$M$7,$M$8)</f>
        <v>2.0450734702561889E-2</v>
      </c>
    </row>
    <row r="4077" spans="6:7" x14ac:dyDescent="0.25">
      <c r="F4077">
        <v>4074</v>
      </c>
      <c r="G4077">
        <f ca="1">_xlfn.NORM.INV(RAND(),$M$7,$M$8)</f>
        <v>-3.8734513239205418E-2</v>
      </c>
    </row>
    <row r="4078" spans="6:7" x14ac:dyDescent="0.25">
      <c r="F4078">
        <v>4075</v>
      </c>
      <c r="G4078">
        <f ca="1">_xlfn.NORM.INV(RAND(),$M$7,$M$8)</f>
        <v>1.5498229662849857E-2</v>
      </c>
    </row>
    <row r="4079" spans="6:7" x14ac:dyDescent="0.25">
      <c r="F4079">
        <v>4076</v>
      </c>
      <c r="G4079">
        <f ca="1">_xlfn.NORM.INV(RAND(),$M$7,$M$8)</f>
        <v>-2.7744032994712727E-2</v>
      </c>
    </row>
    <row r="4080" spans="6:7" x14ac:dyDescent="0.25">
      <c r="F4080">
        <v>4077</v>
      </c>
      <c r="G4080">
        <f ca="1">_xlfn.NORM.INV(RAND(),$M$7,$M$8)</f>
        <v>-2.4668003498539669E-2</v>
      </c>
    </row>
    <row r="4081" spans="6:7" x14ac:dyDescent="0.25">
      <c r="F4081">
        <v>4078</v>
      </c>
      <c r="G4081">
        <f ca="1">_xlfn.NORM.INV(RAND(),$M$7,$M$8)</f>
        <v>1.2130119542569396E-2</v>
      </c>
    </row>
    <row r="4082" spans="6:7" x14ac:dyDescent="0.25">
      <c r="F4082">
        <v>4079</v>
      </c>
      <c r="G4082">
        <f ca="1">_xlfn.NORM.INV(RAND(),$M$7,$M$8)</f>
        <v>-5.7377170385617848E-2</v>
      </c>
    </row>
    <row r="4083" spans="6:7" x14ac:dyDescent="0.25">
      <c r="F4083">
        <v>4080</v>
      </c>
      <c r="G4083">
        <f ca="1">_xlfn.NORM.INV(RAND(),$M$7,$M$8)</f>
        <v>-3.1483744603496241E-3</v>
      </c>
    </row>
    <row r="4084" spans="6:7" x14ac:dyDescent="0.25">
      <c r="F4084">
        <v>4081</v>
      </c>
      <c r="G4084">
        <f ca="1">_xlfn.NORM.INV(RAND(),$M$7,$M$8)</f>
        <v>3.0251688715917619E-2</v>
      </c>
    </row>
    <row r="4085" spans="6:7" x14ac:dyDescent="0.25">
      <c r="F4085">
        <v>4082</v>
      </c>
      <c r="G4085">
        <f ca="1">_xlfn.NORM.INV(RAND(),$M$7,$M$8)</f>
        <v>1.0409949084652875E-2</v>
      </c>
    </row>
    <row r="4086" spans="6:7" x14ac:dyDescent="0.25">
      <c r="F4086">
        <v>4083</v>
      </c>
      <c r="G4086">
        <f ca="1">_xlfn.NORM.INV(RAND(),$M$7,$M$8)</f>
        <v>-2.8823699854309926E-2</v>
      </c>
    </row>
    <row r="4087" spans="6:7" x14ac:dyDescent="0.25">
      <c r="F4087">
        <v>4084</v>
      </c>
      <c r="G4087">
        <f ca="1">_xlfn.NORM.INV(RAND(),$M$7,$M$8)</f>
        <v>1.3371433290685004E-2</v>
      </c>
    </row>
    <row r="4088" spans="6:7" x14ac:dyDescent="0.25">
      <c r="F4088">
        <v>4085</v>
      </c>
      <c r="G4088">
        <f ca="1">_xlfn.NORM.INV(RAND(),$M$7,$M$8)</f>
        <v>3.9751444278328853E-3</v>
      </c>
    </row>
    <row r="4089" spans="6:7" x14ac:dyDescent="0.25">
      <c r="F4089">
        <v>4086</v>
      </c>
      <c r="G4089">
        <f ca="1">_xlfn.NORM.INV(RAND(),$M$7,$M$8)</f>
        <v>-1.6290876854854371E-2</v>
      </c>
    </row>
    <row r="4090" spans="6:7" x14ac:dyDescent="0.25">
      <c r="F4090">
        <v>4087</v>
      </c>
      <c r="G4090">
        <f ca="1">_xlfn.NORM.INV(RAND(),$M$7,$M$8)</f>
        <v>2.5354940969639059E-2</v>
      </c>
    </row>
    <row r="4091" spans="6:7" x14ac:dyDescent="0.25">
      <c r="F4091">
        <v>4088</v>
      </c>
      <c r="G4091">
        <f ca="1">_xlfn.NORM.INV(RAND(),$M$7,$M$8)</f>
        <v>3.5918110595556017E-2</v>
      </c>
    </row>
    <row r="4092" spans="6:7" x14ac:dyDescent="0.25">
      <c r="F4092">
        <v>4089</v>
      </c>
      <c r="G4092">
        <f ca="1">_xlfn.NORM.INV(RAND(),$M$7,$M$8)</f>
        <v>-2.0777733985015343E-2</v>
      </c>
    </row>
    <row r="4093" spans="6:7" x14ac:dyDescent="0.25">
      <c r="F4093">
        <v>4090</v>
      </c>
      <c r="G4093">
        <f ca="1">_xlfn.NORM.INV(RAND(),$M$7,$M$8)</f>
        <v>5.2393813056132253E-3</v>
      </c>
    </row>
    <row r="4094" spans="6:7" x14ac:dyDescent="0.25">
      <c r="F4094">
        <v>4091</v>
      </c>
      <c r="G4094">
        <f ca="1">_xlfn.NORM.INV(RAND(),$M$7,$M$8)</f>
        <v>1.9157560639004634E-2</v>
      </c>
    </row>
    <row r="4095" spans="6:7" x14ac:dyDescent="0.25">
      <c r="F4095">
        <v>4092</v>
      </c>
      <c r="G4095">
        <f ca="1">_xlfn.NORM.INV(RAND(),$M$7,$M$8)</f>
        <v>-3.0412208962158824E-2</v>
      </c>
    </row>
    <row r="4096" spans="6:7" x14ac:dyDescent="0.25">
      <c r="F4096">
        <v>4093</v>
      </c>
      <c r="G4096">
        <f ca="1">_xlfn.NORM.INV(RAND(),$M$7,$M$8)</f>
        <v>-1.2517992657935123E-2</v>
      </c>
    </row>
    <row r="4097" spans="6:7" x14ac:dyDescent="0.25">
      <c r="F4097">
        <v>4094</v>
      </c>
      <c r="G4097">
        <f ca="1">_xlfn.NORM.INV(RAND(),$M$7,$M$8)</f>
        <v>1.7700807232901072E-2</v>
      </c>
    </row>
    <row r="4098" spans="6:7" x14ac:dyDescent="0.25">
      <c r="F4098">
        <v>4095</v>
      </c>
      <c r="G4098">
        <f ca="1">_xlfn.NORM.INV(RAND(),$M$7,$M$8)</f>
        <v>2.2697338966429021E-2</v>
      </c>
    </row>
    <row r="4099" spans="6:7" x14ac:dyDescent="0.25">
      <c r="F4099">
        <v>4096</v>
      </c>
      <c r="G4099">
        <f ca="1">_xlfn.NORM.INV(RAND(),$M$7,$M$8)</f>
        <v>9.1755162988035044E-3</v>
      </c>
    </row>
    <row r="4100" spans="6:7" x14ac:dyDescent="0.25">
      <c r="F4100">
        <v>4097</v>
      </c>
      <c r="G4100">
        <f ca="1">_xlfn.NORM.INV(RAND(),$M$7,$M$8)</f>
        <v>9.1155670381891634E-3</v>
      </c>
    </row>
    <row r="4101" spans="6:7" x14ac:dyDescent="0.25">
      <c r="F4101">
        <v>4098</v>
      </c>
      <c r="G4101">
        <f ca="1">_xlfn.NORM.INV(RAND(),$M$7,$M$8)</f>
        <v>-1.6853355541195436E-2</v>
      </c>
    </row>
    <row r="4102" spans="6:7" x14ac:dyDescent="0.25">
      <c r="F4102">
        <v>4099</v>
      </c>
      <c r="G4102">
        <f ca="1">_xlfn.NORM.INV(RAND(),$M$7,$M$8)</f>
        <v>-2.0200827668462644E-2</v>
      </c>
    </row>
    <row r="4103" spans="6:7" x14ac:dyDescent="0.25">
      <c r="F4103">
        <v>4100</v>
      </c>
      <c r="G4103">
        <f ca="1">_xlfn.NORM.INV(RAND(),$M$7,$M$8)</f>
        <v>-3.7382141414440365E-2</v>
      </c>
    </row>
    <row r="4104" spans="6:7" x14ac:dyDescent="0.25">
      <c r="F4104">
        <v>4101</v>
      </c>
      <c r="G4104">
        <f ca="1">_xlfn.NORM.INV(RAND(),$M$7,$M$8)</f>
        <v>3.9105276641294116E-2</v>
      </c>
    </row>
    <row r="4105" spans="6:7" x14ac:dyDescent="0.25">
      <c r="F4105">
        <v>4102</v>
      </c>
      <c r="G4105">
        <f ca="1">_xlfn.NORM.INV(RAND(),$M$7,$M$8)</f>
        <v>-1.9414505143553338E-2</v>
      </c>
    </row>
    <row r="4106" spans="6:7" x14ac:dyDescent="0.25">
      <c r="F4106">
        <v>4103</v>
      </c>
      <c r="G4106">
        <f ca="1">_xlfn.NORM.INV(RAND(),$M$7,$M$8)</f>
        <v>-1.6817221454193624E-2</v>
      </c>
    </row>
    <row r="4107" spans="6:7" x14ac:dyDescent="0.25">
      <c r="F4107">
        <v>4104</v>
      </c>
      <c r="G4107">
        <f ca="1">_xlfn.NORM.INV(RAND(),$M$7,$M$8)</f>
        <v>-1.5277734510313324E-2</v>
      </c>
    </row>
    <row r="4108" spans="6:7" x14ac:dyDescent="0.25">
      <c r="F4108">
        <v>4105</v>
      </c>
      <c r="G4108">
        <f ca="1">_xlfn.NORM.INV(RAND(),$M$7,$M$8)</f>
        <v>3.0053928827751399E-2</v>
      </c>
    </row>
    <row r="4109" spans="6:7" x14ac:dyDescent="0.25">
      <c r="F4109">
        <v>4106</v>
      </c>
      <c r="G4109">
        <f ca="1">_xlfn.NORM.INV(RAND(),$M$7,$M$8)</f>
        <v>-4.1214064276252758E-2</v>
      </c>
    </row>
    <row r="4110" spans="6:7" x14ac:dyDescent="0.25">
      <c r="F4110">
        <v>4107</v>
      </c>
      <c r="G4110">
        <f ca="1">_xlfn.NORM.INV(RAND(),$M$7,$M$8)</f>
        <v>3.2550097651923994E-2</v>
      </c>
    </row>
    <row r="4111" spans="6:7" x14ac:dyDescent="0.25">
      <c r="F4111">
        <v>4108</v>
      </c>
      <c r="G4111">
        <f ca="1">_xlfn.NORM.INV(RAND(),$M$7,$M$8)</f>
        <v>-5.9096004350243349E-2</v>
      </c>
    </row>
    <row r="4112" spans="6:7" x14ac:dyDescent="0.25">
      <c r="F4112">
        <v>4109</v>
      </c>
      <c r="G4112">
        <f ca="1">_xlfn.NORM.INV(RAND(),$M$7,$M$8)</f>
        <v>3.2268925121032681E-2</v>
      </c>
    </row>
    <row r="4113" spans="6:7" x14ac:dyDescent="0.25">
      <c r="F4113">
        <v>4110</v>
      </c>
      <c r="G4113">
        <f ca="1">_xlfn.NORM.INV(RAND(),$M$7,$M$8)</f>
        <v>-3.9670189479529501E-2</v>
      </c>
    </row>
    <row r="4114" spans="6:7" x14ac:dyDescent="0.25">
      <c r="F4114">
        <v>4111</v>
      </c>
      <c r="G4114">
        <f ca="1">_xlfn.NORM.INV(RAND(),$M$7,$M$8)</f>
        <v>2.4104737242131972E-2</v>
      </c>
    </row>
    <row r="4115" spans="6:7" x14ac:dyDescent="0.25">
      <c r="F4115">
        <v>4112</v>
      </c>
      <c r="G4115">
        <f ca="1">_xlfn.NORM.INV(RAND(),$M$7,$M$8)</f>
        <v>-1.1114119859862518E-2</v>
      </c>
    </row>
    <row r="4116" spans="6:7" x14ac:dyDescent="0.25">
      <c r="F4116">
        <v>4113</v>
      </c>
      <c r="G4116">
        <f ca="1">_xlfn.NORM.INV(RAND(),$M$7,$M$8)</f>
        <v>-3.6715675124023073E-2</v>
      </c>
    </row>
    <row r="4117" spans="6:7" x14ac:dyDescent="0.25">
      <c r="F4117">
        <v>4114</v>
      </c>
      <c r="G4117">
        <f ca="1">_xlfn.NORM.INV(RAND(),$M$7,$M$8)</f>
        <v>-2.4962113398896594E-2</v>
      </c>
    </row>
    <row r="4118" spans="6:7" x14ac:dyDescent="0.25">
      <c r="F4118">
        <v>4115</v>
      </c>
      <c r="G4118">
        <f ca="1">_xlfn.NORM.INV(RAND(),$M$7,$M$8)</f>
        <v>2.4432443539128497E-2</v>
      </c>
    </row>
    <row r="4119" spans="6:7" x14ac:dyDescent="0.25">
      <c r="F4119">
        <v>4116</v>
      </c>
      <c r="G4119">
        <f ca="1">_xlfn.NORM.INV(RAND(),$M$7,$M$8)</f>
        <v>2.1191444819045106E-2</v>
      </c>
    </row>
    <row r="4120" spans="6:7" x14ac:dyDescent="0.25">
      <c r="F4120">
        <v>4117</v>
      </c>
      <c r="G4120">
        <f ca="1">_xlfn.NORM.INV(RAND(),$M$7,$M$8)</f>
        <v>-3.8502255266396355E-2</v>
      </c>
    </row>
    <row r="4121" spans="6:7" x14ac:dyDescent="0.25">
      <c r="F4121">
        <v>4118</v>
      </c>
      <c r="G4121">
        <f ca="1">_xlfn.NORM.INV(RAND(),$M$7,$M$8)</f>
        <v>3.9530256824475245E-3</v>
      </c>
    </row>
    <row r="4122" spans="6:7" x14ac:dyDescent="0.25">
      <c r="F4122">
        <v>4119</v>
      </c>
      <c r="G4122">
        <f ca="1">_xlfn.NORM.INV(RAND(),$M$7,$M$8)</f>
        <v>2.8006343386191873E-2</v>
      </c>
    </row>
    <row r="4123" spans="6:7" x14ac:dyDescent="0.25">
      <c r="F4123">
        <v>4120</v>
      </c>
      <c r="G4123">
        <f ca="1">_xlfn.NORM.INV(RAND(),$M$7,$M$8)</f>
        <v>-4.5124621343861492E-2</v>
      </c>
    </row>
    <row r="4124" spans="6:7" x14ac:dyDescent="0.25">
      <c r="F4124">
        <v>4121</v>
      </c>
      <c r="G4124">
        <f ca="1">_xlfn.NORM.INV(RAND(),$M$7,$M$8)</f>
        <v>-1.6151036474872243E-2</v>
      </c>
    </row>
    <row r="4125" spans="6:7" x14ac:dyDescent="0.25">
      <c r="F4125">
        <v>4122</v>
      </c>
      <c r="G4125">
        <f ca="1">_xlfn.NORM.INV(RAND(),$M$7,$M$8)</f>
        <v>-1.7090180487732728E-3</v>
      </c>
    </row>
    <row r="4126" spans="6:7" x14ac:dyDescent="0.25">
      <c r="F4126">
        <v>4123</v>
      </c>
      <c r="G4126">
        <f ca="1">_xlfn.NORM.INV(RAND(),$M$7,$M$8)</f>
        <v>-4.6741960566059379E-2</v>
      </c>
    </row>
    <row r="4127" spans="6:7" x14ac:dyDescent="0.25">
      <c r="F4127">
        <v>4124</v>
      </c>
      <c r="G4127">
        <f ca="1">_xlfn.NORM.INV(RAND(),$M$7,$M$8)</f>
        <v>-1.2392016253732289E-2</v>
      </c>
    </row>
    <row r="4128" spans="6:7" x14ac:dyDescent="0.25">
      <c r="F4128">
        <v>4125</v>
      </c>
      <c r="G4128">
        <f ca="1">_xlfn.NORM.INV(RAND(),$M$7,$M$8)</f>
        <v>2.3062619159392801E-2</v>
      </c>
    </row>
    <row r="4129" spans="6:7" x14ac:dyDescent="0.25">
      <c r="F4129">
        <v>4126</v>
      </c>
      <c r="G4129">
        <f ca="1">_xlfn.NORM.INV(RAND(),$M$7,$M$8)</f>
        <v>1.7344867641624222E-2</v>
      </c>
    </row>
    <row r="4130" spans="6:7" x14ac:dyDescent="0.25">
      <c r="F4130">
        <v>4127</v>
      </c>
      <c r="G4130">
        <f ca="1">_xlfn.NORM.INV(RAND(),$M$7,$M$8)</f>
        <v>9.9553268982830465E-4</v>
      </c>
    </row>
    <row r="4131" spans="6:7" x14ac:dyDescent="0.25">
      <c r="F4131">
        <v>4128</v>
      </c>
      <c r="G4131">
        <f ca="1">_xlfn.NORM.INV(RAND(),$M$7,$M$8)</f>
        <v>1.473086459735576E-4</v>
      </c>
    </row>
    <row r="4132" spans="6:7" x14ac:dyDescent="0.25">
      <c r="F4132">
        <v>4129</v>
      </c>
      <c r="G4132">
        <f ca="1">_xlfn.NORM.INV(RAND(),$M$7,$M$8)</f>
        <v>8.611718459845822E-3</v>
      </c>
    </row>
    <row r="4133" spans="6:7" x14ac:dyDescent="0.25">
      <c r="F4133">
        <v>4130</v>
      </c>
      <c r="G4133">
        <f ca="1">_xlfn.NORM.INV(RAND(),$M$7,$M$8)</f>
        <v>-7.2872993322143143E-2</v>
      </c>
    </row>
    <row r="4134" spans="6:7" x14ac:dyDescent="0.25">
      <c r="F4134">
        <v>4131</v>
      </c>
      <c r="G4134">
        <f ca="1">_xlfn.NORM.INV(RAND(),$M$7,$M$8)</f>
        <v>-6.6046535791532968E-3</v>
      </c>
    </row>
    <row r="4135" spans="6:7" x14ac:dyDescent="0.25">
      <c r="F4135">
        <v>4132</v>
      </c>
      <c r="G4135">
        <f ca="1">_xlfn.NORM.INV(RAND(),$M$7,$M$8)</f>
        <v>3.1344244541934851E-2</v>
      </c>
    </row>
    <row r="4136" spans="6:7" x14ac:dyDescent="0.25">
      <c r="F4136">
        <v>4133</v>
      </c>
      <c r="G4136">
        <f ca="1">_xlfn.NORM.INV(RAND(),$M$7,$M$8)</f>
        <v>3.0806131593747281E-2</v>
      </c>
    </row>
    <row r="4137" spans="6:7" x14ac:dyDescent="0.25">
      <c r="F4137">
        <v>4134</v>
      </c>
      <c r="G4137">
        <f ca="1">_xlfn.NORM.INV(RAND(),$M$7,$M$8)</f>
        <v>2.7743639787292374E-2</v>
      </c>
    </row>
    <row r="4138" spans="6:7" x14ac:dyDescent="0.25">
      <c r="F4138">
        <v>4135</v>
      </c>
      <c r="G4138">
        <f ca="1">_xlfn.NORM.INV(RAND(),$M$7,$M$8)</f>
        <v>2.8462219141073445E-2</v>
      </c>
    </row>
    <row r="4139" spans="6:7" x14ac:dyDescent="0.25">
      <c r="F4139">
        <v>4136</v>
      </c>
      <c r="G4139">
        <f ca="1">_xlfn.NORM.INV(RAND(),$M$7,$M$8)</f>
        <v>-7.9828169394419602E-3</v>
      </c>
    </row>
    <row r="4140" spans="6:7" x14ac:dyDescent="0.25">
      <c r="F4140">
        <v>4137</v>
      </c>
      <c r="G4140">
        <f ca="1">_xlfn.NORM.INV(RAND(),$M$7,$M$8)</f>
        <v>-9.2646283217784758E-3</v>
      </c>
    </row>
    <row r="4141" spans="6:7" x14ac:dyDescent="0.25">
      <c r="F4141">
        <v>4138</v>
      </c>
      <c r="G4141">
        <f ca="1">_xlfn.NORM.INV(RAND(),$M$7,$M$8)</f>
        <v>-1.7543184747990551E-2</v>
      </c>
    </row>
    <row r="4142" spans="6:7" x14ac:dyDescent="0.25">
      <c r="F4142">
        <v>4139</v>
      </c>
      <c r="G4142">
        <f ca="1">_xlfn.NORM.INV(RAND(),$M$7,$M$8)</f>
        <v>-4.8914587496073747E-2</v>
      </c>
    </row>
    <row r="4143" spans="6:7" x14ac:dyDescent="0.25">
      <c r="F4143">
        <v>4140</v>
      </c>
      <c r="G4143">
        <f ca="1">_xlfn.NORM.INV(RAND(),$M$7,$M$8)</f>
        <v>8.5577901050473051E-3</v>
      </c>
    </row>
    <row r="4144" spans="6:7" x14ac:dyDescent="0.25">
      <c r="F4144">
        <v>4141</v>
      </c>
      <c r="G4144">
        <f ca="1">_xlfn.NORM.INV(RAND(),$M$7,$M$8)</f>
        <v>-1.9156450073494542E-2</v>
      </c>
    </row>
    <row r="4145" spans="6:7" x14ac:dyDescent="0.25">
      <c r="F4145">
        <v>4142</v>
      </c>
      <c r="G4145">
        <f ca="1">_xlfn.NORM.INV(RAND(),$M$7,$M$8)</f>
        <v>2.2182806225398269E-2</v>
      </c>
    </row>
    <row r="4146" spans="6:7" x14ac:dyDescent="0.25">
      <c r="F4146">
        <v>4143</v>
      </c>
      <c r="G4146">
        <f ca="1">_xlfn.NORM.INV(RAND(),$M$7,$M$8)</f>
        <v>2.366146687662446E-2</v>
      </c>
    </row>
    <row r="4147" spans="6:7" x14ac:dyDescent="0.25">
      <c r="F4147">
        <v>4144</v>
      </c>
      <c r="G4147">
        <f ca="1">_xlfn.NORM.INV(RAND(),$M$7,$M$8)</f>
        <v>2.969679954492515E-2</v>
      </c>
    </row>
    <row r="4148" spans="6:7" x14ac:dyDescent="0.25">
      <c r="F4148">
        <v>4145</v>
      </c>
      <c r="G4148">
        <f ca="1">_xlfn.NORM.INV(RAND(),$M$7,$M$8)</f>
        <v>-1.1910145525835625E-2</v>
      </c>
    </row>
    <row r="4149" spans="6:7" x14ac:dyDescent="0.25">
      <c r="F4149">
        <v>4146</v>
      </c>
      <c r="G4149">
        <f ca="1">_xlfn.NORM.INV(RAND(),$M$7,$M$8)</f>
        <v>-1.4732107216598379E-2</v>
      </c>
    </row>
    <row r="4150" spans="6:7" x14ac:dyDescent="0.25">
      <c r="F4150">
        <v>4147</v>
      </c>
      <c r="G4150">
        <f ca="1">_xlfn.NORM.INV(RAND(),$M$7,$M$8)</f>
        <v>-1.0975421458515879E-2</v>
      </c>
    </row>
    <row r="4151" spans="6:7" x14ac:dyDescent="0.25">
      <c r="F4151">
        <v>4148</v>
      </c>
      <c r="G4151">
        <f ca="1">_xlfn.NORM.INV(RAND(),$M$7,$M$8)</f>
        <v>-1.1615042810665908E-2</v>
      </c>
    </row>
    <row r="4152" spans="6:7" x14ac:dyDescent="0.25">
      <c r="F4152">
        <v>4149</v>
      </c>
      <c r="G4152">
        <f ca="1">_xlfn.NORM.INV(RAND(),$M$7,$M$8)</f>
        <v>4.2300822866061787E-2</v>
      </c>
    </row>
    <row r="4153" spans="6:7" x14ac:dyDescent="0.25">
      <c r="F4153">
        <v>4150</v>
      </c>
      <c r="G4153">
        <f ca="1">_xlfn.NORM.INV(RAND(),$M$7,$M$8)</f>
        <v>-1.399595820426312E-2</v>
      </c>
    </row>
    <row r="4154" spans="6:7" x14ac:dyDescent="0.25">
      <c r="F4154">
        <v>4151</v>
      </c>
      <c r="G4154">
        <f ca="1">_xlfn.NORM.INV(RAND(),$M$7,$M$8)</f>
        <v>1.1560535478827903E-2</v>
      </c>
    </row>
    <row r="4155" spans="6:7" x14ac:dyDescent="0.25">
      <c r="F4155">
        <v>4152</v>
      </c>
      <c r="G4155">
        <f ca="1">_xlfn.NORM.INV(RAND(),$M$7,$M$8)</f>
        <v>1.1066662827311891E-2</v>
      </c>
    </row>
    <row r="4156" spans="6:7" x14ac:dyDescent="0.25">
      <c r="F4156">
        <v>4153</v>
      </c>
      <c r="G4156">
        <f ca="1">_xlfn.NORM.INV(RAND(),$M$7,$M$8)</f>
        <v>7.8345464909757717E-3</v>
      </c>
    </row>
    <row r="4157" spans="6:7" x14ac:dyDescent="0.25">
      <c r="F4157">
        <v>4154</v>
      </c>
      <c r="G4157">
        <f ca="1">_xlfn.NORM.INV(RAND(),$M$7,$M$8)</f>
        <v>-1.2115327025872376E-2</v>
      </c>
    </row>
    <row r="4158" spans="6:7" x14ac:dyDescent="0.25">
      <c r="F4158">
        <v>4155</v>
      </c>
      <c r="G4158">
        <f ca="1">_xlfn.NORM.INV(RAND(),$M$7,$M$8)</f>
        <v>1.24999044783837E-2</v>
      </c>
    </row>
    <row r="4159" spans="6:7" x14ac:dyDescent="0.25">
      <c r="F4159">
        <v>4156</v>
      </c>
      <c r="G4159">
        <f ca="1">_xlfn.NORM.INV(RAND(),$M$7,$M$8)</f>
        <v>1.5213074237363405E-2</v>
      </c>
    </row>
    <row r="4160" spans="6:7" x14ac:dyDescent="0.25">
      <c r="F4160">
        <v>4157</v>
      </c>
      <c r="G4160">
        <f ca="1">_xlfn.NORM.INV(RAND(),$M$7,$M$8)</f>
        <v>6.3775812001669402E-2</v>
      </c>
    </row>
    <row r="4161" spans="6:7" x14ac:dyDescent="0.25">
      <c r="F4161">
        <v>4158</v>
      </c>
      <c r="G4161">
        <f ca="1">_xlfn.NORM.INV(RAND(),$M$7,$M$8)</f>
        <v>-1.3342270748821258E-2</v>
      </c>
    </row>
    <row r="4162" spans="6:7" x14ac:dyDescent="0.25">
      <c r="F4162">
        <v>4159</v>
      </c>
      <c r="G4162">
        <f ca="1">_xlfn.NORM.INV(RAND(),$M$7,$M$8)</f>
        <v>1.005982115586942E-2</v>
      </c>
    </row>
    <row r="4163" spans="6:7" x14ac:dyDescent="0.25">
      <c r="F4163">
        <v>4160</v>
      </c>
      <c r="G4163">
        <f ca="1">_xlfn.NORM.INV(RAND(),$M$7,$M$8)</f>
        <v>-1.2845173847449909E-2</v>
      </c>
    </row>
    <row r="4164" spans="6:7" x14ac:dyDescent="0.25">
      <c r="F4164">
        <v>4161</v>
      </c>
      <c r="G4164">
        <f ca="1">_xlfn.NORM.INV(RAND(),$M$7,$M$8)</f>
        <v>-2.7406812750495869E-2</v>
      </c>
    </row>
    <row r="4165" spans="6:7" x14ac:dyDescent="0.25">
      <c r="F4165">
        <v>4162</v>
      </c>
      <c r="G4165">
        <f ca="1">_xlfn.NORM.INV(RAND(),$M$7,$M$8)</f>
        <v>-5.7639744986077296E-3</v>
      </c>
    </row>
    <row r="4166" spans="6:7" x14ac:dyDescent="0.25">
      <c r="F4166">
        <v>4163</v>
      </c>
      <c r="G4166">
        <f ca="1">_xlfn.NORM.INV(RAND(),$M$7,$M$8)</f>
        <v>-9.3906853702748708E-4</v>
      </c>
    </row>
    <row r="4167" spans="6:7" x14ac:dyDescent="0.25">
      <c r="F4167">
        <v>4164</v>
      </c>
      <c r="G4167">
        <f ca="1">_xlfn.NORM.INV(RAND(),$M$7,$M$8)</f>
        <v>-2.5762506380087157E-2</v>
      </c>
    </row>
    <row r="4168" spans="6:7" x14ac:dyDescent="0.25">
      <c r="F4168">
        <v>4165</v>
      </c>
      <c r="G4168">
        <f ca="1">_xlfn.NORM.INV(RAND(),$M$7,$M$8)</f>
        <v>1.1994622048581437E-2</v>
      </c>
    </row>
    <row r="4169" spans="6:7" x14ac:dyDescent="0.25">
      <c r="F4169">
        <v>4166</v>
      </c>
      <c r="G4169">
        <f ca="1">_xlfn.NORM.INV(RAND(),$M$7,$M$8)</f>
        <v>-1.2039781064588003E-2</v>
      </c>
    </row>
    <row r="4170" spans="6:7" x14ac:dyDescent="0.25">
      <c r="F4170">
        <v>4167</v>
      </c>
      <c r="G4170">
        <f ca="1">_xlfn.NORM.INV(RAND(),$M$7,$M$8)</f>
        <v>3.4281977356491529E-2</v>
      </c>
    </row>
    <row r="4171" spans="6:7" x14ac:dyDescent="0.25">
      <c r="F4171">
        <v>4168</v>
      </c>
      <c r="G4171">
        <f ca="1">_xlfn.NORM.INV(RAND(),$M$7,$M$8)</f>
        <v>3.9424375051455456E-2</v>
      </c>
    </row>
    <row r="4172" spans="6:7" x14ac:dyDescent="0.25">
      <c r="F4172">
        <v>4169</v>
      </c>
      <c r="G4172">
        <f ca="1">_xlfn.NORM.INV(RAND(),$M$7,$M$8)</f>
        <v>2.6013899015478383E-2</v>
      </c>
    </row>
    <row r="4173" spans="6:7" x14ac:dyDescent="0.25">
      <c r="F4173">
        <v>4170</v>
      </c>
      <c r="G4173">
        <f ca="1">_xlfn.NORM.INV(RAND(),$M$7,$M$8)</f>
        <v>-3.525689632525681E-2</v>
      </c>
    </row>
    <row r="4174" spans="6:7" x14ac:dyDescent="0.25">
      <c r="F4174">
        <v>4171</v>
      </c>
      <c r="G4174">
        <f ca="1">_xlfn.NORM.INV(RAND(),$M$7,$M$8)</f>
        <v>4.0663707624803824E-3</v>
      </c>
    </row>
    <row r="4175" spans="6:7" x14ac:dyDescent="0.25">
      <c r="F4175">
        <v>4172</v>
      </c>
      <c r="G4175">
        <f ca="1">_xlfn.NORM.INV(RAND(),$M$7,$M$8)</f>
        <v>3.1618285823856265E-3</v>
      </c>
    </row>
    <row r="4176" spans="6:7" x14ac:dyDescent="0.25">
      <c r="F4176">
        <v>4173</v>
      </c>
      <c r="G4176">
        <f ca="1">_xlfn.NORM.INV(RAND(),$M$7,$M$8)</f>
        <v>-5.0041460135685153E-3</v>
      </c>
    </row>
    <row r="4177" spans="6:7" x14ac:dyDescent="0.25">
      <c r="F4177">
        <v>4174</v>
      </c>
      <c r="G4177">
        <f ca="1">_xlfn.NORM.INV(RAND(),$M$7,$M$8)</f>
        <v>-1.7224344795162477E-2</v>
      </c>
    </row>
    <row r="4178" spans="6:7" x14ac:dyDescent="0.25">
      <c r="F4178">
        <v>4175</v>
      </c>
      <c r="G4178">
        <f ca="1">_xlfn.NORM.INV(RAND(),$M$7,$M$8)</f>
        <v>-1.1969176433047891E-2</v>
      </c>
    </row>
    <row r="4179" spans="6:7" x14ac:dyDescent="0.25">
      <c r="F4179">
        <v>4176</v>
      </c>
      <c r="G4179">
        <f ca="1">_xlfn.NORM.INV(RAND(),$M$7,$M$8)</f>
        <v>-1.8994891473722426E-2</v>
      </c>
    </row>
    <row r="4180" spans="6:7" x14ac:dyDescent="0.25">
      <c r="F4180">
        <v>4177</v>
      </c>
      <c r="G4180">
        <f ca="1">_xlfn.NORM.INV(RAND(),$M$7,$M$8)</f>
        <v>-2.0312891233859796E-2</v>
      </c>
    </row>
    <row r="4181" spans="6:7" x14ac:dyDescent="0.25">
      <c r="F4181">
        <v>4178</v>
      </c>
      <c r="G4181">
        <f ca="1">_xlfn.NORM.INV(RAND(),$M$7,$M$8)</f>
        <v>-4.1032893038359108E-2</v>
      </c>
    </row>
    <row r="4182" spans="6:7" x14ac:dyDescent="0.25">
      <c r="F4182">
        <v>4179</v>
      </c>
      <c r="G4182">
        <f ca="1">_xlfn.NORM.INV(RAND(),$M$7,$M$8)</f>
        <v>-1.066808094814326E-2</v>
      </c>
    </row>
    <row r="4183" spans="6:7" x14ac:dyDescent="0.25">
      <c r="F4183">
        <v>4180</v>
      </c>
      <c r="G4183">
        <f ca="1">_xlfn.NORM.INV(RAND(),$M$7,$M$8)</f>
        <v>-3.364766347783972E-2</v>
      </c>
    </row>
    <row r="4184" spans="6:7" x14ac:dyDescent="0.25">
      <c r="F4184">
        <v>4181</v>
      </c>
      <c r="G4184">
        <f ca="1">_xlfn.NORM.INV(RAND(),$M$7,$M$8)</f>
        <v>6.4543807511085911E-3</v>
      </c>
    </row>
    <row r="4185" spans="6:7" x14ac:dyDescent="0.25">
      <c r="F4185">
        <v>4182</v>
      </c>
      <c r="G4185">
        <f ca="1">_xlfn.NORM.INV(RAND(),$M$7,$M$8)</f>
        <v>-1.0531065172785072E-2</v>
      </c>
    </row>
    <row r="4186" spans="6:7" x14ac:dyDescent="0.25">
      <c r="F4186">
        <v>4183</v>
      </c>
      <c r="G4186">
        <f ca="1">_xlfn.NORM.INV(RAND(),$M$7,$M$8)</f>
        <v>-2.7242916842713103E-2</v>
      </c>
    </row>
    <row r="4187" spans="6:7" x14ac:dyDescent="0.25">
      <c r="F4187">
        <v>4184</v>
      </c>
      <c r="G4187">
        <f ca="1">_xlfn.NORM.INV(RAND(),$M$7,$M$8)</f>
        <v>5.8827548190954017E-2</v>
      </c>
    </row>
    <row r="4188" spans="6:7" x14ac:dyDescent="0.25">
      <c r="F4188">
        <v>4185</v>
      </c>
      <c r="G4188">
        <f ca="1">_xlfn.NORM.INV(RAND(),$M$7,$M$8)</f>
        <v>1.7040356707743912E-2</v>
      </c>
    </row>
    <row r="4189" spans="6:7" x14ac:dyDescent="0.25">
      <c r="F4189">
        <v>4186</v>
      </c>
      <c r="G4189">
        <f ca="1">_xlfn.NORM.INV(RAND(),$M$7,$M$8)</f>
        <v>-2.059167778123577E-2</v>
      </c>
    </row>
    <row r="4190" spans="6:7" x14ac:dyDescent="0.25">
      <c r="F4190">
        <v>4187</v>
      </c>
      <c r="G4190">
        <f ca="1">_xlfn.NORM.INV(RAND(),$M$7,$M$8)</f>
        <v>-3.4564193121813039E-2</v>
      </c>
    </row>
    <row r="4191" spans="6:7" x14ac:dyDescent="0.25">
      <c r="F4191">
        <v>4188</v>
      </c>
      <c r="G4191">
        <f ca="1">_xlfn.NORM.INV(RAND(),$M$7,$M$8)</f>
        <v>-1.6999471048825442E-2</v>
      </c>
    </row>
    <row r="4192" spans="6:7" x14ac:dyDescent="0.25">
      <c r="F4192">
        <v>4189</v>
      </c>
      <c r="G4192">
        <f ca="1">_xlfn.NORM.INV(RAND(),$M$7,$M$8)</f>
        <v>-7.0746094061764232E-3</v>
      </c>
    </row>
    <row r="4193" spans="6:7" x14ac:dyDescent="0.25">
      <c r="F4193">
        <v>4190</v>
      </c>
      <c r="G4193">
        <f ca="1">_xlfn.NORM.INV(RAND(),$M$7,$M$8)</f>
        <v>-1.0789723264946009E-2</v>
      </c>
    </row>
    <row r="4194" spans="6:7" x14ac:dyDescent="0.25">
      <c r="F4194">
        <v>4191</v>
      </c>
      <c r="G4194">
        <f ca="1">_xlfn.NORM.INV(RAND(),$M$7,$M$8)</f>
        <v>3.0985064699748946E-2</v>
      </c>
    </row>
    <row r="4195" spans="6:7" x14ac:dyDescent="0.25">
      <c r="F4195">
        <v>4192</v>
      </c>
      <c r="G4195">
        <f ca="1">_xlfn.NORM.INV(RAND(),$M$7,$M$8)</f>
        <v>2.7395585566810318E-2</v>
      </c>
    </row>
    <row r="4196" spans="6:7" x14ac:dyDescent="0.25">
      <c r="F4196">
        <v>4193</v>
      </c>
      <c r="G4196">
        <f ca="1">_xlfn.NORM.INV(RAND(),$M$7,$M$8)</f>
        <v>8.1512099445294507E-3</v>
      </c>
    </row>
    <row r="4197" spans="6:7" x14ac:dyDescent="0.25">
      <c r="F4197">
        <v>4194</v>
      </c>
      <c r="G4197">
        <f ca="1">_xlfn.NORM.INV(RAND(),$M$7,$M$8)</f>
        <v>1.4005382484039248E-3</v>
      </c>
    </row>
    <row r="4198" spans="6:7" x14ac:dyDescent="0.25">
      <c r="F4198">
        <v>4195</v>
      </c>
      <c r="G4198">
        <f ca="1">_xlfn.NORM.INV(RAND(),$M$7,$M$8)</f>
        <v>1.3682424620474674E-2</v>
      </c>
    </row>
    <row r="4199" spans="6:7" x14ac:dyDescent="0.25">
      <c r="F4199">
        <v>4196</v>
      </c>
      <c r="G4199">
        <f ca="1">_xlfn.NORM.INV(RAND(),$M$7,$M$8)</f>
        <v>-3.9287043656353798E-2</v>
      </c>
    </row>
    <row r="4200" spans="6:7" x14ac:dyDescent="0.25">
      <c r="F4200">
        <v>4197</v>
      </c>
      <c r="G4200">
        <f ca="1">_xlfn.NORM.INV(RAND(),$M$7,$M$8)</f>
        <v>8.6470242203557212E-3</v>
      </c>
    </row>
    <row r="4201" spans="6:7" x14ac:dyDescent="0.25">
      <c r="F4201">
        <v>4198</v>
      </c>
      <c r="G4201">
        <f ca="1">_xlfn.NORM.INV(RAND(),$M$7,$M$8)</f>
        <v>1.3550083615226619E-2</v>
      </c>
    </row>
    <row r="4202" spans="6:7" x14ac:dyDescent="0.25">
      <c r="F4202">
        <v>4199</v>
      </c>
      <c r="G4202">
        <f ca="1">_xlfn.NORM.INV(RAND(),$M$7,$M$8)</f>
        <v>-4.5329461141238654E-2</v>
      </c>
    </row>
    <row r="4203" spans="6:7" x14ac:dyDescent="0.25">
      <c r="F4203">
        <v>4200</v>
      </c>
      <c r="G4203">
        <f ca="1">_xlfn.NORM.INV(RAND(),$M$7,$M$8)</f>
        <v>-3.6329485502921616E-2</v>
      </c>
    </row>
    <row r="4204" spans="6:7" x14ac:dyDescent="0.25">
      <c r="F4204">
        <v>4201</v>
      </c>
      <c r="G4204">
        <f ca="1">_xlfn.NORM.INV(RAND(),$M$7,$M$8)</f>
        <v>7.5129537687725883E-3</v>
      </c>
    </row>
    <row r="4205" spans="6:7" x14ac:dyDescent="0.25">
      <c r="F4205">
        <v>4202</v>
      </c>
      <c r="G4205">
        <f ca="1">_xlfn.NORM.INV(RAND(),$M$7,$M$8)</f>
        <v>3.5101351125430898E-2</v>
      </c>
    </row>
    <row r="4206" spans="6:7" x14ac:dyDescent="0.25">
      <c r="F4206">
        <v>4203</v>
      </c>
      <c r="G4206">
        <f ca="1">_xlfn.NORM.INV(RAND(),$M$7,$M$8)</f>
        <v>-3.4801272402727739E-3</v>
      </c>
    </row>
    <row r="4207" spans="6:7" x14ac:dyDescent="0.25">
      <c r="F4207">
        <v>4204</v>
      </c>
      <c r="G4207">
        <f ca="1">_xlfn.NORM.INV(RAND(),$M$7,$M$8)</f>
        <v>-3.540521194001519E-2</v>
      </c>
    </row>
    <row r="4208" spans="6:7" x14ac:dyDescent="0.25">
      <c r="F4208">
        <v>4205</v>
      </c>
      <c r="G4208">
        <f ca="1">_xlfn.NORM.INV(RAND(),$M$7,$M$8)</f>
        <v>-1.7681932606910023E-2</v>
      </c>
    </row>
    <row r="4209" spans="6:7" x14ac:dyDescent="0.25">
      <c r="F4209">
        <v>4206</v>
      </c>
      <c r="G4209">
        <f ca="1">_xlfn.NORM.INV(RAND(),$M$7,$M$8)</f>
        <v>-5.9281058243527843E-5</v>
      </c>
    </row>
    <row r="4210" spans="6:7" x14ac:dyDescent="0.25">
      <c r="F4210">
        <v>4207</v>
      </c>
      <c r="G4210">
        <f ca="1">_xlfn.NORM.INV(RAND(),$M$7,$M$8)</f>
        <v>-2.508415624467698E-2</v>
      </c>
    </row>
    <row r="4211" spans="6:7" x14ac:dyDescent="0.25">
      <c r="F4211">
        <v>4208</v>
      </c>
      <c r="G4211">
        <f ca="1">_xlfn.NORM.INV(RAND(),$M$7,$M$8)</f>
        <v>3.5656825096110588E-2</v>
      </c>
    </row>
    <row r="4212" spans="6:7" x14ac:dyDescent="0.25">
      <c r="F4212">
        <v>4209</v>
      </c>
      <c r="G4212">
        <f ca="1">_xlfn.NORM.INV(RAND(),$M$7,$M$8)</f>
        <v>-2.6082905752153118E-2</v>
      </c>
    </row>
    <row r="4213" spans="6:7" x14ac:dyDescent="0.25">
      <c r="F4213">
        <v>4210</v>
      </c>
      <c r="G4213">
        <f ca="1">_xlfn.NORM.INV(RAND(),$M$7,$M$8)</f>
        <v>-3.0728777681131151E-3</v>
      </c>
    </row>
    <row r="4214" spans="6:7" x14ac:dyDescent="0.25">
      <c r="F4214">
        <v>4211</v>
      </c>
      <c r="G4214">
        <f ca="1">_xlfn.NORM.INV(RAND(),$M$7,$M$8)</f>
        <v>-3.6280344739207319E-2</v>
      </c>
    </row>
    <row r="4215" spans="6:7" x14ac:dyDescent="0.25">
      <c r="F4215">
        <v>4212</v>
      </c>
      <c r="G4215">
        <f ca="1">_xlfn.NORM.INV(RAND(),$M$7,$M$8)</f>
        <v>-8.0874546891436909E-3</v>
      </c>
    </row>
    <row r="4216" spans="6:7" x14ac:dyDescent="0.25">
      <c r="F4216">
        <v>4213</v>
      </c>
      <c r="G4216">
        <f ca="1">_xlfn.NORM.INV(RAND(),$M$7,$M$8)</f>
        <v>3.1565040009010295E-2</v>
      </c>
    </row>
    <row r="4217" spans="6:7" x14ac:dyDescent="0.25">
      <c r="F4217">
        <v>4214</v>
      </c>
      <c r="G4217">
        <f ca="1">_xlfn.NORM.INV(RAND(),$M$7,$M$8)</f>
        <v>-2.5608003734561461E-2</v>
      </c>
    </row>
    <row r="4218" spans="6:7" x14ac:dyDescent="0.25">
      <c r="F4218">
        <v>4215</v>
      </c>
      <c r="G4218">
        <f ca="1">_xlfn.NORM.INV(RAND(),$M$7,$M$8)</f>
        <v>2.9889405937505928E-2</v>
      </c>
    </row>
    <row r="4219" spans="6:7" x14ac:dyDescent="0.25">
      <c r="F4219">
        <v>4216</v>
      </c>
      <c r="G4219">
        <f ca="1">_xlfn.NORM.INV(RAND(),$M$7,$M$8)</f>
        <v>1.149513540163666E-2</v>
      </c>
    </row>
    <row r="4220" spans="6:7" x14ac:dyDescent="0.25">
      <c r="F4220">
        <v>4217</v>
      </c>
      <c r="G4220">
        <f ca="1">_xlfn.NORM.INV(RAND(),$M$7,$M$8)</f>
        <v>2.5598610189367807E-2</v>
      </c>
    </row>
    <row r="4221" spans="6:7" x14ac:dyDescent="0.25">
      <c r="F4221">
        <v>4218</v>
      </c>
      <c r="G4221">
        <f ca="1">_xlfn.NORM.INV(RAND(),$M$7,$M$8)</f>
        <v>-3.0245872855645273E-2</v>
      </c>
    </row>
    <row r="4222" spans="6:7" x14ac:dyDescent="0.25">
      <c r="F4222">
        <v>4219</v>
      </c>
      <c r="G4222">
        <f ca="1">_xlfn.NORM.INV(RAND(),$M$7,$M$8)</f>
        <v>-3.655567959643536E-2</v>
      </c>
    </row>
    <row r="4223" spans="6:7" x14ac:dyDescent="0.25">
      <c r="F4223">
        <v>4220</v>
      </c>
      <c r="G4223">
        <f ca="1">_xlfn.NORM.INV(RAND(),$M$7,$M$8)</f>
        <v>1.9399880091639392E-2</v>
      </c>
    </row>
    <row r="4224" spans="6:7" x14ac:dyDescent="0.25">
      <c r="F4224">
        <v>4221</v>
      </c>
      <c r="G4224">
        <f ca="1">_xlfn.NORM.INV(RAND(),$M$7,$M$8)</f>
        <v>-2.0489290795356573E-2</v>
      </c>
    </row>
    <row r="4225" spans="6:7" x14ac:dyDescent="0.25">
      <c r="F4225">
        <v>4222</v>
      </c>
      <c r="G4225">
        <f ca="1">_xlfn.NORM.INV(RAND(),$M$7,$M$8)</f>
        <v>-1.1389879553987372E-2</v>
      </c>
    </row>
    <row r="4226" spans="6:7" x14ac:dyDescent="0.25">
      <c r="F4226">
        <v>4223</v>
      </c>
      <c r="G4226">
        <f ca="1">_xlfn.NORM.INV(RAND(),$M$7,$M$8)</f>
        <v>-3.3768291926853142E-2</v>
      </c>
    </row>
    <row r="4227" spans="6:7" x14ac:dyDescent="0.25">
      <c r="F4227">
        <v>4224</v>
      </c>
      <c r="G4227">
        <f ca="1">_xlfn.NORM.INV(RAND(),$M$7,$M$8)</f>
        <v>4.3185945571891468E-2</v>
      </c>
    </row>
    <row r="4228" spans="6:7" x14ac:dyDescent="0.25">
      <c r="F4228">
        <v>4225</v>
      </c>
      <c r="G4228">
        <f ca="1">_xlfn.NORM.INV(RAND(),$M$7,$M$8)</f>
        <v>5.3769525171063266E-2</v>
      </c>
    </row>
    <row r="4229" spans="6:7" x14ac:dyDescent="0.25">
      <c r="F4229">
        <v>4226</v>
      </c>
      <c r="G4229">
        <f ca="1">_xlfn.NORM.INV(RAND(),$M$7,$M$8)</f>
        <v>-3.3719806246989205E-2</v>
      </c>
    </row>
    <row r="4230" spans="6:7" x14ac:dyDescent="0.25">
      <c r="F4230">
        <v>4227</v>
      </c>
      <c r="G4230">
        <f ca="1">_xlfn.NORM.INV(RAND(),$M$7,$M$8)</f>
        <v>-2.0658112264433058E-3</v>
      </c>
    </row>
    <row r="4231" spans="6:7" x14ac:dyDescent="0.25">
      <c r="F4231">
        <v>4228</v>
      </c>
      <c r="G4231">
        <f ca="1">_xlfn.NORM.INV(RAND(),$M$7,$M$8)</f>
        <v>1.2908661201278307E-2</v>
      </c>
    </row>
    <row r="4232" spans="6:7" x14ac:dyDescent="0.25">
      <c r="F4232">
        <v>4229</v>
      </c>
      <c r="G4232">
        <f ca="1">_xlfn.NORM.INV(RAND(),$M$7,$M$8)</f>
        <v>-9.1016259705931969E-4</v>
      </c>
    </row>
    <row r="4233" spans="6:7" x14ac:dyDescent="0.25">
      <c r="F4233">
        <v>4230</v>
      </c>
      <c r="G4233">
        <f ca="1">_xlfn.NORM.INV(RAND(),$M$7,$M$8)</f>
        <v>-1.0786145760417741E-2</v>
      </c>
    </row>
    <row r="4234" spans="6:7" x14ac:dyDescent="0.25">
      <c r="F4234">
        <v>4231</v>
      </c>
      <c r="G4234">
        <f ca="1">_xlfn.NORM.INV(RAND(),$M$7,$M$8)</f>
        <v>-3.7591566069422891E-2</v>
      </c>
    </row>
    <row r="4235" spans="6:7" x14ac:dyDescent="0.25">
      <c r="F4235">
        <v>4232</v>
      </c>
      <c r="G4235">
        <f ca="1">_xlfn.NORM.INV(RAND(),$M$7,$M$8)</f>
        <v>2.7209926104057567E-2</v>
      </c>
    </row>
    <row r="4236" spans="6:7" x14ac:dyDescent="0.25">
      <c r="F4236">
        <v>4233</v>
      </c>
      <c r="G4236">
        <f ca="1">_xlfn.NORM.INV(RAND(),$M$7,$M$8)</f>
        <v>4.0256172359187992E-2</v>
      </c>
    </row>
    <row r="4237" spans="6:7" x14ac:dyDescent="0.25">
      <c r="F4237">
        <v>4234</v>
      </c>
      <c r="G4237">
        <f ca="1">_xlfn.NORM.INV(RAND(),$M$7,$M$8)</f>
        <v>1.8416994571837791E-2</v>
      </c>
    </row>
    <row r="4238" spans="6:7" x14ac:dyDescent="0.25">
      <c r="F4238">
        <v>4235</v>
      </c>
      <c r="G4238">
        <f ca="1">_xlfn.NORM.INV(RAND(),$M$7,$M$8)</f>
        <v>3.3068629214616221E-3</v>
      </c>
    </row>
    <row r="4239" spans="6:7" x14ac:dyDescent="0.25">
      <c r="F4239">
        <v>4236</v>
      </c>
      <c r="G4239">
        <f ca="1">_xlfn.NORM.INV(RAND(),$M$7,$M$8)</f>
        <v>-6.9113694927330754E-3</v>
      </c>
    </row>
    <row r="4240" spans="6:7" x14ac:dyDescent="0.25">
      <c r="F4240">
        <v>4237</v>
      </c>
      <c r="G4240">
        <f ca="1">_xlfn.NORM.INV(RAND(),$M$7,$M$8)</f>
        <v>1.3186876838437306E-3</v>
      </c>
    </row>
    <row r="4241" spans="6:7" x14ac:dyDescent="0.25">
      <c r="F4241">
        <v>4238</v>
      </c>
      <c r="G4241">
        <f ca="1">_xlfn.NORM.INV(RAND(),$M$7,$M$8)</f>
        <v>-1.1603759707603014E-2</v>
      </c>
    </row>
    <row r="4242" spans="6:7" x14ac:dyDescent="0.25">
      <c r="F4242">
        <v>4239</v>
      </c>
      <c r="G4242">
        <f ca="1">_xlfn.NORM.INV(RAND(),$M$7,$M$8)</f>
        <v>2.8649245344741402E-2</v>
      </c>
    </row>
    <row r="4243" spans="6:7" x14ac:dyDescent="0.25">
      <c r="F4243">
        <v>4240</v>
      </c>
      <c r="G4243">
        <f ca="1">_xlfn.NORM.INV(RAND(),$M$7,$M$8)</f>
        <v>-4.4481640469683177E-2</v>
      </c>
    </row>
    <row r="4244" spans="6:7" x14ac:dyDescent="0.25">
      <c r="F4244">
        <v>4241</v>
      </c>
      <c r="G4244">
        <f ca="1">_xlfn.NORM.INV(RAND(),$M$7,$M$8)</f>
        <v>-2.7267832982898119E-2</v>
      </c>
    </row>
    <row r="4245" spans="6:7" x14ac:dyDescent="0.25">
      <c r="F4245">
        <v>4242</v>
      </c>
      <c r="G4245">
        <f ca="1">_xlfn.NORM.INV(RAND(),$M$7,$M$8)</f>
        <v>2.1868906211266748E-2</v>
      </c>
    </row>
    <row r="4246" spans="6:7" x14ac:dyDescent="0.25">
      <c r="F4246">
        <v>4243</v>
      </c>
      <c r="G4246">
        <f ca="1">_xlfn.NORM.INV(RAND(),$M$7,$M$8)</f>
        <v>9.8538122269651793E-3</v>
      </c>
    </row>
    <row r="4247" spans="6:7" x14ac:dyDescent="0.25">
      <c r="F4247">
        <v>4244</v>
      </c>
      <c r="G4247">
        <f ca="1">_xlfn.NORM.INV(RAND(),$M$7,$M$8)</f>
        <v>6.8223434713984357E-3</v>
      </c>
    </row>
    <row r="4248" spans="6:7" x14ac:dyDescent="0.25">
      <c r="F4248">
        <v>4245</v>
      </c>
      <c r="G4248">
        <f ca="1">_xlfn.NORM.INV(RAND(),$M$7,$M$8)</f>
        <v>-2.8408877969621375E-2</v>
      </c>
    </row>
    <row r="4249" spans="6:7" x14ac:dyDescent="0.25">
      <c r="F4249">
        <v>4246</v>
      </c>
      <c r="G4249">
        <f ca="1">_xlfn.NORM.INV(RAND(),$M$7,$M$8)</f>
        <v>5.4510703722420607E-3</v>
      </c>
    </row>
    <row r="4250" spans="6:7" x14ac:dyDescent="0.25">
      <c r="F4250">
        <v>4247</v>
      </c>
      <c r="G4250">
        <f ca="1">_xlfn.NORM.INV(RAND(),$M$7,$M$8)</f>
        <v>6.8969081761254981E-3</v>
      </c>
    </row>
    <row r="4251" spans="6:7" x14ac:dyDescent="0.25">
      <c r="F4251">
        <v>4248</v>
      </c>
      <c r="G4251">
        <f ca="1">_xlfn.NORM.INV(RAND(),$M$7,$M$8)</f>
        <v>-9.544932241627193E-3</v>
      </c>
    </row>
    <row r="4252" spans="6:7" x14ac:dyDescent="0.25">
      <c r="F4252">
        <v>4249</v>
      </c>
      <c r="G4252">
        <f ca="1">_xlfn.NORM.INV(RAND(),$M$7,$M$8)</f>
        <v>9.8091283298161816E-3</v>
      </c>
    </row>
    <row r="4253" spans="6:7" x14ac:dyDescent="0.25">
      <c r="F4253">
        <v>4250</v>
      </c>
      <c r="G4253">
        <f ca="1">_xlfn.NORM.INV(RAND(),$M$7,$M$8)</f>
        <v>7.323168452220476E-3</v>
      </c>
    </row>
    <row r="4254" spans="6:7" x14ac:dyDescent="0.25">
      <c r="F4254">
        <v>4251</v>
      </c>
      <c r="G4254">
        <f ca="1">_xlfn.NORM.INV(RAND(),$M$7,$M$8)</f>
        <v>2.4196364119405079E-3</v>
      </c>
    </row>
    <row r="4255" spans="6:7" x14ac:dyDescent="0.25">
      <c r="F4255">
        <v>4252</v>
      </c>
      <c r="G4255">
        <f ca="1">_xlfn.NORM.INV(RAND(),$M$7,$M$8)</f>
        <v>4.4203351307416969E-2</v>
      </c>
    </row>
    <row r="4256" spans="6:7" x14ac:dyDescent="0.25">
      <c r="F4256">
        <v>4253</v>
      </c>
      <c r="G4256">
        <f ca="1">_xlfn.NORM.INV(RAND(),$M$7,$M$8)</f>
        <v>8.9292419384529708E-3</v>
      </c>
    </row>
    <row r="4257" spans="6:7" x14ac:dyDescent="0.25">
      <c r="F4257">
        <v>4254</v>
      </c>
      <c r="G4257">
        <f ca="1">_xlfn.NORM.INV(RAND(),$M$7,$M$8)</f>
        <v>5.9246649174328439E-2</v>
      </c>
    </row>
    <row r="4258" spans="6:7" x14ac:dyDescent="0.25">
      <c r="F4258">
        <v>4255</v>
      </c>
      <c r="G4258">
        <f ca="1">_xlfn.NORM.INV(RAND(),$M$7,$M$8)</f>
        <v>3.817962078377099E-2</v>
      </c>
    </row>
    <row r="4259" spans="6:7" x14ac:dyDescent="0.25">
      <c r="F4259">
        <v>4256</v>
      </c>
      <c r="G4259">
        <f ca="1">_xlfn.NORM.INV(RAND(),$M$7,$M$8)</f>
        <v>4.5618324001688179E-2</v>
      </c>
    </row>
    <row r="4260" spans="6:7" x14ac:dyDescent="0.25">
      <c r="F4260">
        <v>4257</v>
      </c>
      <c r="G4260">
        <f ca="1">_xlfn.NORM.INV(RAND(),$M$7,$M$8)</f>
        <v>-1.2564462674486711E-2</v>
      </c>
    </row>
    <row r="4261" spans="6:7" x14ac:dyDescent="0.25">
      <c r="F4261">
        <v>4258</v>
      </c>
      <c r="G4261">
        <f ca="1">_xlfn.NORM.INV(RAND(),$M$7,$M$8)</f>
        <v>-1.7979729413193868E-2</v>
      </c>
    </row>
    <row r="4262" spans="6:7" x14ac:dyDescent="0.25">
      <c r="F4262">
        <v>4259</v>
      </c>
      <c r="G4262">
        <f ca="1">_xlfn.NORM.INV(RAND(),$M$7,$M$8)</f>
        <v>4.7979138485203916E-2</v>
      </c>
    </row>
    <row r="4263" spans="6:7" x14ac:dyDescent="0.25">
      <c r="F4263">
        <v>4260</v>
      </c>
      <c r="G4263">
        <f ca="1">_xlfn.NORM.INV(RAND(),$M$7,$M$8)</f>
        <v>-5.3899095010468412E-2</v>
      </c>
    </row>
    <row r="4264" spans="6:7" x14ac:dyDescent="0.25">
      <c r="F4264">
        <v>4261</v>
      </c>
      <c r="G4264">
        <f ca="1">_xlfn.NORM.INV(RAND(),$M$7,$M$8)</f>
        <v>-2.3084216199688947E-2</v>
      </c>
    </row>
    <row r="4265" spans="6:7" x14ac:dyDescent="0.25">
      <c r="F4265">
        <v>4262</v>
      </c>
      <c r="G4265">
        <f ca="1">_xlfn.NORM.INV(RAND(),$M$7,$M$8)</f>
        <v>-1.0010963875079498E-2</v>
      </c>
    </row>
    <row r="4266" spans="6:7" x14ac:dyDescent="0.25">
      <c r="F4266">
        <v>4263</v>
      </c>
      <c r="G4266">
        <f ca="1">_xlfn.NORM.INV(RAND(),$M$7,$M$8)</f>
        <v>1.7865752827080344E-2</v>
      </c>
    </row>
    <row r="4267" spans="6:7" x14ac:dyDescent="0.25">
      <c r="F4267">
        <v>4264</v>
      </c>
      <c r="G4267">
        <f ca="1">_xlfn.NORM.INV(RAND(),$M$7,$M$8)</f>
        <v>-1.7719110373711648E-2</v>
      </c>
    </row>
    <row r="4268" spans="6:7" x14ac:dyDescent="0.25">
      <c r="F4268">
        <v>4265</v>
      </c>
      <c r="G4268">
        <f ca="1">_xlfn.NORM.INV(RAND(),$M$7,$M$8)</f>
        <v>2.0259803555757912E-2</v>
      </c>
    </row>
    <row r="4269" spans="6:7" x14ac:dyDescent="0.25">
      <c r="F4269">
        <v>4266</v>
      </c>
      <c r="G4269">
        <f ca="1">_xlfn.NORM.INV(RAND(),$M$7,$M$8)</f>
        <v>2.6830930829725364E-2</v>
      </c>
    </row>
    <row r="4270" spans="6:7" x14ac:dyDescent="0.25">
      <c r="F4270">
        <v>4267</v>
      </c>
      <c r="G4270">
        <f ca="1">_xlfn.NORM.INV(RAND(),$M$7,$M$8)</f>
        <v>3.6937777194599883E-2</v>
      </c>
    </row>
    <row r="4271" spans="6:7" x14ac:dyDescent="0.25">
      <c r="F4271">
        <v>4268</v>
      </c>
      <c r="G4271">
        <f ca="1">_xlfn.NORM.INV(RAND(),$M$7,$M$8)</f>
        <v>-4.6960236970906677E-2</v>
      </c>
    </row>
    <row r="4272" spans="6:7" x14ac:dyDescent="0.25">
      <c r="F4272">
        <v>4269</v>
      </c>
      <c r="G4272">
        <f ca="1">_xlfn.NORM.INV(RAND(),$M$7,$M$8)</f>
        <v>3.9987160945912585E-2</v>
      </c>
    </row>
    <row r="4273" spans="6:7" x14ac:dyDescent="0.25">
      <c r="F4273">
        <v>4270</v>
      </c>
      <c r="G4273">
        <f ca="1">_xlfn.NORM.INV(RAND(),$M$7,$M$8)</f>
        <v>2.9647096203382781E-2</v>
      </c>
    </row>
    <row r="4274" spans="6:7" x14ac:dyDescent="0.25">
      <c r="F4274">
        <v>4271</v>
      </c>
      <c r="G4274">
        <f ca="1">_xlfn.NORM.INV(RAND(),$M$7,$M$8)</f>
        <v>3.7052753844857827E-3</v>
      </c>
    </row>
    <row r="4275" spans="6:7" x14ac:dyDescent="0.25">
      <c r="F4275">
        <v>4272</v>
      </c>
      <c r="G4275">
        <f ca="1">_xlfn.NORM.INV(RAND(),$M$7,$M$8)</f>
        <v>-3.2792537310151637E-2</v>
      </c>
    </row>
    <row r="4276" spans="6:7" x14ac:dyDescent="0.25">
      <c r="F4276">
        <v>4273</v>
      </c>
      <c r="G4276">
        <f ca="1">_xlfn.NORM.INV(RAND(),$M$7,$M$8)</f>
        <v>-6.9067607966758725E-3</v>
      </c>
    </row>
    <row r="4277" spans="6:7" x14ac:dyDescent="0.25">
      <c r="F4277">
        <v>4274</v>
      </c>
      <c r="G4277">
        <f ca="1">_xlfn.NORM.INV(RAND(),$M$7,$M$8)</f>
        <v>3.6719507365553461E-2</v>
      </c>
    </row>
    <row r="4278" spans="6:7" x14ac:dyDescent="0.25">
      <c r="F4278">
        <v>4275</v>
      </c>
      <c r="G4278">
        <f ca="1">_xlfn.NORM.INV(RAND(),$M$7,$M$8)</f>
        <v>8.6658536234135945E-3</v>
      </c>
    </row>
    <row r="4279" spans="6:7" x14ac:dyDescent="0.25">
      <c r="F4279">
        <v>4276</v>
      </c>
      <c r="G4279">
        <f ca="1">_xlfn.NORM.INV(RAND(),$M$7,$M$8)</f>
        <v>-1.4788006677279909E-2</v>
      </c>
    </row>
    <row r="4280" spans="6:7" x14ac:dyDescent="0.25">
      <c r="F4280">
        <v>4277</v>
      </c>
      <c r="G4280">
        <f ca="1">_xlfn.NORM.INV(RAND(),$M$7,$M$8)</f>
        <v>2.5224007805866055E-3</v>
      </c>
    </row>
    <row r="4281" spans="6:7" x14ac:dyDescent="0.25">
      <c r="F4281">
        <v>4278</v>
      </c>
      <c r="G4281">
        <f ca="1">_xlfn.NORM.INV(RAND(),$M$7,$M$8)</f>
        <v>5.4603209936467244E-2</v>
      </c>
    </row>
    <row r="4282" spans="6:7" x14ac:dyDescent="0.25">
      <c r="F4282">
        <v>4279</v>
      </c>
      <c r="G4282">
        <f ca="1">_xlfn.NORM.INV(RAND(),$M$7,$M$8)</f>
        <v>-3.9310565804494633E-3</v>
      </c>
    </row>
    <row r="4283" spans="6:7" x14ac:dyDescent="0.25">
      <c r="F4283">
        <v>4280</v>
      </c>
      <c r="G4283">
        <f ca="1">_xlfn.NORM.INV(RAND(),$M$7,$M$8)</f>
        <v>2.9054633860228747E-3</v>
      </c>
    </row>
    <row r="4284" spans="6:7" x14ac:dyDescent="0.25">
      <c r="F4284">
        <v>4281</v>
      </c>
      <c r="G4284">
        <f ca="1">_xlfn.NORM.INV(RAND(),$M$7,$M$8)</f>
        <v>6.9803217306809266E-3</v>
      </c>
    </row>
    <row r="4285" spans="6:7" x14ac:dyDescent="0.25">
      <c r="F4285">
        <v>4282</v>
      </c>
      <c r="G4285">
        <f ca="1">_xlfn.NORM.INV(RAND(),$M$7,$M$8)</f>
        <v>-2.7146353312765388E-2</v>
      </c>
    </row>
    <row r="4286" spans="6:7" x14ac:dyDescent="0.25">
      <c r="F4286">
        <v>4283</v>
      </c>
      <c r="G4286">
        <f ca="1">_xlfn.NORM.INV(RAND(),$M$7,$M$8)</f>
        <v>2.0067129551296584E-3</v>
      </c>
    </row>
    <row r="4287" spans="6:7" x14ac:dyDescent="0.25">
      <c r="F4287">
        <v>4284</v>
      </c>
      <c r="G4287">
        <f ca="1">_xlfn.NORM.INV(RAND(),$M$7,$M$8)</f>
        <v>6.8424678605521691E-3</v>
      </c>
    </row>
    <row r="4288" spans="6:7" x14ac:dyDescent="0.25">
      <c r="F4288">
        <v>4285</v>
      </c>
      <c r="G4288">
        <f ca="1">_xlfn.NORM.INV(RAND(),$M$7,$M$8)</f>
        <v>4.9772638086631928E-3</v>
      </c>
    </row>
    <row r="4289" spans="6:7" x14ac:dyDescent="0.25">
      <c r="F4289">
        <v>4286</v>
      </c>
      <c r="G4289">
        <f ca="1">_xlfn.NORM.INV(RAND(),$M$7,$M$8)</f>
        <v>-2.6366520177554674E-3</v>
      </c>
    </row>
    <row r="4290" spans="6:7" x14ac:dyDescent="0.25">
      <c r="F4290">
        <v>4287</v>
      </c>
      <c r="G4290">
        <f ca="1">_xlfn.NORM.INV(RAND(),$M$7,$M$8)</f>
        <v>-4.4926675381824731E-3</v>
      </c>
    </row>
    <row r="4291" spans="6:7" x14ac:dyDescent="0.25">
      <c r="F4291">
        <v>4288</v>
      </c>
      <c r="G4291">
        <f ca="1">_xlfn.NORM.INV(RAND(),$M$7,$M$8)</f>
        <v>-9.1579440469931103E-3</v>
      </c>
    </row>
    <row r="4292" spans="6:7" x14ac:dyDescent="0.25">
      <c r="F4292">
        <v>4289</v>
      </c>
      <c r="G4292">
        <f ca="1">_xlfn.NORM.INV(RAND(),$M$7,$M$8)</f>
        <v>1.9340644024144881E-2</v>
      </c>
    </row>
    <row r="4293" spans="6:7" x14ac:dyDescent="0.25">
      <c r="F4293">
        <v>4290</v>
      </c>
      <c r="G4293">
        <f ca="1">_xlfn.NORM.INV(RAND(),$M$7,$M$8)</f>
        <v>1.7787361796025695E-3</v>
      </c>
    </row>
    <row r="4294" spans="6:7" x14ac:dyDescent="0.25">
      <c r="F4294">
        <v>4291</v>
      </c>
      <c r="G4294">
        <f ca="1">_xlfn.NORM.INV(RAND(),$M$7,$M$8)</f>
        <v>-4.5951306286879337E-2</v>
      </c>
    </row>
    <row r="4295" spans="6:7" x14ac:dyDescent="0.25">
      <c r="F4295">
        <v>4292</v>
      </c>
      <c r="G4295">
        <f ca="1">_xlfn.NORM.INV(RAND(),$M$7,$M$8)</f>
        <v>2.2170193490357339E-2</v>
      </c>
    </row>
    <row r="4296" spans="6:7" x14ac:dyDescent="0.25">
      <c r="F4296">
        <v>4293</v>
      </c>
      <c r="G4296">
        <f ca="1">_xlfn.NORM.INV(RAND(),$M$7,$M$8)</f>
        <v>4.1998607985150819E-3</v>
      </c>
    </row>
    <row r="4297" spans="6:7" x14ac:dyDescent="0.25">
      <c r="F4297">
        <v>4294</v>
      </c>
      <c r="G4297">
        <f ca="1">_xlfn.NORM.INV(RAND(),$M$7,$M$8)</f>
        <v>-1.1721280695015043E-2</v>
      </c>
    </row>
    <row r="4298" spans="6:7" x14ac:dyDescent="0.25">
      <c r="F4298">
        <v>4295</v>
      </c>
      <c r="G4298">
        <f ca="1">_xlfn.NORM.INV(RAND(),$M$7,$M$8)</f>
        <v>-4.5225263010652716E-2</v>
      </c>
    </row>
    <row r="4299" spans="6:7" x14ac:dyDescent="0.25">
      <c r="F4299">
        <v>4296</v>
      </c>
      <c r="G4299">
        <f ca="1">_xlfn.NORM.INV(RAND(),$M$7,$M$8)</f>
        <v>1.2263641577224963E-2</v>
      </c>
    </row>
    <row r="4300" spans="6:7" x14ac:dyDescent="0.25">
      <c r="F4300">
        <v>4297</v>
      </c>
      <c r="G4300">
        <f ca="1">_xlfn.NORM.INV(RAND(),$M$7,$M$8)</f>
        <v>3.3226013948729912E-3</v>
      </c>
    </row>
    <row r="4301" spans="6:7" x14ac:dyDescent="0.25">
      <c r="F4301">
        <v>4298</v>
      </c>
      <c r="G4301">
        <f ca="1">_xlfn.NORM.INV(RAND(),$M$7,$M$8)</f>
        <v>8.2876927089622961E-3</v>
      </c>
    </row>
    <row r="4302" spans="6:7" x14ac:dyDescent="0.25">
      <c r="F4302">
        <v>4299</v>
      </c>
      <c r="G4302">
        <f ca="1">_xlfn.NORM.INV(RAND(),$M$7,$M$8)</f>
        <v>-1.1124428355940881E-2</v>
      </c>
    </row>
    <row r="4303" spans="6:7" x14ac:dyDescent="0.25">
      <c r="F4303">
        <v>4300</v>
      </c>
      <c r="G4303">
        <f ca="1">_xlfn.NORM.INV(RAND(),$M$7,$M$8)</f>
        <v>9.3749188147956349E-3</v>
      </c>
    </row>
    <row r="4304" spans="6:7" x14ac:dyDescent="0.25">
      <c r="F4304">
        <v>4301</v>
      </c>
      <c r="G4304">
        <f ca="1">_xlfn.NORM.INV(RAND(),$M$7,$M$8)</f>
        <v>1.3896854352129577E-2</v>
      </c>
    </row>
    <row r="4305" spans="6:7" x14ac:dyDescent="0.25">
      <c r="F4305">
        <v>4302</v>
      </c>
      <c r="G4305">
        <f ca="1">_xlfn.NORM.INV(RAND(),$M$7,$M$8)</f>
        <v>-3.7907065042549253E-2</v>
      </c>
    </row>
    <row r="4306" spans="6:7" x14ac:dyDescent="0.25">
      <c r="F4306">
        <v>4303</v>
      </c>
      <c r="G4306">
        <f ca="1">_xlfn.NORM.INV(RAND(),$M$7,$M$8)</f>
        <v>1.0381482113555116E-2</v>
      </c>
    </row>
    <row r="4307" spans="6:7" x14ac:dyDescent="0.25">
      <c r="F4307">
        <v>4304</v>
      </c>
      <c r="G4307">
        <f ca="1">_xlfn.NORM.INV(RAND(),$M$7,$M$8)</f>
        <v>4.3752448394080504E-2</v>
      </c>
    </row>
    <row r="4308" spans="6:7" x14ac:dyDescent="0.25">
      <c r="F4308">
        <v>4305</v>
      </c>
      <c r="G4308">
        <f ca="1">_xlfn.NORM.INV(RAND(),$M$7,$M$8)</f>
        <v>-1.9485057853442029E-2</v>
      </c>
    </row>
    <row r="4309" spans="6:7" x14ac:dyDescent="0.25">
      <c r="F4309">
        <v>4306</v>
      </c>
      <c r="G4309">
        <f ca="1">_xlfn.NORM.INV(RAND(),$M$7,$M$8)</f>
        <v>5.8037229530312796E-2</v>
      </c>
    </row>
    <row r="4310" spans="6:7" x14ac:dyDescent="0.25">
      <c r="F4310">
        <v>4307</v>
      </c>
      <c r="G4310">
        <f ca="1">_xlfn.NORM.INV(RAND(),$M$7,$M$8)</f>
        <v>2.1517677177263682E-2</v>
      </c>
    </row>
    <row r="4311" spans="6:7" x14ac:dyDescent="0.25">
      <c r="F4311">
        <v>4308</v>
      </c>
      <c r="G4311">
        <f ca="1">_xlfn.NORM.INV(RAND(),$M$7,$M$8)</f>
        <v>-1.0918538751402191E-2</v>
      </c>
    </row>
    <row r="4312" spans="6:7" x14ac:dyDescent="0.25">
      <c r="F4312">
        <v>4309</v>
      </c>
      <c r="G4312">
        <f ca="1">_xlfn.NORM.INV(RAND(),$M$7,$M$8)</f>
        <v>6.5438550494426213E-6</v>
      </c>
    </row>
    <row r="4313" spans="6:7" x14ac:dyDescent="0.25">
      <c r="F4313">
        <v>4310</v>
      </c>
      <c r="G4313">
        <f ca="1">_xlfn.NORM.INV(RAND(),$M$7,$M$8)</f>
        <v>-1.7636986461197185E-2</v>
      </c>
    </row>
    <row r="4314" spans="6:7" x14ac:dyDescent="0.25">
      <c r="F4314">
        <v>4311</v>
      </c>
      <c r="G4314">
        <f ca="1">_xlfn.NORM.INV(RAND(),$M$7,$M$8)</f>
        <v>-1.8477382052891018E-2</v>
      </c>
    </row>
    <row r="4315" spans="6:7" x14ac:dyDescent="0.25">
      <c r="F4315">
        <v>4312</v>
      </c>
      <c r="G4315">
        <f ca="1">_xlfn.NORM.INV(RAND(),$M$7,$M$8)</f>
        <v>-3.67059688695168E-3</v>
      </c>
    </row>
    <row r="4316" spans="6:7" x14ac:dyDescent="0.25">
      <c r="F4316">
        <v>4313</v>
      </c>
      <c r="G4316">
        <f ca="1">_xlfn.NORM.INV(RAND(),$M$7,$M$8)</f>
        <v>-5.7652615834528926E-3</v>
      </c>
    </row>
    <row r="4317" spans="6:7" x14ac:dyDescent="0.25">
      <c r="F4317">
        <v>4314</v>
      </c>
      <c r="G4317">
        <f ca="1">_xlfn.NORM.INV(RAND(),$M$7,$M$8)</f>
        <v>1.322083270598534E-2</v>
      </c>
    </row>
    <row r="4318" spans="6:7" x14ac:dyDescent="0.25">
      <c r="F4318">
        <v>4315</v>
      </c>
      <c r="G4318">
        <f ca="1">_xlfn.NORM.INV(RAND(),$M$7,$M$8)</f>
        <v>-8.4481689179595851E-2</v>
      </c>
    </row>
    <row r="4319" spans="6:7" x14ac:dyDescent="0.25">
      <c r="F4319">
        <v>4316</v>
      </c>
      <c r="G4319">
        <f ca="1">_xlfn.NORM.INV(RAND(),$M$7,$M$8)</f>
        <v>4.0127903859659567E-3</v>
      </c>
    </row>
    <row r="4320" spans="6:7" x14ac:dyDescent="0.25">
      <c r="F4320">
        <v>4317</v>
      </c>
      <c r="G4320">
        <f ca="1">_xlfn.NORM.INV(RAND(),$M$7,$M$8)</f>
        <v>-2.248237052812314E-2</v>
      </c>
    </row>
    <row r="4321" spans="6:7" x14ac:dyDescent="0.25">
      <c r="F4321">
        <v>4318</v>
      </c>
      <c r="G4321">
        <f ca="1">_xlfn.NORM.INV(RAND(),$M$7,$M$8)</f>
        <v>6.1650923928339249E-2</v>
      </c>
    </row>
    <row r="4322" spans="6:7" x14ac:dyDescent="0.25">
      <c r="F4322">
        <v>4319</v>
      </c>
      <c r="G4322">
        <f ca="1">_xlfn.NORM.INV(RAND(),$M$7,$M$8)</f>
        <v>1.8006878417141128E-2</v>
      </c>
    </row>
    <row r="4323" spans="6:7" x14ac:dyDescent="0.25">
      <c r="F4323">
        <v>4320</v>
      </c>
      <c r="G4323">
        <f ca="1">_xlfn.NORM.INV(RAND(),$M$7,$M$8)</f>
        <v>-3.1494283894973646E-3</v>
      </c>
    </row>
    <row r="4324" spans="6:7" x14ac:dyDescent="0.25">
      <c r="F4324">
        <v>4321</v>
      </c>
      <c r="G4324">
        <f ca="1">_xlfn.NORM.INV(RAND(),$M$7,$M$8)</f>
        <v>1.5657839083543301E-2</v>
      </c>
    </row>
    <row r="4325" spans="6:7" x14ac:dyDescent="0.25">
      <c r="F4325">
        <v>4322</v>
      </c>
      <c r="G4325">
        <f ca="1">_xlfn.NORM.INV(RAND(),$M$7,$M$8)</f>
        <v>-3.7527236111790846E-2</v>
      </c>
    </row>
    <row r="4326" spans="6:7" x14ac:dyDescent="0.25">
      <c r="F4326">
        <v>4323</v>
      </c>
      <c r="G4326">
        <f ca="1">_xlfn.NORM.INV(RAND(),$M$7,$M$8)</f>
        <v>-2.550127028988641E-2</v>
      </c>
    </row>
    <row r="4327" spans="6:7" x14ac:dyDescent="0.25">
      <c r="F4327">
        <v>4324</v>
      </c>
      <c r="G4327">
        <f ca="1">_xlfn.NORM.INV(RAND(),$M$7,$M$8)</f>
        <v>9.0445519520202856E-4</v>
      </c>
    </row>
    <row r="4328" spans="6:7" x14ac:dyDescent="0.25">
      <c r="F4328">
        <v>4325</v>
      </c>
      <c r="G4328">
        <f ca="1">_xlfn.NORM.INV(RAND(),$M$7,$M$8)</f>
        <v>-1.7541915129486176E-3</v>
      </c>
    </row>
    <row r="4329" spans="6:7" x14ac:dyDescent="0.25">
      <c r="F4329">
        <v>4326</v>
      </c>
      <c r="G4329">
        <f ca="1">_xlfn.NORM.INV(RAND(),$M$7,$M$8)</f>
        <v>-2.1790717089244065E-2</v>
      </c>
    </row>
    <row r="4330" spans="6:7" x14ac:dyDescent="0.25">
      <c r="F4330">
        <v>4327</v>
      </c>
      <c r="G4330">
        <f ca="1">_xlfn.NORM.INV(RAND(),$M$7,$M$8)</f>
        <v>3.2698693220683125E-2</v>
      </c>
    </row>
    <row r="4331" spans="6:7" x14ac:dyDescent="0.25">
      <c r="F4331">
        <v>4328</v>
      </c>
      <c r="G4331">
        <f ca="1">_xlfn.NORM.INV(RAND(),$M$7,$M$8)</f>
        <v>-8.3471855528624121E-3</v>
      </c>
    </row>
    <row r="4332" spans="6:7" x14ac:dyDescent="0.25">
      <c r="F4332">
        <v>4329</v>
      </c>
      <c r="G4332">
        <f ca="1">_xlfn.NORM.INV(RAND(),$M$7,$M$8)</f>
        <v>-1.406451365594113E-2</v>
      </c>
    </row>
    <row r="4333" spans="6:7" x14ac:dyDescent="0.25">
      <c r="F4333">
        <v>4330</v>
      </c>
      <c r="G4333">
        <f ca="1">_xlfn.NORM.INV(RAND(),$M$7,$M$8)</f>
        <v>-3.0132733517163328E-2</v>
      </c>
    </row>
    <row r="4334" spans="6:7" x14ac:dyDescent="0.25">
      <c r="F4334">
        <v>4331</v>
      </c>
      <c r="G4334">
        <f ca="1">_xlfn.NORM.INV(RAND(),$M$7,$M$8)</f>
        <v>-8.0349315307717654E-3</v>
      </c>
    </row>
    <row r="4335" spans="6:7" x14ac:dyDescent="0.25">
      <c r="F4335">
        <v>4332</v>
      </c>
      <c r="G4335">
        <f ca="1">_xlfn.NORM.INV(RAND(),$M$7,$M$8)</f>
        <v>-9.0920920537069742E-3</v>
      </c>
    </row>
    <row r="4336" spans="6:7" x14ac:dyDescent="0.25">
      <c r="F4336">
        <v>4333</v>
      </c>
      <c r="G4336">
        <f ca="1">_xlfn.NORM.INV(RAND(),$M$7,$M$8)</f>
        <v>9.0043962664333264E-3</v>
      </c>
    </row>
    <row r="4337" spans="6:7" x14ac:dyDescent="0.25">
      <c r="F4337">
        <v>4334</v>
      </c>
      <c r="G4337">
        <f ca="1">_xlfn.NORM.INV(RAND(),$M$7,$M$8)</f>
        <v>1.0653561097542865E-2</v>
      </c>
    </row>
    <row r="4338" spans="6:7" x14ac:dyDescent="0.25">
      <c r="F4338">
        <v>4335</v>
      </c>
      <c r="G4338">
        <f ca="1">_xlfn.NORM.INV(RAND(),$M$7,$M$8)</f>
        <v>5.4883236726743535E-3</v>
      </c>
    </row>
    <row r="4339" spans="6:7" x14ac:dyDescent="0.25">
      <c r="F4339">
        <v>4336</v>
      </c>
      <c r="G4339">
        <f ca="1">_xlfn.NORM.INV(RAND(),$M$7,$M$8)</f>
        <v>1.1841950617504784E-2</v>
      </c>
    </row>
    <row r="4340" spans="6:7" x14ac:dyDescent="0.25">
      <c r="F4340">
        <v>4337</v>
      </c>
      <c r="G4340">
        <f ca="1">_xlfn.NORM.INV(RAND(),$M$7,$M$8)</f>
        <v>2.6772175723994495E-2</v>
      </c>
    </row>
    <row r="4341" spans="6:7" x14ac:dyDescent="0.25">
      <c r="F4341">
        <v>4338</v>
      </c>
      <c r="G4341">
        <f ca="1">_xlfn.NORM.INV(RAND(),$M$7,$M$8)</f>
        <v>3.0506886154090883E-2</v>
      </c>
    </row>
    <row r="4342" spans="6:7" x14ac:dyDescent="0.25">
      <c r="F4342">
        <v>4339</v>
      </c>
      <c r="G4342">
        <f ca="1">_xlfn.NORM.INV(RAND(),$M$7,$M$8)</f>
        <v>-2.2630597265036689E-2</v>
      </c>
    </row>
    <row r="4343" spans="6:7" x14ac:dyDescent="0.25">
      <c r="F4343">
        <v>4340</v>
      </c>
      <c r="G4343">
        <f ca="1">_xlfn.NORM.INV(RAND(),$M$7,$M$8)</f>
        <v>-9.3232895331450353E-3</v>
      </c>
    </row>
    <row r="4344" spans="6:7" x14ac:dyDescent="0.25">
      <c r="F4344">
        <v>4341</v>
      </c>
      <c r="G4344">
        <f ca="1">_xlfn.NORM.INV(RAND(),$M$7,$M$8)</f>
        <v>2.7145948324994724E-3</v>
      </c>
    </row>
    <row r="4345" spans="6:7" x14ac:dyDescent="0.25">
      <c r="F4345">
        <v>4342</v>
      </c>
      <c r="G4345">
        <f ca="1">_xlfn.NORM.INV(RAND(),$M$7,$M$8)</f>
        <v>-2.9584373626237784E-2</v>
      </c>
    </row>
    <row r="4346" spans="6:7" x14ac:dyDescent="0.25">
      <c r="F4346">
        <v>4343</v>
      </c>
      <c r="G4346">
        <f ca="1">_xlfn.NORM.INV(RAND(),$M$7,$M$8)</f>
        <v>1.1593719746903531E-2</v>
      </c>
    </row>
    <row r="4347" spans="6:7" x14ac:dyDescent="0.25">
      <c r="F4347">
        <v>4344</v>
      </c>
      <c r="G4347">
        <f ca="1">_xlfn.NORM.INV(RAND(),$M$7,$M$8)</f>
        <v>-7.348718173837223E-3</v>
      </c>
    </row>
    <row r="4348" spans="6:7" x14ac:dyDescent="0.25">
      <c r="F4348">
        <v>4345</v>
      </c>
      <c r="G4348">
        <f ca="1">_xlfn.NORM.INV(RAND(),$M$7,$M$8)</f>
        <v>-2.3557159595717792E-3</v>
      </c>
    </row>
    <row r="4349" spans="6:7" x14ac:dyDescent="0.25">
      <c r="F4349">
        <v>4346</v>
      </c>
      <c r="G4349">
        <f ca="1">_xlfn.NORM.INV(RAND(),$M$7,$M$8)</f>
        <v>2.9431018954949574E-2</v>
      </c>
    </row>
    <row r="4350" spans="6:7" x14ac:dyDescent="0.25">
      <c r="F4350">
        <v>4347</v>
      </c>
      <c r="G4350">
        <f ca="1">_xlfn.NORM.INV(RAND(),$M$7,$M$8)</f>
        <v>3.4216125973171488E-2</v>
      </c>
    </row>
    <row r="4351" spans="6:7" x14ac:dyDescent="0.25">
      <c r="F4351">
        <v>4348</v>
      </c>
      <c r="G4351">
        <f ca="1">_xlfn.NORM.INV(RAND(),$M$7,$M$8)</f>
        <v>-1.2587686403086563E-2</v>
      </c>
    </row>
    <row r="4352" spans="6:7" x14ac:dyDescent="0.25">
      <c r="F4352">
        <v>4349</v>
      </c>
      <c r="G4352">
        <f ca="1">_xlfn.NORM.INV(RAND(),$M$7,$M$8)</f>
        <v>1.9005467842430616E-2</v>
      </c>
    </row>
    <row r="4353" spans="6:7" x14ac:dyDescent="0.25">
      <c r="F4353">
        <v>4350</v>
      </c>
      <c r="G4353">
        <f ca="1">_xlfn.NORM.INV(RAND(),$M$7,$M$8)</f>
        <v>1.2656963120002931E-2</v>
      </c>
    </row>
    <row r="4354" spans="6:7" x14ac:dyDescent="0.25">
      <c r="F4354">
        <v>4351</v>
      </c>
      <c r="G4354">
        <f ca="1">_xlfn.NORM.INV(RAND(),$M$7,$M$8)</f>
        <v>9.4193971124515302E-3</v>
      </c>
    </row>
    <row r="4355" spans="6:7" x14ac:dyDescent="0.25">
      <c r="F4355">
        <v>4352</v>
      </c>
      <c r="G4355">
        <f ca="1">_xlfn.NORM.INV(RAND(),$M$7,$M$8)</f>
        <v>2.0750482221813613E-2</v>
      </c>
    </row>
    <row r="4356" spans="6:7" x14ac:dyDescent="0.25">
      <c r="F4356">
        <v>4353</v>
      </c>
      <c r="G4356">
        <f ca="1">_xlfn.NORM.INV(RAND(),$M$7,$M$8)</f>
        <v>8.8514803162741736E-3</v>
      </c>
    </row>
    <row r="4357" spans="6:7" x14ac:dyDescent="0.25">
      <c r="F4357">
        <v>4354</v>
      </c>
      <c r="G4357">
        <f ca="1">_xlfn.NORM.INV(RAND(),$M$7,$M$8)</f>
        <v>1.8937705299011558E-2</v>
      </c>
    </row>
    <row r="4358" spans="6:7" x14ac:dyDescent="0.25">
      <c r="F4358">
        <v>4355</v>
      </c>
      <c r="G4358">
        <f ca="1">_xlfn.NORM.INV(RAND(),$M$7,$M$8)</f>
        <v>-9.1026382994846538E-3</v>
      </c>
    </row>
    <row r="4359" spans="6:7" x14ac:dyDescent="0.25">
      <c r="F4359">
        <v>4356</v>
      </c>
      <c r="G4359">
        <f ca="1">_xlfn.NORM.INV(RAND(),$M$7,$M$8)</f>
        <v>1.9237418206543757E-2</v>
      </c>
    </row>
    <row r="4360" spans="6:7" x14ac:dyDescent="0.25">
      <c r="F4360">
        <v>4357</v>
      </c>
      <c r="G4360">
        <f ca="1">_xlfn.NORM.INV(RAND(),$M$7,$M$8)</f>
        <v>-4.6485235180061847E-3</v>
      </c>
    </row>
    <row r="4361" spans="6:7" x14ac:dyDescent="0.25">
      <c r="F4361">
        <v>4358</v>
      </c>
      <c r="G4361">
        <f ca="1">_xlfn.NORM.INV(RAND(),$M$7,$M$8)</f>
        <v>-3.3684596213543164E-3</v>
      </c>
    </row>
    <row r="4362" spans="6:7" x14ac:dyDescent="0.25">
      <c r="F4362">
        <v>4359</v>
      </c>
      <c r="G4362">
        <f ca="1">_xlfn.NORM.INV(RAND(),$M$7,$M$8)</f>
        <v>-8.9899380739834247E-3</v>
      </c>
    </row>
    <row r="4363" spans="6:7" x14ac:dyDescent="0.25">
      <c r="F4363">
        <v>4360</v>
      </c>
      <c r="G4363">
        <f ca="1">_xlfn.NORM.INV(RAND(),$M$7,$M$8)</f>
        <v>-6.2393638272524511E-2</v>
      </c>
    </row>
    <row r="4364" spans="6:7" x14ac:dyDescent="0.25">
      <c r="F4364">
        <v>4361</v>
      </c>
      <c r="G4364">
        <f ca="1">_xlfn.NORM.INV(RAND(),$M$7,$M$8)</f>
        <v>4.2545949488956292E-2</v>
      </c>
    </row>
    <row r="4365" spans="6:7" x14ac:dyDescent="0.25">
      <c r="F4365">
        <v>4362</v>
      </c>
      <c r="G4365">
        <f ca="1">_xlfn.NORM.INV(RAND(),$M$7,$M$8)</f>
        <v>-6.9635746100478978E-3</v>
      </c>
    </row>
    <row r="4366" spans="6:7" x14ac:dyDescent="0.25">
      <c r="F4366">
        <v>4363</v>
      </c>
      <c r="G4366">
        <f ca="1">_xlfn.NORM.INV(RAND(),$M$7,$M$8)</f>
        <v>-1.791627380233923E-3</v>
      </c>
    </row>
    <row r="4367" spans="6:7" x14ac:dyDescent="0.25">
      <c r="F4367">
        <v>4364</v>
      </c>
      <c r="G4367">
        <f ca="1">_xlfn.NORM.INV(RAND(),$M$7,$M$8)</f>
        <v>-2.1573411630150682E-2</v>
      </c>
    </row>
    <row r="4368" spans="6:7" x14ac:dyDescent="0.25">
      <c r="F4368">
        <v>4365</v>
      </c>
      <c r="G4368">
        <f ca="1">_xlfn.NORM.INV(RAND(),$M$7,$M$8)</f>
        <v>-1.5864166383459739E-2</v>
      </c>
    </row>
    <row r="4369" spans="6:7" x14ac:dyDescent="0.25">
      <c r="F4369">
        <v>4366</v>
      </c>
      <c r="G4369">
        <f ca="1">_xlfn.NORM.INV(RAND(),$M$7,$M$8)</f>
        <v>-1.8524603146713923E-2</v>
      </c>
    </row>
    <row r="4370" spans="6:7" x14ac:dyDescent="0.25">
      <c r="F4370">
        <v>4367</v>
      </c>
      <c r="G4370">
        <f ca="1">_xlfn.NORM.INV(RAND(),$M$7,$M$8)</f>
        <v>-2.4781945856903066E-4</v>
      </c>
    </row>
    <row r="4371" spans="6:7" x14ac:dyDescent="0.25">
      <c r="F4371">
        <v>4368</v>
      </c>
      <c r="G4371">
        <f ca="1">_xlfn.NORM.INV(RAND(),$M$7,$M$8)</f>
        <v>3.175274335032043E-3</v>
      </c>
    </row>
    <row r="4372" spans="6:7" x14ac:dyDescent="0.25">
      <c r="F4372">
        <v>4369</v>
      </c>
      <c r="G4372">
        <f ca="1">_xlfn.NORM.INV(RAND(),$M$7,$M$8)</f>
        <v>7.1499851039847871E-3</v>
      </c>
    </row>
    <row r="4373" spans="6:7" x14ac:dyDescent="0.25">
      <c r="F4373">
        <v>4370</v>
      </c>
      <c r="G4373">
        <f ca="1">_xlfn.NORM.INV(RAND(),$M$7,$M$8)</f>
        <v>-2.7714165341489977E-3</v>
      </c>
    </row>
    <row r="4374" spans="6:7" x14ac:dyDescent="0.25">
      <c r="F4374">
        <v>4371</v>
      </c>
      <c r="G4374">
        <f ca="1">_xlfn.NORM.INV(RAND(),$M$7,$M$8)</f>
        <v>5.2876552365495604E-4</v>
      </c>
    </row>
    <row r="4375" spans="6:7" x14ac:dyDescent="0.25">
      <c r="F4375">
        <v>4372</v>
      </c>
      <c r="G4375">
        <f ca="1">_xlfn.NORM.INV(RAND(),$M$7,$M$8)</f>
        <v>2.3194398161050841E-2</v>
      </c>
    </row>
    <row r="4376" spans="6:7" x14ac:dyDescent="0.25">
      <c r="F4376">
        <v>4373</v>
      </c>
      <c r="G4376">
        <f ca="1">_xlfn.NORM.INV(RAND(),$M$7,$M$8)</f>
        <v>1.8790579856640767E-2</v>
      </c>
    </row>
    <row r="4377" spans="6:7" x14ac:dyDescent="0.25">
      <c r="F4377">
        <v>4374</v>
      </c>
      <c r="G4377">
        <f ca="1">_xlfn.NORM.INV(RAND(),$M$7,$M$8)</f>
        <v>-1.8843474752002241E-2</v>
      </c>
    </row>
    <row r="4378" spans="6:7" x14ac:dyDescent="0.25">
      <c r="F4378">
        <v>4375</v>
      </c>
      <c r="G4378">
        <f ca="1">_xlfn.NORM.INV(RAND(),$M$7,$M$8)</f>
        <v>3.463923659971477E-3</v>
      </c>
    </row>
    <row r="4379" spans="6:7" x14ac:dyDescent="0.25">
      <c r="F4379">
        <v>4376</v>
      </c>
      <c r="G4379">
        <f ca="1">_xlfn.NORM.INV(RAND(),$M$7,$M$8)</f>
        <v>-1.8623406761322718E-3</v>
      </c>
    </row>
    <row r="4380" spans="6:7" x14ac:dyDescent="0.25">
      <c r="F4380">
        <v>4377</v>
      </c>
      <c r="G4380">
        <f ca="1">_xlfn.NORM.INV(RAND(),$M$7,$M$8)</f>
        <v>-4.4180414214823854E-2</v>
      </c>
    </row>
    <row r="4381" spans="6:7" x14ac:dyDescent="0.25">
      <c r="F4381">
        <v>4378</v>
      </c>
      <c r="G4381">
        <f ca="1">_xlfn.NORM.INV(RAND(),$M$7,$M$8)</f>
        <v>-1.5655327435069668E-2</v>
      </c>
    </row>
    <row r="4382" spans="6:7" x14ac:dyDescent="0.25">
      <c r="F4382">
        <v>4379</v>
      </c>
      <c r="G4382">
        <f ca="1">_xlfn.NORM.INV(RAND(),$M$7,$M$8)</f>
        <v>1.5396438568335726E-2</v>
      </c>
    </row>
    <row r="4383" spans="6:7" x14ac:dyDescent="0.25">
      <c r="F4383">
        <v>4380</v>
      </c>
      <c r="G4383">
        <f ca="1">_xlfn.NORM.INV(RAND(),$M$7,$M$8)</f>
        <v>1.2281781897210809E-2</v>
      </c>
    </row>
    <row r="4384" spans="6:7" x14ac:dyDescent="0.25">
      <c r="F4384">
        <v>4381</v>
      </c>
      <c r="G4384">
        <f ca="1">_xlfn.NORM.INV(RAND(),$M$7,$M$8)</f>
        <v>-4.6020119005920797E-2</v>
      </c>
    </row>
    <row r="4385" spans="6:7" x14ac:dyDescent="0.25">
      <c r="F4385">
        <v>4382</v>
      </c>
      <c r="G4385">
        <f ca="1">_xlfn.NORM.INV(RAND(),$M$7,$M$8)</f>
        <v>-3.4779601145244576E-3</v>
      </c>
    </row>
    <row r="4386" spans="6:7" x14ac:dyDescent="0.25">
      <c r="F4386">
        <v>4383</v>
      </c>
      <c r="G4386">
        <f ca="1">_xlfn.NORM.INV(RAND(),$M$7,$M$8)</f>
        <v>4.1305362307985934E-2</v>
      </c>
    </row>
    <row r="4387" spans="6:7" x14ac:dyDescent="0.25">
      <c r="F4387">
        <v>4384</v>
      </c>
      <c r="G4387">
        <f ca="1">_xlfn.NORM.INV(RAND(),$M$7,$M$8)</f>
        <v>1.7817401941657603E-2</v>
      </c>
    </row>
    <row r="4388" spans="6:7" x14ac:dyDescent="0.25">
      <c r="F4388">
        <v>4385</v>
      </c>
      <c r="G4388">
        <f ca="1">_xlfn.NORM.INV(RAND(),$M$7,$M$8)</f>
        <v>1.0012297075670053E-2</v>
      </c>
    </row>
    <row r="4389" spans="6:7" x14ac:dyDescent="0.25">
      <c r="F4389">
        <v>4386</v>
      </c>
      <c r="G4389">
        <f ca="1">_xlfn.NORM.INV(RAND(),$M$7,$M$8)</f>
        <v>5.4598912679162323E-2</v>
      </c>
    </row>
    <row r="4390" spans="6:7" x14ac:dyDescent="0.25">
      <c r="F4390">
        <v>4387</v>
      </c>
      <c r="G4390">
        <f ca="1">_xlfn.NORM.INV(RAND(),$M$7,$M$8)</f>
        <v>5.9427504222095022E-2</v>
      </c>
    </row>
    <row r="4391" spans="6:7" x14ac:dyDescent="0.25">
      <c r="F4391">
        <v>4388</v>
      </c>
      <c r="G4391">
        <f ca="1">_xlfn.NORM.INV(RAND(),$M$7,$M$8)</f>
        <v>-9.7823803495801429E-3</v>
      </c>
    </row>
    <row r="4392" spans="6:7" x14ac:dyDescent="0.25">
      <c r="F4392">
        <v>4389</v>
      </c>
      <c r="G4392">
        <f ca="1">_xlfn.NORM.INV(RAND(),$M$7,$M$8)</f>
        <v>6.2387703720212954E-2</v>
      </c>
    </row>
    <row r="4393" spans="6:7" x14ac:dyDescent="0.25">
      <c r="F4393">
        <v>4390</v>
      </c>
      <c r="G4393">
        <f ca="1">_xlfn.NORM.INV(RAND(),$M$7,$M$8)</f>
        <v>-3.522566910488293E-2</v>
      </c>
    </row>
    <row r="4394" spans="6:7" x14ac:dyDescent="0.25">
      <c r="F4394">
        <v>4391</v>
      </c>
      <c r="G4394">
        <f ca="1">_xlfn.NORM.INV(RAND(),$M$7,$M$8)</f>
        <v>8.1677614027005161E-3</v>
      </c>
    </row>
    <row r="4395" spans="6:7" x14ac:dyDescent="0.25">
      <c r="F4395">
        <v>4392</v>
      </c>
      <c r="G4395">
        <f ca="1">_xlfn.NORM.INV(RAND(),$M$7,$M$8)</f>
        <v>4.7282658110267599E-2</v>
      </c>
    </row>
    <row r="4396" spans="6:7" x14ac:dyDescent="0.25">
      <c r="F4396">
        <v>4393</v>
      </c>
      <c r="G4396">
        <f ca="1">_xlfn.NORM.INV(RAND(),$M$7,$M$8)</f>
        <v>1.5067991722365445E-2</v>
      </c>
    </row>
    <row r="4397" spans="6:7" x14ac:dyDescent="0.25">
      <c r="F4397">
        <v>4394</v>
      </c>
      <c r="G4397">
        <f ca="1">_xlfn.NORM.INV(RAND(),$M$7,$M$8)</f>
        <v>-8.344876548669812E-3</v>
      </c>
    </row>
    <row r="4398" spans="6:7" x14ac:dyDescent="0.25">
      <c r="F4398">
        <v>4395</v>
      </c>
      <c r="G4398">
        <f ca="1">_xlfn.NORM.INV(RAND(),$M$7,$M$8)</f>
        <v>2.9120149349424397E-2</v>
      </c>
    </row>
    <row r="4399" spans="6:7" x14ac:dyDescent="0.25">
      <c r="F4399">
        <v>4396</v>
      </c>
      <c r="G4399">
        <f ca="1">_xlfn.NORM.INV(RAND(),$M$7,$M$8)</f>
        <v>3.6643639797623702E-2</v>
      </c>
    </row>
    <row r="4400" spans="6:7" x14ac:dyDescent="0.25">
      <c r="F4400">
        <v>4397</v>
      </c>
      <c r="G4400">
        <f ca="1">_xlfn.NORM.INV(RAND(),$M$7,$M$8)</f>
        <v>1.235418931703592E-2</v>
      </c>
    </row>
    <row r="4401" spans="6:7" x14ac:dyDescent="0.25">
      <c r="F4401">
        <v>4398</v>
      </c>
      <c r="G4401">
        <f ca="1">_xlfn.NORM.INV(RAND(),$M$7,$M$8)</f>
        <v>1.3055070249157027E-2</v>
      </c>
    </row>
    <row r="4402" spans="6:7" x14ac:dyDescent="0.25">
      <c r="F4402">
        <v>4399</v>
      </c>
      <c r="G4402">
        <f ca="1">_xlfn.NORM.INV(RAND(),$M$7,$M$8)</f>
        <v>2.6100511568346287E-2</v>
      </c>
    </row>
    <row r="4403" spans="6:7" x14ac:dyDescent="0.25">
      <c r="F4403">
        <v>4400</v>
      </c>
      <c r="G4403">
        <f ca="1">_xlfn.NORM.INV(RAND(),$M$7,$M$8)</f>
        <v>3.4693151851731205E-2</v>
      </c>
    </row>
    <row r="4404" spans="6:7" x14ac:dyDescent="0.25">
      <c r="F4404">
        <v>4401</v>
      </c>
      <c r="G4404">
        <f ca="1">_xlfn.NORM.INV(RAND(),$M$7,$M$8)</f>
        <v>-1.8435873456268102E-2</v>
      </c>
    </row>
    <row r="4405" spans="6:7" x14ac:dyDescent="0.25">
      <c r="F4405">
        <v>4402</v>
      </c>
      <c r="G4405">
        <f ca="1">_xlfn.NORM.INV(RAND(),$M$7,$M$8)</f>
        <v>-7.6812827799159385E-3</v>
      </c>
    </row>
    <row r="4406" spans="6:7" x14ac:dyDescent="0.25">
      <c r="F4406">
        <v>4403</v>
      </c>
      <c r="G4406">
        <f ca="1">_xlfn.NORM.INV(RAND(),$M$7,$M$8)</f>
        <v>1.6961882873311521E-2</v>
      </c>
    </row>
    <row r="4407" spans="6:7" x14ac:dyDescent="0.25">
      <c r="F4407">
        <v>4404</v>
      </c>
      <c r="G4407">
        <f ca="1">_xlfn.NORM.INV(RAND(),$M$7,$M$8)</f>
        <v>1.0659528242137385E-2</v>
      </c>
    </row>
    <row r="4408" spans="6:7" x14ac:dyDescent="0.25">
      <c r="F4408">
        <v>4405</v>
      </c>
      <c r="G4408">
        <f ca="1">_xlfn.NORM.INV(RAND(),$M$7,$M$8)</f>
        <v>6.4345241922044698E-3</v>
      </c>
    </row>
    <row r="4409" spans="6:7" x14ac:dyDescent="0.25">
      <c r="F4409">
        <v>4406</v>
      </c>
      <c r="G4409">
        <f ca="1">_xlfn.NORM.INV(RAND(),$M$7,$M$8)</f>
        <v>2.2730687055371984E-2</v>
      </c>
    </row>
    <row r="4410" spans="6:7" x14ac:dyDescent="0.25">
      <c r="F4410">
        <v>4407</v>
      </c>
      <c r="G4410">
        <f ca="1">_xlfn.NORM.INV(RAND(),$M$7,$M$8)</f>
        <v>-3.1641068482203875E-2</v>
      </c>
    </row>
    <row r="4411" spans="6:7" x14ac:dyDescent="0.25">
      <c r="F4411">
        <v>4408</v>
      </c>
      <c r="G4411">
        <f ca="1">_xlfn.NORM.INV(RAND(),$M$7,$M$8)</f>
        <v>2.5079532822026414E-2</v>
      </c>
    </row>
    <row r="4412" spans="6:7" x14ac:dyDescent="0.25">
      <c r="F4412">
        <v>4409</v>
      </c>
      <c r="G4412">
        <f ca="1">_xlfn.NORM.INV(RAND(),$M$7,$M$8)</f>
        <v>-1.0850539623482548E-2</v>
      </c>
    </row>
    <row r="4413" spans="6:7" x14ac:dyDescent="0.25">
      <c r="F4413">
        <v>4410</v>
      </c>
      <c r="G4413">
        <f ca="1">_xlfn.NORM.INV(RAND(),$M$7,$M$8)</f>
        <v>1.4661472576807676E-2</v>
      </c>
    </row>
    <row r="4414" spans="6:7" x14ac:dyDescent="0.25">
      <c r="F4414">
        <v>4411</v>
      </c>
      <c r="G4414">
        <f ca="1">_xlfn.NORM.INV(RAND(),$M$7,$M$8)</f>
        <v>-6.2911329705795677E-3</v>
      </c>
    </row>
    <row r="4415" spans="6:7" x14ac:dyDescent="0.25">
      <c r="F4415">
        <v>4412</v>
      </c>
      <c r="G4415">
        <f ca="1">_xlfn.NORM.INV(RAND(),$M$7,$M$8)</f>
        <v>1.7284709526103233E-2</v>
      </c>
    </row>
    <row r="4416" spans="6:7" x14ac:dyDescent="0.25">
      <c r="F4416">
        <v>4413</v>
      </c>
      <c r="G4416">
        <f ca="1">_xlfn.NORM.INV(RAND(),$M$7,$M$8)</f>
        <v>-3.6152482356071804E-2</v>
      </c>
    </row>
    <row r="4417" spans="6:7" x14ac:dyDescent="0.25">
      <c r="F4417">
        <v>4414</v>
      </c>
      <c r="G4417">
        <f ca="1">_xlfn.NORM.INV(RAND(),$M$7,$M$8)</f>
        <v>2.1300026018785018E-2</v>
      </c>
    </row>
    <row r="4418" spans="6:7" x14ac:dyDescent="0.25">
      <c r="F4418">
        <v>4415</v>
      </c>
      <c r="G4418">
        <f ca="1">_xlfn.NORM.INV(RAND(),$M$7,$M$8)</f>
        <v>-3.1862134325773214E-2</v>
      </c>
    </row>
    <row r="4419" spans="6:7" x14ac:dyDescent="0.25">
      <c r="F4419">
        <v>4416</v>
      </c>
      <c r="G4419">
        <f ca="1">_xlfn.NORM.INV(RAND(),$M$7,$M$8)</f>
        <v>-3.3356989652737638E-2</v>
      </c>
    </row>
    <row r="4420" spans="6:7" x14ac:dyDescent="0.25">
      <c r="F4420">
        <v>4417</v>
      </c>
      <c r="G4420">
        <f ca="1">_xlfn.NORM.INV(RAND(),$M$7,$M$8)</f>
        <v>-6.9366149651171882E-3</v>
      </c>
    </row>
    <row r="4421" spans="6:7" x14ac:dyDescent="0.25">
      <c r="F4421">
        <v>4418</v>
      </c>
      <c r="G4421">
        <f ca="1">_xlfn.NORM.INV(RAND(),$M$7,$M$8)</f>
        <v>-1.1514431852491713E-3</v>
      </c>
    </row>
    <row r="4422" spans="6:7" x14ac:dyDescent="0.25">
      <c r="F4422">
        <v>4419</v>
      </c>
      <c r="G4422">
        <f ca="1">_xlfn.NORM.INV(RAND(),$M$7,$M$8)</f>
        <v>6.5953489026013648E-4</v>
      </c>
    </row>
    <row r="4423" spans="6:7" x14ac:dyDescent="0.25">
      <c r="F4423">
        <v>4420</v>
      </c>
      <c r="G4423">
        <f ca="1">_xlfn.NORM.INV(RAND(),$M$7,$M$8)</f>
        <v>-1.0510480776524377E-2</v>
      </c>
    </row>
    <row r="4424" spans="6:7" x14ac:dyDescent="0.25">
      <c r="F4424">
        <v>4421</v>
      </c>
      <c r="G4424">
        <f ca="1">_xlfn.NORM.INV(RAND(),$M$7,$M$8)</f>
        <v>-7.2464696614532569E-3</v>
      </c>
    </row>
    <row r="4425" spans="6:7" x14ac:dyDescent="0.25">
      <c r="F4425">
        <v>4422</v>
      </c>
      <c r="G4425">
        <f ca="1">_xlfn.NORM.INV(RAND(),$M$7,$M$8)</f>
        <v>9.5823785866782155E-3</v>
      </c>
    </row>
    <row r="4426" spans="6:7" x14ac:dyDescent="0.25">
      <c r="F4426">
        <v>4423</v>
      </c>
      <c r="G4426">
        <f ca="1">_xlfn.NORM.INV(RAND(),$M$7,$M$8)</f>
        <v>-2.7313421253742101E-2</v>
      </c>
    </row>
    <row r="4427" spans="6:7" x14ac:dyDescent="0.25">
      <c r="F4427">
        <v>4424</v>
      </c>
      <c r="G4427">
        <f ca="1">_xlfn.NORM.INV(RAND(),$M$7,$M$8)</f>
        <v>-3.4832439309490815E-2</v>
      </c>
    </row>
    <row r="4428" spans="6:7" x14ac:dyDescent="0.25">
      <c r="F4428">
        <v>4425</v>
      </c>
      <c r="G4428">
        <f ca="1">_xlfn.NORM.INV(RAND(),$M$7,$M$8)</f>
        <v>7.3407542080657431E-3</v>
      </c>
    </row>
    <row r="4429" spans="6:7" x14ac:dyDescent="0.25">
      <c r="F4429">
        <v>4426</v>
      </c>
      <c r="G4429">
        <f ca="1">_xlfn.NORM.INV(RAND(),$M$7,$M$8)</f>
        <v>-2.4014396270609098E-2</v>
      </c>
    </row>
    <row r="4430" spans="6:7" x14ac:dyDescent="0.25">
      <c r="F4430">
        <v>4427</v>
      </c>
      <c r="G4430">
        <f ca="1">_xlfn.NORM.INV(RAND(),$M$7,$M$8)</f>
        <v>1.7779080916656104E-2</v>
      </c>
    </row>
    <row r="4431" spans="6:7" x14ac:dyDescent="0.25">
      <c r="F4431">
        <v>4428</v>
      </c>
      <c r="G4431">
        <f ca="1">_xlfn.NORM.INV(RAND(),$M$7,$M$8)</f>
        <v>1.0999415284224113E-2</v>
      </c>
    </row>
    <row r="4432" spans="6:7" x14ac:dyDescent="0.25">
      <c r="F4432">
        <v>4429</v>
      </c>
      <c r="G4432">
        <f ca="1">_xlfn.NORM.INV(RAND(),$M$7,$M$8)</f>
        <v>3.704243820007231E-2</v>
      </c>
    </row>
    <row r="4433" spans="6:7" x14ac:dyDescent="0.25">
      <c r="F4433">
        <v>4430</v>
      </c>
      <c r="G4433">
        <f ca="1">_xlfn.NORM.INV(RAND(),$M$7,$M$8)</f>
        <v>-2.0799977095757503E-2</v>
      </c>
    </row>
    <row r="4434" spans="6:7" x14ac:dyDescent="0.25">
      <c r="F4434">
        <v>4431</v>
      </c>
      <c r="G4434">
        <f ca="1">_xlfn.NORM.INV(RAND(),$M$7,$M$8)</f>
        <v>-2.5310716675798837E-2</v>
      </c>
    </row>
    <row r="4435" spans="6:7" x14ac:dyDescent="0.25">
      <c r="F4435">
        <v>4432</v>
      </c>
      <c r="G4435">
        <f ca="1">_xlfn.NORM.INV(RAND(),$M$7,$M$8)</f>
        <v>-1.8355195638842206E-2</v>
      </c>
    </row>
    <row r="4436" spans="6:7" x14ac:dyDescent="0.25">
      <c r="F4436">
        <v>4433</v>
      </c>
      <c r="G4436">
        <f ca="1">_xlfn.NORM.INV(RAND(),$M$7,$M$8)</f>
        <v>5.5235677663862861E-3</v>
      </c>
    </row>
    <row r="4437" spans="6:7" x14ac:dyDescent="0.25">
      <c r="F4437">
        <v>4434</v>
      </c>
      <c r="G4437">
        <f ca="1">_xlfn.NORM.INV(RAND(),$M$7,$M$8)</f>
        <v>5.229746257726782E-2</v>
      </c>
    </row>
    <row r="4438" spans="6:7" x14ac:dyDescent="0.25">
      <c r="F4438">
        <v>4435</v>
      </c>
      <c r="G4438">
        <f ca="1">_xlfn.NORM.INV(RAND(),$M$7,$M$8)</f>
        <v>-1.0341824171117881E-2</v>
      </c>
    </row>
    <row r="4439" spans="6:7" x14ac:dyDescent="0.25">
      <c r="F4439">
        <v>4436</v>
      </c>
      <c r="G4439">
        <f ca="1">_xlfn.NORM.INV(RAND(),$M$7,$M$8)</f>
        <v>1.1612942251851588E-2</v>
      </c>
    </row>
    <row r="4440" spans="6:7" x14ac:dyDescent="0.25">
      <c r="F4440">
        <v>4437</v>
      </c>
      <c r="G4440">
        <f ca="1">_xlfn.NORM.INV(RAND(),$M$7,$M$8)</f>
        <v>-5.2209524063409486E-2</v>
      </c>
    </row>
    <row r="4441" spans="6:7" x14ac:dyDescent="0.25">
      <c r="F4441">
        <v>4438</v>
      </c>
      <c r="G4441">
        <f ca="1">_xlfn.NORM.INV(RAND(),$M$7,$M$8)</f>
        <v>3.2585495346866195E-2</v>
      </c>
    </row>
    <row r="4442" spans="6:7" x14ac:dyDescent="0.25">
      <c r="F4442">
        <v>4439</v>
      </c>
      <c r="G4442">
        <f ca="1">_xlfn.NORM.INV(RAND(),$M$7,$M$8)</f>
        <v>-2.3932338700899461E-2</v>
      </c>
    </row>
    <row r="4443" spans="6:7" x14ac:dyDescent="0.25">
      <c r="F4443">
        <v>4440</v>
      </c>
      <c r="G4443">
        <f ca="1">_xlfn.NORM.INV(RAND(),$M$7,$M$8)</f>
        <v>-1.4944020536307015E-2</v>
      </c>
    </row>
    <row r="4444" spans="6:7" x14ac:dyDescent="0.25">
      <c r="F4444">
        <v>4441</v>
      </c>
      <c r="G4444">
        <f ca="1">_xlfn.NORM.INV(RAND(),$M$7,$M$8)</f>
        <v>1.5436287950617062E-2</v>
      </c>
    </row>
    <row r="4445" spans="6:7" x14ac:dyDescent="0.25">
      <c r="F4445">
        <v>4442</v>
      </c>
      <c r="G4445">
        <f ca="1">_xlfn.NORM.INV(RAND(),$M$7,$M$8)</f>
        <v>-6.7602560863426545E-3</v>
      </c>
    </row>
    <row r="4446" spans="6:7" x14ac:dyDescent="0.25">
      <c r="F4446">
        <v>4443</v>
      </c>
      <c r="G4446">
        <f ca="1">_xlfn.NORM.INV(RAND(),$M$7,$M$8)</f>
        <v>-1.6767465301657596E-4</v>
      </c>
    </row>
    <row r="4447" spans="6:7" x14ac:dyDescent="0.25">
      <c r="F4447">
        <v>4444</v>
      </c>
      <c r="G4447">
        <f ca="1">_xlfn.NORM.INV(RAND(),$M$7,$M$8)</f>
        <v>-1.0985092314571324E-3</v>
      </c>
    </row>
    <row r="4448" spans="6:7" x14ac:dyDescent="0.25">
      <c r="F4448">
        <v>4445</v>
      </c>
      <c r="G4448">
        <f ca="1">_xlfn.NORM.INV(RAND(),$M$7,$M$8)</f>
        <v>3.9391665873245531E-2</v>
      </c>
    </row>
    <row r="4449" spans="6:7" x14ac:dyDescent="0.25">
      <c r="F4449">
        <v>4446</v>
      </c>
      <c r="G4449">
        <f ca="1">_xlfn.NORM.INV(RAND(),$M$7,$M$8)</f>
        <v>-6.8886210430866273E-3</v>
      </c>
    </row>
    <row r="4450" spans="6:7" x14ac:dyDescent="0.25">
      <c r="F4450">
        <v>4447</v>
      </c>
      <c r="G4450">
        <f ca="1">_xlfn.NORM.INV(RAND(),$M$7,$M$8)</f>
        <v>-5.2354566503117338E-2</v>
      </c>
    </row>
    <row r="4451" spans="6:7" x14ac:dyDescent="0.25">
      <c r="F4451">
        <v>4448</v>
      </c>
      <c r="G4451">
        <f ca="1">_xlfn.NORM.INV(RAND(),$M$7,$M$8)</f>
        <v>1.0056176080666316E-2</v>
      </c>
    </row>
    <row r="4452" spans="6:7" x14ac:dyDescent="0.25">
      <c r="F4452">
        <v>4449</v>
      </c>
      <c r="G4452">
        <f ca="1">_xlfn.NORM.INV(RAND(),$M$7,$M$8)</f>
        <v>-1.0249777898708618E-2</v>
      </c>
    </row>
    <row r="4453" spans="6:7" x14ac:dyDescent="0.25">
      <c r="F4453">
        <v>4450</v>
      </c>
      <c r="G4453">
        <f ca="1">_xlfn.NORM.INV(RAND(),$M$7,$M$8)</f>
        <v>1.3910183681019981E-2</v>
      </c>
    </row>
    <row r="4454" spans="6:7" x14ac:dyDescent="0.25">
      <c r="F4454">
        <v>4451</v>
      </c>
      <c r="G4454">
        <f ca="1">_xlfn.NORM.INV(RAND(),$M$7,$M$8)</f>
        <v>-2.6814992681961764E-2</v>
      </c>
    </row>
    <row r="4455" spans="6:7" x14ac:dyDescent="0.25">
      <c r="F4455">
        <v>4452</v>
      </c>
      <c r="G4455">
        <f ca="1">_xlfn.NORM.INV(RAND(),$M$7,$M$8)</f>
        <v>-9.991713257767907E-3</v>
      </c>
    </row>
    <row r="4456" spans="6:7" x14ac:dyDescent="0.25">
      <c r="F4456">
        <v>4453</v>
      </c>
      <c r="G4456">
        <f ca="1">_xlfn.NORM.INV(RAND(),$M$7,$M$8)</f>
        <v>9.0887269884875107E-3</v>
      </c>
    </row>
    <row r="4457" spans="6:7" x14ac:dyDescent="0.25">
      <c r="F4457">
        <v>4454</v>
      </c>
      <c r="G4457">
        <f ca="1">_xlfn.NORM.INV(RAND(),$M$7,$M$8)</f>
        <v>-7.5273566424958853E-3</v>
      </c>
    </row>
    <row r="4458" spans="6:7" x14ac:dyDescent="0.25">
      <c r="F4458">
        <v>4455</v>
      </c>
      <c r="G4458">
        <f ca="1">_xlfn.NORM.INV(RAND(),$M$7,$M$8)</f>
        <v>2.0059545636066364E-2</v>
      </c>
    </row>
    <row r="4459" spans="6:7" x14ac:dyDescent="0.25">
      <c r="F4459">
        <v>4456</v>
      </c>
      <c r="G4459">
        <f ca="1">_xlfn.NORM.INV(RAND(),$M$7,$M$8)</f>
        <v>-5.446571546153342E-3</v>
      </c>
    </row>
    <row r="4460" spans="6:7" x14ac:dyDescent="0.25">
      <c r="F4460">
        <v>4457</v>
      </c>
      <c r="G4460">
        <f ca="1">_xlfn.NORM.INV(RAND(),$M$7,$M$8)</f>
        <v>-2.6856816027418223E-2</v>
      </c>
    </row>
    <row r="4461" spans="6:7" x14ac:dyDescent="0.25">
      <c r="F4461">
        <v>4458</v>
      </c>
      <c r="G4461">
        <f ca="1">_xlfn.NORM.INV(RAND(),$M$7,$M$8)</f>
        <v>1.9208853241908866E-2</v>
      </c>
    </row>
    <row r="4462" spans="6:7" x14ac:dyDescent="0.25">
      <c r="F4462">
        <v>4459</v>
      </c>
      <c r="G4462">
        <f ca="1">_xlfn.NORM.INV(RAND(),$M$7,$M$8)</f>
        <v>-4.7307795653459758E-3</v>
      </c>
    </row>
    <row r="4463" spans="6:7" x14ac:dyDescent="0.25">
      <c r="F4463">
        <v>4460</v>
      </c>
      <c r="G4463">
        <f ca="1">_xlfn.NORM.INV(RAND(),$M$7,$M$8)</f>
        <v>2.8598819222599485E-2</v>
      </c>
    </row>
    <row r="4464" spans="6:7" x14ac:dyDescent="0.25">
      <c r="F4464">
        <v>4461</v>
      </c>
      <c r="G4464">
        <f ca="1">_xlfn.NORM.INV(RAND(),$M$7,$M$8)</f>
        <v>1.0381345095096996E-2</v>
      </c>
    </row>
    <row r="4465" spans="6:7" x14ac:dyDescent="0.25">
      <c r="F4465">
        <v>4462</v>
      </c>
      <c r="G4465">
        <f ca="1">_xlfn.NORM.INV(RAND(),$M$7,$M$8)</f>
        <v>1.5712488893598137E-2</v>
      </c>
    </row>
    <row r="4466" spans="6:7" x14ac:dyDescent="0.25">
      <c r="F4466">
        <v>4463</v>
      </c>
      <c r="G4466">
        <f ca="1">_xlfn.NORM.INV(RAND(),$M$7,$M$8)</f>
        <v>-2.0034081447557763E-3</v>
      </c>
    </row>
    <row r="4467" spans="6:7" x14ac:dyDescent="0.25">
      <c r="F4467">
        <v>4464</v>
      </c>
      <c r="G4467">
        <f ca="1">_xlfn.NORM.INV(RAND(),$M$7,$M$8)</f>
        <v>3.3304691827350706E-2</v>
      </c>
    </row>
    <row r="4468" spans="6:7" x14ac:dyDescent="0.25">
      <c r="F4468">
        <v>4465</v>
      </c>
      <c r="G4468">
        <f ca="1">_xlfn.NORM.INV(RAND(),$M$7,$M$8)</f>
        <v>1.8867278637026308E-2</v>
      </c>
    </row>
    <row r="4469" spans="6:7" x14ac:dyDescent="0.25">
      <c r="F4469">
        <v>4466</v>
      </c>
      <c r="G4469">
        <f ca="1">_xlfn.NORM.INV(RAND(),$M$7,$M$8)</f>
        <v>-2.7205019568203655E-2</v>
      </c>
    </row>
    <row r="4470" spans="6:7" x14ac:dyDescent="0.25">
      <c r="F4470">
        <v>4467</v>
      </c>
      <c r="G4470">
        <f ca="1">_xlfn.NORM.INV(RAND(),$M$7,$M$8)</f>
        <v>9.1342549509270555E-3</v>
      </c>
    </row>
    <row r="4471" spans="6:7" x14ac:dyDescent="0.25">
      <c r="F4471">
        <v>4468</v>
      </c>
      <c r="G4471">
        <f ca="1">_xlfn.NORM.INV(RAND(),$M$7,$M$8)</f>
        <v>-1.678893691124992E-2</v>
      </c>
    </row>
    <row r="4472" spans="6:7" x14ac:dyDescent="0.25">
      <c r="F4472">
        <v>4469</v>
      </c>
      <c r="G4472">
        <f ca="1">_xlfn.NORM.INV(RAND(),$M$7,$M$8)</f>
        <v>-1.2098031142011613E-2</v>
      </c>
    </row>
    <row r="4473" spans="6:7" x14ac:dyDescent="0.25">
      <c r="F4473">
        <v>4470</v>
      </c>
      <c r="G4473">
        <f ca="1">_xlfn.NORM.INV(RAND(),$M$7,$M$8)</f>
        <v>-3.9413694563841452E-2</v>
      </c>
    </row>
    <row r="4474" spans="6:7" x14ac:dyDescent="0.25">
      <c r="F4474">
        <v>4471</v>
      </c>
      <c r="G4474">
        <f ca="1">_xlfn.NORM.INV(RAND(),$M$7,$M$8)</f>
        <v>2.9335302523577885E-3</v>
      </c>
    </row>
    <row r="4475" spans="6:7" x14ac:dyDescent="0.25">
      <c r="F4475">
        <v>4472</v>
      </c>
      <c r="G4475">
        <f ca="1">_xlfn.NORM.INV(RAND(),$M$7,$M$8)</f>
        <v>-1.6269592329337692E-2</v>
      </c>
    </row>
    <row r="4476" spans="6:7" x14ac:dyDescent="0.25">
      <c r="F4476">
        <v>4473</v>
      </c>
      <c r="G4476">
        <f ca="1">_xlfn.NORM.INV(RAND(),$M$7,$M$8)</f>
        <v>-2.8910651132596454E-2</v>
      </c>
    </row>
    <row r="4477" spans="6:7" x14ac:dyDescent="0.25">
      <c r="F4477">
        <v>4474</v>
      </c>
      <c r="G4477">
        <f ca="1">_xlfn.NORM.INV(RAND(),$M$7,$M$8)</f>
        <v>3.4324719790564839E-2</v>
      </c>
    </row>
    <row r="4478" spans="6:7" x14ac:dyDescent="0.25">
      <c r="F4478">
        <v>4475</v>
      </c>
      <c r="G4478">
        <f ca="1">_xlfn.NORM.INV(RAND(),$M$7,$M$8)</f>
        <v>2.1949387660106574E-2</v>
      </c>
    </row>
    <row r="4479" spans="6:7" x14ac:dyDescent="0.25">
      <c r="F4479">
        <v>4476</v>
      </c>
      <c r="G4479">
        <f ca="1">_xlfn.NORM.INV(RAND(),$M$7,$M$8)</f>
        <v>6.9620819760780536E-4</v>
      </c>
    </row>
    <row r="4480" spans="6:7" x14ac:dyDescent="0.25">
      <c r="F4480">
        <v>4477</v>
      </c>
      <c r="G4480">
        <f ca="1">_xlfn.NORM.INV(RAND(),$M$7,$M$8)</f>
        <v>-1.8716715292140602E-2</v>
      </c>
    </row>
    <row r="4481" spans="6:7" x14ac:dyDescent="0.25">
      <c r="F4481">
        <v>4478</v>
      </c>
      <c r="G4481">
        <f ca="1">_xlfn.NORM.INV(RAND(),$M$7,$M$8)</f>
        <v>3.6035206889174561E-2</v>
      </c>
    </row>
    <row r="4482" spans="6:7" x14ac:dyDescent="0.25">
      <c r="F4482">
        <v>4479</v>
      </c>
      <c r="G4482">
        <f ca="1">_xlfn.NORM.INV(RAND(),$M$7,$M$8)</f>
        <v>-1.3192112342252663E-2</v>
      </c>
    </row>
    <row r="4483" spans="6:7" x14ac:dyDescent="0.25">
      <c r="F4483">
        <v>4480</v>
      </c>
      <c r="G4483">
        <f ca="1">_xlfn.NORM.INV(RAND(),$M$7,$M$8)</f>
        <v>-1.2190772271228072E-2</v>
      </c>
    </row>
    <row r="4484" spans="6:7" x14ac:dyDescent="0.25">
      <c r="F4484">
        <v>4481</v>
      </c>
      <c r="G4484">
        <f ca="1">_xlfn.NORM.INV(RAND(),$M$7,$M$8)</f>
        <v>2.8150523543617235E-2</v>
      </c>
    </row>
    <row r="4485" spans="6:7" x14ac:dyDescent="0.25">
      <c r="F4485">
        <v>4482</v>
      </c>
      <c r="G4485">
        <f ca="1">_xlfn.NORM.INV(RAND(),$M$7,$M$8)</f>
        <v>-3.1549928433835879E-3</v>
      </c>
    </row>
    <row r="4486" spans="6:7" x14ac:dyDescent="0.25">
      <c r="F4486">
        <v>4483</v>
      </c>
      <c r="G4486">
        <f ca="1">_xlfn.NORM.INV(RAND(),$M$7,$M$8)</f>
        <v>2.8781716534757865E-2</v>
      </c>
    </row>
    <row r="4487" spans="6:7" x14ac:dyDescent="0.25">
      <c r="F4487">
        <v>4484</v>
      </c>
      <c r="G4487">
        <f ca="1">_xlfn.NORM.INV(RAND(),$M$7,$M$8)</f>
        <v>2.4167832564665297E-2</v>
      </c>
    </row>
    <row r="4488" spans="6:7" x14ac:dyDescent="0.25">
      <c r="F4488">
        <v>4485</v>
      </c>
      <c r="G4488">
        <f ca="1">_xlfn.NORM.INV(RAND(),$M$7,$M$8)</f>
        <v>2.0800581605662085E-2</v>
      </c>
    </row>
    <row r="4489" spans="6:7" x14ac:dyDescent="0.25">
      <c r="F4489">
        <v>4486</v>
      </c>
      <c r="G4489">
        <f ca="1">_xlfn.NORM.INV(RAND(),$M$7,$M$8)</f>
        <v>-9.8765045349569897E-3</v>
      </c>
    </row>
    <row r="4490" spans="6:7" x14ac:dyDescent="0.25">
      <c r="F4490">
        <v>4487</v>
      </c>
      <c r="G4490">
        <f ca="1">_xlfn.NORM.INV(RAND(),$M$7,$M$8)</f>
        <v>1.8899738026113104E-2</v>
      </c>
    </row>
    <row r="4491" spans="6:7" x14ac:dyDescent="0.25">
      <c r="F4491">
        <v>4488</v>
      </c>
      <c r="G4491">
        <f ca="1">_xlfn.NORM.INV(RAND(),$M$7,$M$8)</f>
        <v>-3.1432994822418243E-2</v>
      </c>
    </row>
    <row r="4492" spans="6:7" x14ac:dyDescent="0.25">
      <c r="F4492">
        <v>4489</v>
      </c>
      <c r="G4492">
        <f ca="1">_xlfn.NORM.INV(RAND(),$M$7,$M$8)</f>
        <v>1.4425625121849519E-2</v>
      </c>
    </row>
    <row r="4493" spans="6:7" x14ac:dyDescent="0.25">
      <c r="F4493">
        <v>4490</v>
      </c>
      <c r="G4493">
        <f ca="1">_xlfn.NORM.INV(RAND(),$M$7,$M$8)</f>
        <v>1.5010790067445523E-2</v>
      </c>
    </row>
    <row r="4494" spans="6:7" x14ac:dyDescent="0.25">
      <c r="F4494">
        <v>4491</v>
      </c>
      <c r="G4494">
        <f ca="1">_xlfn.NORM.INV(RAND(),$M$7,$M$8)</f>
        <v>1.3266538670114658E-2</v>
      </c>
    </row>
    <row r="4495" spans="6:7" x14ac:dyDescent="0.25">
      <c r="F4495">
        <v>4492</v>
      </c>
      <c r="G4495">
        <f ca="1">_xlfn.NORM.INV(RAND(),$M$7,$M$8)</f>
        <v>-4.2977915380974327E-2</v>
      </c>
    </row>
    <row r="4496" spans="6:7" x14ac:dyDescent="0.25">
      <c r="F4496">
        <v>4493</v>
      </c>
      <c r="G4496">
        <f ca="1">_xlfn.NORM.INV(RAND(),$M$7,$M$8)</f>
        <v>-2.8083105473210072E-2</v>
      </c>
    </row>
    <row r="4497" spans="6:7" x14ac:dyDescent="0.25">
      <c r="F4497">
        <v>4494</v>
      </c>
      <c r="G4497">
        <f ca="1">_xlfn.NORM.INV(RAND(),$M$7,$M$8)</f>
        <v>-6.7667090132278694E-3</v>
      </c>
    </row>
    <row r="4498" spans="6:7" x14ac:dyDescent="0.25">
      <c r="F4498">
        <v>4495</v>
      </c>
      <c r="G4498">
        <f ca="1">_xlfn.NORM.INV(RAND(),$M$7,$M$8)</f>
        <v>-3.3771829308721447E-2</v>
      </c>
    </row>
    <row r="4499" spans="6:7" x14ac:dyDescent="0.25">
      <c r="F4499">
        <v>4496</v>
      </c>
      <c r="G4499">
        <f ca="1">_xlfn.NORM.INV(RAND(),$M$7,$M$8)</f>
        <v>-6.6087010047375366E-3</v>
      </c>
    </row>
    <row r="4500" spans="6:7" x14ac:dyDescent="0.25">
      <c r="F4500">
        <v>4497</v>
      </c>
      <c r="G4500">
        <f ca="1">_xlfn.NORM.INV(RAND(),$M$7,$M$8)</f>
        <v>9.2016967756278888E-3</v>
      </c>
    </row>
    <row r="4501" spans="6:7" x14ac:dyDescent="0.25">
      <c r="F4501">
        <v>4498</v>
      </c>
      <c r="G4501">
        <f ca="1">_xlfn.NORM.INV(RAND(),$M$7,$M$8)</f>
        <v>-1.1045330723817789E-2</v>
      </c>
    </row>
    <row r="4502" spans="6:7" x14ac:dyDescent="0.25">
      <c r="F4502">
        <v>4499</v>
      </c>
      <c r="G4502">
        <f ca="1">_xlfn.NORM.INV(RAND(),$M$7,$M$8)</f>
        <v>8.3687695734548338E-3</v>
      </c>
    </row>
    <row r="4503" spans="6:7" x14ac:dyDescent="0.25">
      <c r="F4503">
        <v>4500</v>
      </c>
      <c r="G4503">
        <f ca="1">_xlfn.NORM.INV(RAND(),$M$7,$M$8)</f>
        <v>4.473273368846226E-3</v>
      </c>
    </row>
    <row r="4504" spans="6:7" x14ac:dyDescent="0.25">
      <c r="F4504">
        <v>4501</v>
      </c>
      <c r="G4504">
        <f ca="1">_xlfn.NORM.INV(RAND(),$M$7,$M$8)</f>
        <v>-1.1425240668113736E-2</v>
      </c>
    </row>
    <row r="4505" spans="6:7" x14ac:dyDescent="0.25">
      <c r="F4505">
        <v>4502</v>
      </c>
      <c r="G4505">
        <f ca="1">_xlfn.NORM.INV(RAND(),$M$7,$M$8)</f>
        <v>1.2398478400956326E-2</v>
      </c>
    </row>
    <row r="4506" spans="6:7" x14ac:dyDescent="0.25">
      <c r="F4506">
        <v>4503</v>
      </c>
      <c r="G4506">
        <f ca="1">_xlfn.NORM.INV(RAND(),$M$7,$M$8)</f>
        <v>-1.9582810652860778E-2</v>
      </c>
    </row>
    <row r="4507" spans="6:7" x14ac:dyDescent="0.25">
      <c r="F4507">
        <v>4504</v>
      </c>
      <c r="G4507">
        <f ca="1">_xlfn.NORM.INV(RAND(),$M$7,$M$8)</f>
        <v>-4.5903013251581554E-3</v>
      </c>
    </row>
    <row r="4508" spans="6:7" x14ac:dyDescent="0.25">
      <c r="F4508">
        <v>4505</v>
      </c>
      <c r="G4508">
        <f ca="1">_xlfn.NORM.INV(RAND(),$M$7,$M$8)</f>
        <v>2.7999278362345718E-2</v>
      </c>
    </row>
    <row r="4509" spans="6:7" x14ac:dyDescent="0.25">
      <c r="F4509">
        <v>4506</v>
      </c>
      <c r="G4509">
        <f ca="1">_xlfn.NORM.INV(RAND(),$M$7,$M$8)</f>
        <v>-4.0298240518875025E-2</v>
      </c>
    </row>
    <row r="4510" spans="6:7" x14ac:dyDescent="0.25">
      <c r="F4510">
        <v>4507</v>
      </c>
      <c r="G4510">
        <f ca="1">_xlfn.NORM.INV(RAND(),$M$7,$M$8)</f>
        <v>1.331468222166938E-2</v>
      </c>
    </row>
    <row r="4511" spans="6:7" x14ac:dyDescent="0.25">
      <c r="F4511">
        <v>4508</v>
      </c>
      <c r="G4511">
        <f ca="1">_xlfn.NORM.INV(RAND(),$M$7,$M$8)</f>
        <v>-2.7788465939220276E-2</v>
      </c>
    </row>
    <row r="4512" spans="6:7" x14ac:dyDescent="0.25">
      <c r="F4512">
        <v>4509</v>
      </c>
      <c r="G4512">
        <f ca="1">_xlfn.NORM.INV(RAND(),$M$7,$M$8)</f>
        <v>-3.503227831620648E-3</v>
      </c>
    </row>
    <row r="4513" spans="6:7" x14ac:dyDescent="0.25">
      <c r="F4513">
        <v>4510</v>
      </c>
      <c r="G4513">
        <f ca="1">_xlfn.NORM.INV(RAND(),$M$7,$M$8)</f>
        <v>-1.530782623207206E-2</v>
      </c>
    </row>
    <row r="4514" spans="6:7" x14ac:dyDescent="0.25">
      <c r="F4514">
        <v>4511</v>
      </c>
      <c r="G4514">
        <f ca="1">_xlfn.NORM.INV(RAND(),$M$7,$M$8)</f>
        <v>-9.4886092388392854E-3</v>
      </c>
    </row>
    <row r="4515" spans="6:7" x14ac:dyDescent="0.25">
      <c r="F4515">
        <v>4512</v>
      </c>
      <c r="G4515">
        <f ca="1">_xlfn.NORM.INV(RAND(),$M$7,$M$8)</f>
        <v>3.3760259997840998E-2</v>
      </c>
    </row>
    <row r="4516" spans="6:7" x14ac:dyDescent="0.25">
      <c r="F4516">
        <v>4513</v>
      </c>
      <c r="G4516">
        <f ca="1">_xlfn.NORM.INV(RAND(),$M$7,$M$8)</f>
        <v>-1.7689117581600015E-3</v>
      </c>
    </row>
    <row r="4517" spans="6:7" x14ac:dyDescent="0.25">
      <c r="F4517">
        <v>4514</v>
      </c>
      <c r="G4517">
        <f ca="1">_xlfn.NORM.INV(RAND(),$M$7,$M$8)</f>
        <v>-3.0929423959684604E-2</v>
      </c>
    </row>
    <row r="4518" spans="6:7" x14ac:dyDescent="0.25">
      <c r="F4518">
        <v>4515</v>
      </c>
      <c r="G4518">
        <f ca="1">_xlfn.NORM.INV(RAND(),$M$7,$M$8)</f>
        <v>2.4584166054237799E-2</v>
      </c>
    </row>
    <row r="4519" spans="6:7" x14ac:dyDescent="0.25">
      <c r="F4519">
        <v>4516</v>
      </c>
      <c r="G4519">
        <f ca="1">_xlfn.NORM.INV(RAND(),$M$7,$M$8)</f>
        <v>-2.376922896558319E-2</v>
      </c>
    </row>
    <row r="4520" spans="6:7" x14ac:dyDescent="0.25">
      <c r="F4520">
        <v>4517</v>
      </c>
      <c r="G4520">
        <f ca="1">_xlfn.NORM.INV(RAND(),$M$7,$M$8)</f>
        <v>1.2012657688659069E-2</v>
      </c>
    </row>
    <row r="4521" spans="6:7" x14ac:dyDescent="0.25">
      <c r="F4521">
        <v>4518</v>
      </c>
      <c r="G4521">
        <f ca="1">_xlfn.NORM.INV(RAND(),$M$7,$M$8)</f>
        <v>1.5531348864109996E-3</v>
      </c>
    </row>
    <row r="4522" spans="6:7" x14ac:dyDescent="0.25">
      <c r="F4522">
        <v>4519</v>
      </c>
      <c r="G4522">
        <f ca="1">_xlfn.NORM.INV(RAND(),$M$7,$M$8)</f>
        <v>5.7929871008195605E-3</v>
      </c>
    </row>
    <row r="4523" spans="6:7" x14ac:dyDescent="0.25">
      <c r="F4523">
        <v>4520</v>
      </c>
      <c r="G4523">
        <f ca="1">_xlfn.NORM.INV(RAND(),$M$7,$M$8)</f>
        <v>1.2381471282775695E-2</v>
      </c>
    </row>
    <row r="4524" spans="6:7" x14ac:dyDescent="0.25">
      <c r="F4524">
        <v>4521</v>
      </c>
      <c r="G4524">
        <f ca="1">_xlfn.NORM.INV(RAND(),$M$7,$M$8)</f>
        <v>2.2008617872726965E-2</v>
      </c>
    </row>
    <row r="4525" spans="6:7" x14ac:dyDescent="0.25">
      <c r="F4525">
        <v>4522</v>
      </c>
      <c r="G4525">
        <f ca="1">_xlfn.NORM.INV(RAND(),$M$7,$M$8)</f>
        <v>5.4410684175445548E-3</v>
      </c>
    </row>
    <row r="4526" spans="6:7" x14ac:dyDescent="0.25">
      <c r="F4526">
        <v>4523</v>
      </c>
      <c r="G4526">
        <f ca="1">_xlfn.NORM.INV(RAND(),$M$7,$M$8)</f>
        <v>-2.4351823700792721E-2</v>
      </c>
    </row>
    <row r="4527" spans="6:7" x14ac:dyDescent="0.25">
      <c r="F4527">
        <v>4524</v>
      </c>
      <c r="G4527">
        <f ca="1">_xlfn.NORM.INV(RAND(),$M$7,$M$8)</f>
        <v>3.4443058467538909E-2</v>
      </c>
    </row>
    <row r="4528" spans="6:7" x14ac:dyDescent="0.25">
      <c r="F4528">
        <v>4525</v>
      </c>
      <c r="G4528">
        <f ca="1">_xlfn.NORM.INV(RAND(),$M$7,$M$8)</f>
        <v>4.6224303618171113E-3</v>
      </c>
    </row>
    <row r="4529" spans="6:7" x14ac:dyDescent="0.25">
      <c r="F4529">
        <v>4526</v>
      </c>
      <c r="G4529">
        <f ca="1">_xlfn.NORM.INV(RAND(),$M$7,$M$8)</f>
        <v>1.8850012135786475E-2</v>
      </c>
    </row>
    <row r="4530" spans="6:7" x14ac:dyDescent="0.25">
      <c r="F4530">
        <v>4527</v>
      </c>
      <c r="G4530">
        <f ca="1">_xlfn.NORM.INV(RAND(),$M$7,$M$8)</f>
        <v>2.4814015746565374E-2</v>
      </c>
    </row>
    <row r="4531" spans="6:7" x14ac:dyDescent="0.25">
      <c r="F4531">
        <v>4528</v>
      </c>
      <c r="G4531">
        <f ca="1">_xlfn.NORM.INV(RAND(),$M$7,$M$8)</f>
        <v>-1.0329841044630524E-2</v>
      </c>
    </row>
    <row r="4532" spans="6:7" x14ac:dyDescent="0.25">
      <c r="F4532">
        <v>4529</v>
      </c>
      <c r="G4532">
        <f ca="1">_xlfn.NORM.INV(RAND(),$M$7,$M$8)</f>
        <v>3.6239209830573418E-3</v>
      </c>
    </row>
    <row r="4533" spans="6:7" x14ac:dyDescent="0.25">
      <c r="F4533">
        <v>4530</v>
      </c>
      <c r="G4533">
        <f ca="1">_xlfn.NORM.INV(RAND(),$M$7,$M$8)</f>
        <v>3.0623094470579289E-3</v>
      </c>
    </row>
    <row r="4534" spans="6:7" x14ac:dyDescent="0.25">
      <c r="F4534">
        <v>4531</v>
      </c>
      <c r="G4534">
        <f ca="1">_xlfn.NORM.INV(RAND(),$M$7,$M$8)</f>
        <v>-2.9658502789959053E-2</v>
      </c>
    </row>
    <row r="4535" spans="6:7" x14ac:dyDescent="0.25">
      <c r="F4535">
        <v>4532</v>
      </c>
      <c r="G4535">
        <f ca="1">_xlfn.NORM.INV(RAND(),$M$7,$M$8)</f>
        <v>-2.2286095843827517E-2</v>
      </c>
    </row>
    <row r="4536" spans="6:7" x14ac:dyDescent="0.25">
      <c r="F4536">
        <v>4533</v>
      </c>
      <c r="G4536">
        <f ca="1">_xlfn.NORM.INV(RAND(),$M$7,$M$8)</f>
        <v>2.8179395109944046E-2</v>
      </c>
    </row>
    <row r="4537" spans="6:7" x14ac:dyDescent="0.25">
      <c r="F4537">
        <v>4534</v>
      </c>
      <c r="G4537">
        <f ca="1">_xlfn.NORM.INV(RAND(),$M$7,$M$8)</f>
        <v>1.0305822254564331E-2</v>
      </c>
    </row>
    <row r="4538" spans="6:7" x14ac:dyDescent="0.25">
      <c r="F4538">
        <v>4535</v>
      </c>
      <c r="G4538">
        <f ca="1">_xlfn.NORM.INV(RAND(),$M$7,$M$8)</f>
        <v>-3.5931697520828226E-2</v>
      </c>
    </row>
    <row r="4539" spans="6:7" x14ac:dyDescent="0.25">
      <c r="F4539">
        <v>4536</v>
      </c>
      <c r="G4539">
        <f ca="1">_xlfn.NORM.INV(RAND(),$M$7,$M$8)</f>
        <v>-9.1638072018608695E-3</v>
      </c>
    </row>
    <row r="4540" spans="6:7" x14ac:dyDescent="0.25">
      <c r="F4540">
        <v>4537</v>
      </c>
      <c r="G4540">
        <f ca="1">_xlfn.NORM.INV(RAND(),$M$7,$M$8)</f>
        <v>-7.9115784406645195E-3</v>
      </c>
    </row>
    <row r="4541" spans="6:7" x14ac:dyDescent="0.25">
      <c r="F4541">
        <v>4538</v>
      </c>
      <c r="G4541">
        <f ca="1">_xlfn.NORM.INV(RAND(),$M$7,$M$8)</f>
        <v>-1.1087792937361233E-2</v>
      </c>
    </row>
    <row r="4542" spans="6:7" x14ac:dyDescent="0.25">
      <c r="F4542">
        <v>4539</v>
      </c>
      <c r="G4542">
        <f ca="1">_xlfn.NORM.INV(RAND(),$M$7,$M$8)</f>
        <v>1.6411764656982457E-2</v>
      </c>
    </row>
    <row r="4543" spans="6:7" x14ac:dyDescent="0.25">
      <c r="F4543">
        <v>4540</v>
      </c>
      <c r="G4543">
        <f ca="1">_xlfn.NORM.INV(RAND(),$M$7,$M$8)</f>
        <v>1.4109602313239938E-2</v>
      </c>
    </row>
    <row r="4544" spans="6:7" x14ac:dyDescent="0.25">
      <c r="F4544">
        <v>4541</v>
      </c>
      <c r="G4544">
        <f ca="1">_xlfn.NORM.INV(RAND(),$M$7,$M$8)</f>
        <v>-1.5339388150307404E-2</v>
      </c>
    </row>
    <row r="4545" spans="6:7" x14ac:dyDescent="0.25">
      <c r="F4545">
        <v>4542</v>
      </c>
      <c r="G4545">
        <f ca="1">_xlfn.NORM.INV(RAND(),$M$7,$M$8)</f>
        <v>1.2496427926213789E-2</v>
      </c>
    </row>
    <row r="4546" spans="6:7" x14ac:dyDescent="0.25">
      <c r="F4546">
        <v>4543</v>
      </c>
      <c r="G4546">
        <f ca="1">_xlfn.NORM.INV(RAND(),$M$7,$M$8)</f>
        <v>1.31793995866458E-3</v>
      </c>
    </row>
    <row r="4547" spans="6:7" x14ac:dyDescent="0.25">
      <c r="F4547">
        <v>4544</v>
      </c>
      <c r="G4547">
        <f ca="1">_xlfn.NORM.INV(RAND(),$M$7,$M$8)</f>
        <v>-3.1836864731243689E-3</v>
      </c>
    </row>
    <row r="4548" spans="6:7" x14ac:dyDescent="0.25">
      <c r="F4548">
        <v>4545</v>
      </c>
      <c r="G4548">
        <f ca="1">_xlfn.NORM.INV(RAND(),$M$7,$M$8)</f>
        <v>9.4997921451970245E-3</v>
      </c>
    </row>
    <row r="4549" spans="6:7" x14ac:dyDescent="0.25">
      <c r="F4549">
        <v>4546</v>
      </c>
      <c r="G4549">
        <f ca="1">_xlfn.NORM.INV(RAND(),$M$7,$M$8)</f>
        <v>-1.0089784493917937E-2</v>
      </c>
    </row>
    <row r="4550" spans="6:7" x14ac:dyDescent="0.25">
      <c r="F4550">
        <v>4547</v>
      </c>
      <c r="G4550">
        <f ca="1">_xlfn.NORM.INV(RAND(),$M$7,$M$8)</f>
        <v>-6.5494752311274523E-2</v>
      </c>
    </row>
    <row r="4551" spans="6:7" x14ac:dyDescent="0.25">
      <c r="F4551">
        <v>4548</v>
      </c>
      <c r="G4551">
        <f ca="1">_xlfn.NORM.INV(RAND(),$M$7,$M$8)</f>
        <v>1.595752204761456E-2</v>
      </c>
    </row>
    <row r="4552" spans="6:7" x14ac:dyDescent="0.25">
      <c r="F4552">
        <v>4549</v>
      </c>
      <c r="G4552">
        <f ca="1">_xlfn.NORM.INV(RAND(),$M$7,$M$8)</f>
        <v>-1.989178730990342E-2</v>
      </c>
    </row>
    <row r="4553" spans="6:7" x14ac:dyDescent="0.25">
      <c r="F4553">
        <v>4550</v>
      </c>
      <c r="G4553">
        <f ca="1">_xlfn.NORM.INV(RAND(),$M$7,$M$8)</f>
        <v>1.2612567023167947E-2</v>
      </c>
    </row>
    <row r="4554" spans="6:7" x14ac:dyDescent="0.25">
      <c r="F4554">
        <v>4551</v>
      </c>
      <c r="G4554">
        <f ca="1">_xlfn.NORM.INV(RAND(),$M$7,$M$8)</f>
        <v>-2.5222807562391841E-2</v>
      </c>
    </row>
    <row r="4555" spans="6:7" x14ac:dyDescent="0.25">
      <c r="F4555">
        <v>4552</v>
      </c>
      <c r="G4555">
        <f ca="1">_xlfn.NORM.INV(RAND(),$M$7,$M$8)</f>
        <v>2.2818743598428743E-2</v>
      </c>
    </row>
    <row r="4556" spans="6:7" x14ac:dyDescent="0.25">
      <c r="F4556">
        <v>4553</v>
      </c>
      <c r="G4556">
        <f ca="1">_xlfn.NORM.INV(RAND(),$M$7,$M$8)</f>
        <v>-2.4916398241806231E-2</v>
      </c>
    </row>
    <row r="4557" spans="6:7" x14ac:dyDescent="0.25">
      <c r="F4557">
        <v>4554</v>
      </c>
      <c r="G4557">
        <f ca="1">_xlfn.NORM.INV(RAND(),$M$7,$M$8)</f>
        <v>-2.1850551095897716E-2</v>
      </c>
    </row>
    <row r="4558" spans="6:7" x14ac:dyDescent="0.25">
      <c r="F4558">
        <v>4555</v>
      </c>
      <c r="G4558">
        <f ca="1">_xlfn.NORM.INV(RAND(),$M$7,$M$8)</f>
        <v>2.2587828707591132E-2</v>
      </c>
    </row>
    <row r="4559" spans="6:7" x14ac:dyDescent="0.25">
      <c r="F4559">
        <v>4556</v>
      </c>
      <c r="G4559">
        <f ca="1">_xlfn.NORM.INV(RAND(),$M$7,$M$8)</f>
        <v>-2.8093077889342989E-2</v>
      </c>
    </row>
    <row r="4560" spans="6:7" x14ac:dyDescent="0.25">
      <c r="F4560">
        <v>4557</v>
      </c>
      <c r="G4560">
        <f ca="1">_xlfn.NORM.INV(RAND(),$M$7,$M$8)</f>
        <v>-1.7100277485989747E-3</v>
      </c>
    </row>
    <row r="4561" spans="6:7" x14ac:dyDescent="0.25">
      <c r="F4561">
        <v>4558</v>
      </c>
      <c r="G4561">
        <f ca="1">_xlfn.NORM.INV(RAND(),$M$7,$M$8)</f>
        <v>9.9781916551642969E-3</v>
      </c>
    </row>
    <row r="4562" spans="6:7" x14ac:dyDescent="0.25">
      <c r="F4562">
        <v>4559</v>
      </c>
      <c r="G4562">
        <f ca="1">_xlfn.NORM.INV(RAND(),$M$7,$M$8)</f>
        <v>2.0202546196880233E-2</v>
      </c>
    </row>
    <row r="4563" spans="6:7" x14ac:dyDescent="0.25">
      <c r="F4563">
        <v>4560</v>
      </c>
      <c r="G4563">
        <f ca="1">_xlfn.NORM.INV(RAND(),$M$7,$M$8)</f>
        <v>4.4001642238583785E-2</v>
      </c>
    </row>
    <row r="4564" spans="6:7" x14ac:dyDescent="0.25">
      <c r="F4564">
        <v>4561</v>
      </c>
      <c r="G4564">
        <f ca="1">_xlfn.NORM.INV(RAND(),$M$7,$M$8)</f>
        <v>-1.5428089497025628E-2</v>
      </c>
    </row>
    <row r="4565" spans="6:7" x14ac:dyDescent="0.25">
      <c r="F4565">
        <v>4562</v>
      </c>
      <c r="G4565">
        <f ca="1">_xlfn.NORM.INV(RAND(),$M$7,$M$8)</f>
        <v>3.3263152881604897E-2</v>
      </c>
    </row>
    <row r="4566" spans="6:7" x14ac:dyDescent="0.25">
      <c r="F4566">
        <v>4563</v>
      </c>
      <c r="G4566">
        <f ca="1">_xlfn.NORM.INV(RAND(),$M$7,$M$8)</f>
        <v>3.7170545302024319E-3</v>
      </c>
    </row>
    <row r="4567" spans="6:7" x14ac:dyDescent="0.25">
      <c r="F4567">
        <v>4564</v>
      </c>
      <c r="G4567">
        <f ca="1">_xlfn.NORM.INV(RAND(),$M$7,$M$8)</f>
        <v>-4.415245979311716E-2</v>
      </c>
    </row>
    <row r="4568" spans="6:7" x14ac:dyDescent="0.25">
      <c r="F4568">
        <v>4565</v>
      </c>
      <c r="G4568">
        <f ca="1">_xlfn.NORM.INV(RAND(),$M$7,$M$8)</f>
        <v>-2.7532410156980536E-2</v>
      </c>
    </row>
    <row r="4569" spans="6:7" x14ac:dyDescent="0.25">
      <c r="F4569">
        <v>4566</v>
      </c>
      <c r="G4569">
        <f ca="1">_xlfn.NORM.INV(RAND(),$M$7,$M$8)</f>
        <v>2.1386873249208349E-2</v>
      </c>
    </row>
    <row r="4570" spans="6:7" x14ac:dyDescent="0.25">
      <c r="F4570">
        <v>4567</v>
      </c>
      <c r="G4570">
        <f ca="1">_xlfn.NORM.INV(RAND(),$M$7,$M$8)</f>
        <v>8.3445524561255972E-3</v>
      </c>
    </row>
    <row r="4571" spans="6:7" x14ac:dyDescent="0.25">
      <c r="F4571">
        <v>4568</v>
      </c>
      <c r="G4571">
        <f ca="1">_xlfn.NORM.INV(RAND(),$M$7,$M$8)</f>
        <v>-3.4105317453449566E-2</v>
      </c>
    </row>
    <row r="4572" spans="6:7" x14ac:dyDescent="0.25">
      <c r="F4572">
        <v>4569</v>
      </c>
      <c r="G4572">
        <f ca="1">_xlfn.NORM.INV(RAND(),$M$7,$M$8)</f>
        <v>3.6576236895363594E-2</v>
      </c>
    </row>
    <row r="4573" spans="6:7" x14ac:dyDescent="0.25">
      <c r="F4573">
        <v>4570</v>
      </c>
      <c r="G4573">
        <f ca="1">_xlfn.NORM.INV(RAND(),$M$7,$M$8)</f>
        <v>-7.7698519632042563E-4</v>
      </c>
    </row>
    <row r="4574" spans="6:7" x14ac:dyDescent="0.25">
      <c r="F4574">
        <v>4571</v>
      </c>
      <c r="G4574">
        <f ca="1">_xlfn.NORM.INV(RAND(),$M$7,$M$8)</f>
        <v>-2.6356203206534565E-2</v>
      </c>
    </row>
    <row r="4575" spans="6:7" x14ac:dyDescent="0.25">
      <c r="F4575">
        <v>4572</v>
      </c>
      <c r="G4575">
        <f ca="1">_xlfn.NORM.INV(RAND(),$M$7,$M$8)</f>
        <v>-1.2470077208990016E-2</v>
      </c>
    </row>
    <row r="4576" spans="6:7" x14ac:dyDescent="0.25">
      <c r="F4576">
        <v>4573</v>
      </c>
      <c r="G4576">
        <f ca="1">_xlfn.NORM.INV(RAND(),$M$7,$M$8)</f>
        <v>2.4007224819538892E-3</v>
      </c>
    </row>
    <row r="4577" spans="6:7" x14ac:dyDescent="0.25">
      <c r="F4577">
        <v>4574</v>
      </c>
      <c r="G4577">
        <f ca="1">_xlfn.NORM.INV(RAND(),$M$7,$M$8)</f>
        <v>4.1583294377100302E-2</v>
      </c>
    </row>
    <row r="4578" spans="6:7" x14ac:dyDescent="0.25">
      <c r="F4578">
        <v>4575</v>
      </c>
      <c r="G4578">
        <f ca="1">_xlfn.NORM.INV(RAND(),$M$7,$M$8)</f>
        <v>4.0307110239398126E-2</v>
      </c>
    </row>
    <row r="4579" spans="6:7" x14ac:dyDescent="0.25">
      <c r="F4579">
        <v>4576</v>
      </c>
      <c r="G4579">
        <f ca="1">_xlfn.NORM.INV(RAND(),$M$7,$M$8)</f>
        <v>1.1384031628978226E-2</v>
      </c>
    </row>
    <row r="4580" spans="6:7" x14ac:dyDescent="0.25">
      <c r="F4580">
        <v>4577</v>
      </c>
      <c r="G4580">
        <f ca="1">_xlfn.NORM.INV(RAND(),$M$7,$M$8)</f>
        <v>-2.3233570122080143E-2</v>
      </c>
    </row>
    <row r="4581" spans="6:7" x14ac:dyDescent="0.25">
      <c r="F4581">
        <v>4578</v>
      </c>
      <c r="G4581">
        <f ca="1">_xlfn.NORM.INV(RAND(),$M$7,$M$8)</f>
        <v>3.1019409944288904E-3</v>
      </c>
    </row>
    <row r="4582" spans="6:7" x14ac:dyDescent="0.25">
      <c r="F4582">
        <v>4579</v>
      </c>
      <c r="G4582">
        <f ca="1">_xlfn.NORM.INV(RAND(),$M$7,$M$8)</f>
        <v>2.0788545741721773E-2</v>
      </c>
    </row>
    <row r="4583" spans="6:7" x14ac:dyDescent="0.25">
      <c r="F4583">
        <v>4580</v>
      </c>
      <c r="G4583">
        <f ca="1">_xlfn.NORM.INV(RAND(),$M$7,$M$8)</f>
        <v>-2.5696409813232581E-3</v>
      </c>
    </row>
    <row r="4584" spans="6:7" x14ac:dyDescent="0.25">
      <c r="F4584">
        <v>4581</v>
      </c>
      <c r="G4584">
        <f ca="1">_xlfn.NORM.INV(RAND(),$M$7,$M$8)</f>
        <v>-2.2852349272178336E-2</v>
      </c>
    </row>
    <row r="4585" spans="6:7" x14ac:dyDescent="0.25">
      <c r="F4585">
        <v>4582</v>
      </c>
      <c r="G4585">
        <f ca="1">_xlfn.NORM.INV(RAND(),$M$7,$M$8)</f>
        <v>-9.4204265145549897E-3</v>
      </c>
    </row>
    <row r="4586" spans="6:7" x14ac:dyDescent="0.25">
      <c r="F4586">
        <v>4583</v>
      </c>
      <c r="G4586">
        <f ca="1">_xlfn.NORM.INV(RAND(),$M$7,$M$8)</f>
        <v>-4.2868109464737156E-3</v>
      </c>
    </row>
    <row r="4587" spans="6:7" x14ac:dyDescent="0.25">
      <c r="F4587">
        <v>4584</v>
      </c>
      <c r="G4587">
        <f ca="1">_xlfn.NORM.INV(RAND(),$M$7,$M$8)</f>
        <v>-5.2946924200090319E-2</v>
      </c>
    </row>
    <row r="4588" spans="6:7" x14ac:dyDescent="0.25">
      <c r="F4588">
        <v>4585</v>
      </c>
      <c r="G4588">
        <f ca="1">_xlfn.NORM.INV(RAND(),$M$7,$M$8)</f>
        <v>2.76655864525285E-2</v>
      </c>
    </row>
    <row r="4589" spans="6:7" x14ac:dyDescent="0.25">
      <c r="F4589">
        <v>4586</v>
      </c>
      <c r="G4589">
        <f ca="1">_xlfn.NORM.INV(RAND(),$M$7,$M$8)</f>
        <v>5.1846404698641407E-2</v>
      </c>
    </row>
    <row r="4590" spans="6:7" x14ac:dyDescent="0.25">
      <c r="F4590">
        <v>4587</v>
      </c>
      <c r="G4590">
        <f ca="1">_xlfn.NORM.INV(RAND(),$M$7,$M$8)</f>
        <v>3.6769066476180414E-4</v>
      </c>
    </row>
    <row r="4591" spans="6:7" x14ac:dyDescent="0.25">
      <c r="F4591">
        <v>4588</v>
      </c>
      <c r="G4591">
        <f ca="1">_xlfn.NORM.INV(RAND(),$M$7,$M$8)</f>
        <v>-3.2623736327030375E-2</v>
      </c>
    </row>
    <row r="4592" spans="6:7" x14ac:dyDescent="0.25">
      <c r="F4592">
        <v>4589</v>
      </c>
      <c r="G4592">
        <f ca="1">_xlfn.NORM.INV(RAND(),$M$7,$M$8)</f>
        <v>8.2270356175536737E-3</v>
      </c>
    </row>
    <row r="4593" spans="6:7" x14ac:dyDescent="0.25">
      <c r="F4593">
        <v>4590</v>
      </c>
      <c r="G4593">
        <f ca="1">_xlfn.NORM.INV(RAND(),$M$7,$M$8)</f>
        <v>-2.1567302802664865E-2</v>
      </c>
    </row>
    <row r="4594" spans="6:7" x14ac:dyDescent="0.25">
      <c r="F4594">
        <v>4591</v>
      </c>
      <c r="G4594">
        <f ca="1">_xlfn.NORM.INV(RAND(),$M$7,$M$8)</f>
        <v>-2.3182797043512577E-2</v>
      </c>
    </row>
    <row r="4595" spans="6:7" x14ac:dyDescent="0.25">
      <c r="F4595">
        <v>4592</v>
      </c>
      <c r="G4595">
        <f ca="1">_xlfn.NORM.INV(RAND(),$M$7,$M$8)</f>
        <v>-1.6797824229340449E-3</v>
      </c>
    </row>
    <row r="4596" spans="6:7" x14ac:dyDescent="0.25">
      <c r="F4596">
        <v>4593</v>
      </c>
      <c r="G4596">
        <f ca="1">_xlfn.NORM.INV(RAND(),$M$7,$M$8)</f>
        <v>2.4052118093901762E-2</v>
      </c>
    </row>
    <row r="4597" spans="6:7" x14ac:dyDescent="0.25">
      <c r="F4597">
        <v>4594</v>
      </c>
      <c r="G4597">
        <f ca="1">_xlfn.NORM.INV(RAND(),$M$7,$M$8)</f>
        <v>-1.0554786462938823E-2</v>
      </c>
    </row>
    <row r="4598" spans="6:7" x14ac:dyDescent="0.25">
      <c r="F4598">
        <v>4595</v>
      </c>
      <c r="G4598">
        <f ca="1">_xlfn.NORM.INV(RAND(),$M$7,$M$8)</f>
        <v>-2.0534330991091924E-2</v>
      </c>
    </row>
    <row r="4599" spans="6:7" x14ac:dyDescent="0.25">
      <c r="F4599">
        <v>4596</v>
      </c>
      <c r="G4599">
        <f ca="1">_xlfn.NORM.INV(RAND(),$M$7,$M$8)</f>
        <v>-7.8734102066416005E-3</v>
      </c>
    </row>
    <row r="4600" spans="6:7" x14ac:dyDescent="0.25">
      <c r="F4600">
        <v>4597</v>
      </c>
      <c r="G4600">
        <f ca="1">_xlfn.NORM.INV(RAND(),$M$7,$M$8)</f>
        <v>2.2777795451013303E-2</v>
      </c>
    </row>
    <row r="4601" spans="6:7" x14ac:dyDescent="0.25">
      <c r="F4601">
        <v>4598</v>
      </c>
      <c r="G4601">
        <f ca="1">_xlfn.NORM.INV(RAND(),$M$7,$M$8)</f>
        <v>-5.3698253226093819E-3</v>
      </c>
    </row>
    <row r="4602" spans="6:7" x14ac:dyDescent="0.25">
      <c r="F4602">
        <v>4599</v>
      </c>
      <c r="G4602">
        <f ca="1">_xlfn.NORM.INV(RAND(),$M$7,$M$8)</f>
        <v>-4.1468097079912357E-2</v>
      </c>
    </row>
    <row r="4603" spans="6:7" x14ac:dyDescent="0.25">
      <c r="F4603">
        <v>4600</v>
      </c>
      <c r="G4603">
        <f ca="1">_xlfn.NORM.INV(RAND(),$M$7,$M$8)</f>
        <v>-4.4260417163108912E-2</v>
      </c>
    </row>
    <row r="4604" spans="6:7" x14ac:dyDescent="0.25">
      <c r="F4604">
        <v>4601</v>
      </c>
      <c r="G4604">
        <f ca="1">_xlfn.NORM.INV(RAND(),$M$7,$M$8)</f>
        <v>-2.5449376297579793E-2</v>
      </c>
    </row>
    <row r="4605" spans="6:7" x14ac:dyDescent="0.25">
      <c r="F4605">
        <v>4602</v>
      </c>
      <c r="G4605">
        <f ca="1">_xlfn.NORM.INV(RAND(),$M$7,$M$8)</f>
        <v>-1.2011320947363501E-2</v>
      </c>
    </row>
    <row r="4606" spans="6:7" x14ac:dyDescent="0.25">
      <c r="F4606">
        <v>4603</v>
      </c>
      <c r="G4606">
        <f ca="1">_xlfn.NORM.INV(RAND(),$M$7,$M$8)</f>
        <v>-1.2525124273023013E-2</v>
      </c>
    </row>
    <row r="4607" spans="6:7" x14ac:dyDescent="0.25">
      <c r="F4607">
        <v>4604</v>
      </c>
      <c r="G4607">
        <f ca="1">_xlfn.NORM.INV(RAND(),$M$7,$M$8)</f>
        <v>-2.8091993891478654E-2</v>
      </c>
    </row>
    <row r="4608" spans="6:7" x14ac:dyDescent="0.25">
      <c r="F4608">
        <v>4605</v>
      </c>
      <c r="G4608">
        <f ca="1">_xlfn.NORM.INV(RAND(),$M$7,$M$8)</f>
        <v>8.3189407025914524E-3</v>
      </c>
    </row>
    <row r="4609" spans="6:7" x14ac:dyDescent="0.25">
      <c r="F4609">
        <v>4606</v>
      </c>
      <c r="G4609">
        <f ca="1">_xlfn.NORM.INV(RAND(),$M$7,$M$8)</f>
        <v>-6.9227796214845951E-3</v>
      </c>
    </row>
    <row r="4610" spans="6:7" x14ac:dyDescent="0.25">
      <c r="F4610">
        <v>4607</v>
      </c>
      <c r="G4610">
        <f ca="1">_xlfn.NORM.INV(RAND(),$M$7,$M$8)</f>
        <v>-2.5071854338045187E-2</v>
      </c>
    </row>
    <row r="4611" spans="6:7" x14ac:dyDescent="0.25">
      <c r="F4611">
        <v>4608</v>
      </c>
      <c r="G4611">
        <f ca="1">_xlfn.NORM.INV(RAND(),$M$7,$M$8)</f>
        <v>-4.9530109114516666E-3</v>
      </c>
    </row>
    <row r="4612" spans="6:7" x14ac:dyDescent="0.25">
      <c r="F4612">
        <v>4609</v>
      </c>
      <c r="G4612">
        <f ca="1">_xlfn.NORM.INV(RAND(),$M$7,$M$8)</f>
        <v>-4.0543003860180241E-2</v>
      </c>
    </row>
    <row r="4613" spans="6:7" x14ac:dyDescent="0.25">
      <c r="F4613">
        <v>4610</v>
      </c>
      <c r="G4613">
        <f ca="1">_xlfn.NORM.INV(RAND(),$M$7,$M$8)</f>
        <v>-4.2411295262664763E-3</v>
      </c>
    </row>
    <row r="4614" spans="6:7" x14ac:dyDescent="0.25">
      <c r="F4614">
        <v>4611</v>
      </c>
      <c r="G4614">
        <f ca="1">_xlfn.NORM.INV(RAND(),$M$7,$M$8)</f>
        <v>-1.3054998367579744E-2</v>
      </c>
    </row>
    <row r="4615" spans="6:7" x14ac:dyDescent="0.25">
      <c r="F4615">
        <v>4612</v>
      </c>
      <c r="G4615">
        <f ca="1">_xlfn.NORM.INV(RAND(),$M$7,$M$8)</f>
        <v>-1.7574896510102445E-3</v>
      </c>
    </row>
    <row r="4616" spans="6:7" x14ac:dyDescent="0.25">
      <c r="F4616">
        <v>4613</v>
      </c>
      <c r="G4616">
        <f ca="1">_xlfn.NORM.INV(RAND(),$M$7,$M$8)</f>
        <v>-2.5367971342483361E-2</v>
      </c>
    </row>
    <row r="4617" spans="6:7" x14ac:dyDescent="0.25">
      <c r="F4617">
        <v>4614</v>
      </c>
      <c r="G4617">
        <f ca="1">_xlfn.NORM.INV(RAND(),$M$7,$M$8)</f>
        <v>-8.299429745214866E-3</v>
      </c>
    </row>
    <row r="4618" spans="6:7" x14ac:dyDescent="0.25">
      <c r="F4618">
        <v>4615</v>
      </c>
      <c r="G4618">
        <f ca="1">_xlfn.NORM.INV(RAND(),$M$7,$M$8)</f>
        <v>-8.6768595480355998E-3</v>
      </c>
    </row>
    <row r="4619" spans="6:7" x14ac:dyDescent="0.25">
      <c r="F4619">
        <v>4616</v>
      </c>
      <c r="G4619">
        <f ca="1">_xlfn.NORM.INV(RAND(),$M$7,$M$8)</f>
        <v>-1.5830065412954359E-2</v>
      </c>
    </row>
    <row r="4620" spans="6:7" x14ac:dyDescent="0.25">
      <c r="F4620">
        <v>4617</v>
      </c>
      <c r="G4620">
        <f ca="1">_xlfn.NORM.INV(RAND(),$M$7,$M$8)</f>
        <v>5.9925261586443859E-2</v>
      </c>
    </row>
    <row r="4621" spans="6:7" x14ac:dyDescent="0.25">
      <c r="F4621">
        <v>4618</v>
      </c>
      <c r="G4621">
        <f ca="1">_xlfn.NORM.INV(RAND(),$M$7,$M$8)</f>
        <v>-2.8208515742001419E-2</v>
      </c>
    </row>
    <row r="4622" spans="6:7" x14ac:dyDescent="0.25">
      <c r="F4622">
        <v>4619</v>
      </c>
      <c r="G4622">
        <f ca="1">_xlfn.NORM.INV(RAND(),$M$7,$M$8)</f>
        <v>-2.8431634747528606E-2</v>
      </c>
    </row>
    <row r="4623" spans="6:7" x14ac:dyDescent="0.25">
      <c r="F4623">
        <v>4620</v>
      </c>
      <c r="G4623">
        <f ca="1">_xlfn.NORM.INV(RAND(),$M$7,$M$8)</f>
        <v>1.5995074276965629E-2</v>
      </c>
    </row>
    <row r="4624" spans="6:7" x14ac:dyDescent="0.25">
      <c r="F4624">
        <v>4621</v>
      </c>
      <c r="G4624">
        <f ca="1">_xlfn.NORM.INV(RAND(),$M$7,$M$8)</f>
        <v>8.4046707961403979E-3</v>
      </c>
    </row>
    <row r="4625" spans="6:7" x14ac:dyDescent="0.25">
      <c r="F4625">
        <v>4622</v>
      </c>
      <c r="G4625">
        <f ca="1">_xlfn.NORM.INV(RAND(),$M$7,$M$8)</f>
        <v>9.7584860693839264E-4</v>
      </c>
    </row>
    <row r="4626" spans="6:7" x14ac:dyDescent="0.25">
      <c r="F4626">
        <v>4623</v>
      </c>
      <c r="G4626">
        <f ca="1">_xlfn.NORM.INV(RAND(),$M$7,$M$8)</f>
        <v>4.0928779593511055E-3</v>
      </c>
    </row>
    <row r="4627" spans="6:7" x14ac:dyDescent="0.25">
      <c r="F4627">
        <v>4624</v>
      </c>
      <c r="G4627">
        <f ca="1">_xlfn.NORM.INV(RAND(),$M$7,$M$8)</f>
        <v>1.0169993641030549E-2</v>
      </c>
    </row>
    <row r="4628" spans="6:7" x14ac:dyDescent="0.25">
      <c r="F4628">
        <v>4625</v>
      </c>
      <c r="G4628">
        <f ca="1">_xlfn.NORM.INV(RAND(),$M$7,$M$8)</f>
        <v>2.4851034715101931E-3</v>
      </c>
    </row>
    <row r="4629" spans="6:7" x14ac:dyDescent="0.25">
      <c r="F4629">
        <v>4626</v>
      </c>
      <c r="G4629">
        <f ca="1">_xlfn.NORM.INV(RAND(),$M$7,$M$8)</f>
        <v>4.9026570079354452E-3</v>
      </c>
    </row>
    <row r="4630" spans="6:7" x14ac:dyDescent="0.25">
      <c r="F4630">
        <v>4627</v>
      </c>
      <c r="G4630">
        <f ca="1">_xlfn.NORM.INV(RAND(),$M$7,$M$8)</f>
        <v>-1.3321271999037175E-3</v>
      </c>
    </row>
    <row r="4631" spans="6:7" x14ac:dyDescent="0.25">
      <c r="F4631">
        <v>4628</v>
      </c>
      <c r="G4631">
        <f ca="1">_xlfn.NORM.INV(RAND(),$M$7,$M$8)</f>
        <v>-1.2299245740413729E-4</v>
      </c>
    </row>
    <row r="4632" spans="6:7" x14ac:dyDescent="0.25">
      <c r="F4632">
        <v>4629</v>
      </c>
      <c r="G4632">
        <f ca="1">_xlfn.NORM.INV(RAND(),$M$7,$M$8)</f>
        <v>-1.7610161352919419E-2</v>
      </c>
    </row>
    <row r="4633" spans="6:7" x14ac:dyDescent="0.25">
      <c r="F4633">
        <v>4630</v>
      </c>
      <c r="G4633">
        <f ca="1">_xlfn.NORM.INV(RAND(),$M$7,$M$8)</f>
        <v>-2.1784251288440335E-2</v>
      </c>
    </row>
    <row r="4634" spans="6:7" x14ac:dyDescent="0.25">
      <c r="F4634">
        <v>4631</v>
      </c>
      <c r="G4634">
        <f ca="1">_xlfn.NORM.INV(RAND(),$M$7,$M$8)</f>
        <v>-3.1365007983368505E-2</v>
      </c>
    </row>
    <row r="4635" spans="6:7" x14ac:dyDescent="0.25">
      <c r="F4635">
        <v>4632</v>
      </c>
      <c r="G4635">
        <f ca="1">_xlfn.NORM.INV(RAND(),$M$7,$M$8)</f>
        <v>-8.7195767432937093E-3</v>
      </c>
    </row>
    <row r="4636" spans="6:7" x14ac:dyDescent="0.25">
      <c r="F4636">
        <v>4633</v>
      </c>
      <c r="G4636">
        <f ca="1">_xlfn.NORM.INV(RAND(),$M$7,$M$8)</f>
        <v>7.4608257763188884E-3</v>
      </c>
    </row>
    <row r="4637" spans="6:7" x14ac:dyDescent="0.25">
      <c r="F4637">
        <v>4634</v>
      </c>
      <c r="G4637">
        <f ca="1">_xlfn.NORM.INV(RAND(),$M$7,$M$8)</f>
        <v>-5.0998937239784776E-2</v>
      </c>
    </row>
    <row r="4638" spans="6:7" x14ac:dyDescent="0.25">
      <c r="F4638">
        <v>4635</v>
      </c>
      <c r="G4638">
        <f ca="1">_xlfn.NORM.INV(RAND(),$M$7,$M$8)</f>
        <v>-1.0817877603196422E-2</v>
      </c>
    </row>
    <row r="4639" spans="6:7" x14ac:dyDescent="0.25">
      <c r="F4639">
        <v>4636</v>
      </c>
      <c r="G4639">
        <f ca="1">_xlfn.NORM.INV(RAND(),$M$7,$M$8)</f>
        <v>-7.4071379812167201E-3</v>
      </c>
    </row>
    <row r="4640" spans="6:7" x14ac:dyDescent="0.25">
      <c r="F4640">
        <v>4637</v>
      </c>
      <c r="G4640">
        <f ca="1">_xlfn.NORM.INV(RAND(),$M$7,$M$8)</f>
        <v>-8.8220969468117694E-3</v>
      </c>
    </row>
    <row r="4641" spans="6:7" x14ac:dyDescent="0.25">
      <c r="F4641">
        <v>4638</v>
      </c>
      <c r="G4641">
        <f ca="1">_xlfn.NORM.INV(RAND(),$M$7,$M$8)</f>
        <v>-9.2257604319592075E-3</v>
      </c>
    </row>
    <row r="4642" spans="6:7" x14ac:dyDescent="0.25">
      <c r="F4642">
        <v>4639</v>
      </c>
      <c r="G4642">
        <f ca="1">_xlfn.NORM.INV(RAND(),$M$7,$M$8)</f>
        <v>2.4109339166589775E-3</v>
      </c>
    </row>
    <row r="4643" spans="6:7" x14ac:dyDescent="0.25">
      <c r="F4643">
        <v>4640</v>
      </c>
      <c r="G4643">
        <f ca="1">_xlfn.NORM.INV(RAND(),$M$7,$M$8)</f>
        <v>3.3047956086299908E-2</v>
      </c>
    </row>
    <row r="4644" spans="6:7" x14ac:dyDescent="0.25">
      <c r="F4644">
        <v>4641</v>
      </c>
      <c r="G4644">
        <f ca="1">_xlfn.NORM.INV(RAND(),$M$7,$M$8)</f>
        <v>1.5803360756858436E-3</v>
      </c>
    </row>
    <row r="4645" spans="6:7" x14ac:dyDescent="0.25">
      <c r="F4645">
        <v>4642</v>
      </c>
      <c r="G4645">
        <f ca="1">_xlfn.NORM.INV(RAND(),$M$7,$M$8)</f>
        <v>-5.1284265899181565E-2</v>
      </c>
    </row>
    <row r="4646" spans="6:7" x14ac:dyDescent="0.25">
      <c r="F4646">
        <v>4643</v>
      </c>
      <c r="G4646">
        <f ca="1">_xlfn.NORM.INV(RAND(),$M$7,$M$8)</f>
        <v>1.8913251267712407E-2</v>
      </c>
    </row>
    <row r="4647" spans="6:7" x14ac:dyDescent="0.25">
      <c r="F4647">
        <v>4644</v>
      </c>
      <c r="G4647">
        <f ca="1">_xlfn.NORM.INV(RAND(),$M$7,$M$8)</f>
        <v>1.4682636105545179E-2</v>
      </c>
    </row>
    <row r="4648" spans="6:7" x14ac:dyDescent="0.25">
      <c r="F4648">
        <v>4645</v>
      </c>
      <c r="G4648">
        <f ca="1">_xlfn.NORM.INV(RAND(),$M$7,$M$8)</f>
        <v>-3.1433696065357987E-2</v>
      </c>
    </row>
    <row r="4649" spans="6:7" x14ac:dyDescent="0.25">
      <c r="F4649">
        <v>4646</v>
      </c>
      <c r="G4649">
        <f ca="1">_xlfn.NORM.INV(RAND(),$M$7,$M$8)</f>
        <v>2.2612705506574952E-2</v>
      </c>
    </row>
    <row r="4650" spans="6:7" x14ac:dyDescent="0.25">
      <c r="F4650">
        <v>4647</v>
      </c>
      <c r="G4650">
        <f ca="1">_xlfn.NORM.INV(RAND(),$M$7,$M$8)</f>
        <v>2.1759642421929046E-2</v>
      </c>
    </row>
    <row r="4651" spans="6:7" x14ac:dyDescent="0.25">
      <c r="F4651">
        <v>4648</v>
      </c>
      <c r="G4651">
        <f ca="1">_xlfn.NORM.INV(RAND(),$M$7,$M$8)</f>
        <v>9.1964928323791956E-3</v>
      </c>
    </row>
    <row r="4652" spans="6:7" x14ac:dyDescent="0.25">
      <c r="F4652">
        <v>4649</v>
      </c>
      <c r="G4652">
        <f ca="1">_xlfn.NORM.INV(RAND(),$M$7,$M$8)</f>
        <v>7.2759589074354262E-3</v>
      </c>
    </row>
    <row r="4653" spans="6:7" x14ac:dyDescent="0.25">
      <c r="F4653">
        <v>4650</v>
      </c>
      <c r="G4653">
        <f ca="1">_xlfn.NORM.INV(RAND(),$M$7,$M$8)</f>
        <v>-1.5683655752923284E-2</v>
      </c>
    </row>
    <row r="4654" spans="6:7" x14ac:dyDescent="0.25">
      <c r="F4654">
        <v>4651</v>
      </c>
      <c r="G4654">
        <f ca="1">_xlfn.NORM.INV(RAND(),$M$7,$M$8)</f>
        <v>2.3298368168941E-2</v>
      </c>
    </row>
    <row r="4655" spans="6:7" x14ac:dyDescent="0.25">
      <c r="F4655">
        <v>4652</v>
      </c>
      <c r="G4655">
        <f ca="1">_xlfn.NORM.INV(RAND(),$M$7,$M$8)</f>
        <v>-1.2141878377244413E-3</v>
      </c>
    </row>
    <row r="4656" spans="6:7" x14ac:dyDescent="0.25">
      <c r="F4656">
        <v>4653</v>
      </c>
      <c r="G4656">
        <f ca="1">_xlfn.NORM.INV(RAND(),$M$7,$M$8)</f>
        <v>2.5949260443074822E-2</v>
      </c>
    </row>
    <row r="4657" spans="6:7" x14ac:dyDescent="0.25">
      <c r="F4657">
        <v>4654</v>
      </c>
      <c r="G4657">
        <f ca="1">_xlfn.NORM.INV(RAND(),$M$7,$M$8)</f>
        <v>1.5772732946769476E-2</v>
      </c>
    </row>
    <row r="4658" spans="6:7" x14ac:dyDescent="0.25">
      <c r="F4658">
        <v>4655</v>
      </c>
      <c r="G4658">
        <f ca="1">_xlfn.NORM.INV(RAND(),$M$7,$M$8)</f>
        <v>6.8007791789951606E-3</v>
      </c>
    </row>
    <row r="4659" spans="6:7" x14ac:dyDescent="0.25">
      <c r="F4659">
        <v>4656</v>
      </c>
      <c r="G4659">
        <f ca="1">_xlfn.NORM.INV(RAND(),$M$7,$M$8)</f>
        <v>-7.2004154718707768E-3</v>
      </c>
    </row>
    <row r="4660" spans="6:7" x14ac:dyDescent="0.25">
      <c r="F4660">
        <v>4657</v>
      </c>
      <c r="G4660">
        <f ca="1">_xlfn.NORM.INV(RAND(),$M$7,$M$8)</f>
        <v>1.8235641333416232E-2</v>
      </c>
    </row>
    <row r="4661" spans="6:7" x14ac:dyDescent="0.25">
      <c r="F4661">
        <v>4658</v>
      </c>
      <c r="G4661">
        <f ca="1">_xlfn.NORM.INV(RAND(),$M$7,$M$8)</f>
        <v>6.9229288614771536E-3</v>
      </c>
    </row>
    <row r="4662" spans="6:7" x14ac:dyDescent="0.25">
      <c r="F4662">
        <v>4659</v>
      </c>
      <c r="G4662">
        <f ca="1">_xlfn.NORM.INV(RAND(),$M$7,$M$8)</f>
        <v>2.117772875936702E-2</v>
      </c>
    </row>
    <row r="4663" spans="6:7" x14ac:dyDescent="0.25">
      <c r="F4663">
        <v>4660</v>
      </c>
      <c r="G4663">
        <f ca="1">_xlfn.NORM.INV(RAND(),$M$7,$M$8)</f>
        <v>-3.1490444355827076E-3</v>
      </c>
    </row>
    <row r="4664" spans="6:7" x14ac:dyDescent="0.25">
      <c r="F4664">
        <v>4661</v>
      </c>
      <c r="G4664">
        <f ca="1">_xlfn.NORM.INV(RAND(),$M$7,$M$8)</f>
        <v>3.6205904437710282E-2</v>
      </c>
    </row>
    <row r="4665" spans="6:7" x14ac:dyDescent="0.25">
      <c r="F4665">
        <v>4662</v>
      </c>
      <c r="G4665">
        <f ca="1">_xlfn.NORM.INV(RAND(),$M$7,$M$8)</f>
        <v>7.333902984079016E-2</v>
      </c>
    </row>
    <row r="4666" spans="6:7" x14ac:dyDescent="0.25">
      <c r="F4666">
        <v>4663</v>
      </c>
      <c r="G4666">
        <f ca="1">_xlfn.NORM.INV(RAND(),$M$7,$M$8)</f>
        <v>1.9561609237843891E-2</v>
      </c>
    </row>
    <row r="4667" spans="6:7" x14ac:dyDescent="0.25">
      <c r="F4667">
        <v>4664</v>
      </c>
      <c r="G4667">
        <f ca="1">_xlfn.NORM.INV(RAND(),$M$7,$M$8)</f>
        <v>-8.7656211021315249E-3</v>
      </c>
    </row>
    <row r="4668" spans="6:7" x14ac:dyDescent="0.25">
      <c r="F4668">
        <v>4665</v>
      </c>
      <c r="G4668">
        <f ca="1">_xlfn.NORM.INV(RAND(),$M$7,$M$8)</f>
        <v>3.3174681438385728E-2</v>
      </c>
    </row>
    <row r="4669" spans="6:7" x14ac:dyDescent="0.25">
      <c r="F4669">
        <v>4666</v>
      </c>
      <c r="G4669">
        <f ca="1">_xlfn.NORM.INV(RAND(),$M$7,$M$8)</f>
        <v>2.3049932052147417E-2</v>
      </c>
    </row>
    <row r="4670" spans="6:7" x14ac:dyDescent="0.25">
      <c r="F4670">
        <v>4667</v>
      </c>
      <c r="G4670">
        <f ca="1">_xlfn.NORM.INV(RAND(),$M$7,$M$8)</f>
        <v>2.0492806672294341E-2</v>
      </c>
    </row>
    <row r="4671" spans="6:7" x14ac:dyDescent="0.25">
      <c r="F4671">
        <v>4668</v>
      </c>
      <c r="G4671">
        <f ca="1">_xlfn.NORM.INV(RAND(),$M$7,$M$8)</f>
        <v>3.1849678705269467E-2</v>
      </c>
    </row>
    <row r="4672" spans="6:7" x14ac:dyDescent="0.25">
      <c r="F4672">
        <v>4669</v>
      </c>
      <c r="G4672">
        <f ca="1">_xlfn.NORM.INV(RAND(),$M$7,$M$8)</f>
        <v>-2.9244439801123821E-2</v>
      </c>
    </row>
    <row r="4673" spans="6:7" x14ac:dyDescent="0.25">
      <c r="F4673">
        <v>4670</v>
      </c>
      <c r="G4673">
        <f ca="1">_xlfn.NORM.INV(RAND(),$M$7,$M$8)</f>
        <v>-2.7513710022851446E-4</v>
      </c>
    </row>
    <row r="4674" spans="6:7" x14ac:dyDescent="0.25">
      <c r="F4674">
        <v>4671</v>
      </c>
      <c r="G4674">
        <f ca="1">_xlfn.NORM.INV(RAND(),$M$7,$M$8)</f>
        <v>-7.934645774567128E-3</v>
      </c>
    </row>
    <row r="4675" spans="6:7" x14ac:dyDescent="0.25">
      <c r="F4675">
        <v>4672</v>
      </c>
      <c r="G4675">
        <f ca="1">_xlfn.NORM.INV(RAND(),$M$7,$M$8)</f>
        <v>1.3737248948157577E-2</v>
      </c>
    </row>
    <row r="4676" spans="6:7" x14ac:dyDescent="0.25">
      <c r="F4676">
        <v>4673</v>
      </c>
      <c r="G4676">
        <f ca="1">_xlfn.NORM.INV(RAND(),$M$7,$M$8)</f>
        <v>1.9075865864835026E-3</v>
      </c>
    </row>
    <row r="4677" spans="6:7" x14ac:dyDescent="0.25">
      <c r="F4677">
        <v>4674</v>
      </c>
      <c r="G4677">
        <f ca="1">_xlfn.NORM.INV(RAND(),$M$7,$M$8)</f>
        <v>-1.6645946461794701E-2</v>
      </c>
    </row>
    <row r="4678" spans="6:7" x14ac:dyDescent="0.25">
      <c r="F4678">
        <v>4675</v>
      </c>
      <c r="G4678">
        <f ca="1">_xlfn.NORM.INV(RAND(),$M$7,$M$8)</f>
        <v>2.7345059508525456E-2</v>
      </c>
    </row>
    <row r="4679" spans="6:7" x14ac:dyDescent="0.25">
      <c r="F4679">
        <v>4676</v>
      </c>
      <c r="G4679">
        <f ca="1">_xlfn.NORM.INV(RAND(),$M$7,$M$8)</f>
        <v>6.9635292830372546E-3</v>
      </c>
    </row>
    <row r="4680" spans="6:7" x14ac:dyDescent="0.25">
      <c r="F4680">
        <v>4677</v>
      </c>
      <c r="G4680">
        <f ca="1">_xlfn.NORM.INV(RAND(),$M$7,$M$8)</f>
        <v>5.4833771189543509E-3</v>
      </c>
    </row>
    <row r="4681" spans="6:7" x14ac:dyDescent="0.25">
      <c r="F4681">
        <v>4678</v>
      </c>
      <c r="G4681">
        <f ca="1">_xlfn.NORM.INV(RAND(),$M$7,$M$8)</f>
        <v>-8.1100704181945194E-3</v>
      </c>
    </row>
    <row r="4682" spans="6:7" x14ac:dyDescent="0.25">
      <c r="F4682">
        <v>4679</v>
      </c>
      <c r="G4682">
        <f ca="1">_xlfn.NORM.INV(RAND(),$M$7,$M$8)</f>
        <v>3.0747642535848174E-2</v>
      </c>
    </row>
    <row r="4683" spans="6:7" x14ac:dyDescent="0.25">
      <c r="F4683">
        <v>4680</v>
      </c>
      <c r="G4683">
        <f ca="1">_xlfn.NORM.INV(RAND(),$M$7,$M$8)</f>
        <v>-1.3110696641242014E-2</v>
      </c>
    </row>
    <row r="4684" spans="6:7" x14ac:dyDescent="0.25">
      <c r="F4684">
        <v>4681</v>
      </c>
      <c r="G4684">
        <f ca="1">_xlfn.NORM.INV(RAND(),$M$7,$M$8)</f>
        <v>-3.1292223346758095E-2</v>
      </c>
    </row>
    <row r="4685" spans="6:7" x14ac:dyDescent="0.25">
      <c r="F4685">
        <v>4682</v>
      </c>
      <c r="G4685">
        <f ca="1">_xlfn.NORM.INV(RAND(),$M$7,$M$8)</f>
        <v>1.0779949812125954E-2</v>
      </c>
    </row>
    <row r="4686" spans="6:7" x14ac:dyDescent="0.25">
      <c r="F4686">
        <v>4683</v>
      </c>
      <c r="G4686">
        <f ca="1">_xlfn.NORM.INV(RAND(),$M$7,$M$8)</f>
        <v>-4.2198556686396549E-2</v>
      </c>
    </row>
    <row r="4687" spans="6:7" x14ac:dyDescent="0.25">
      <c r="F4687">
        <v>4684</v>
      </c>
      <c r="G4687">
        <f ca="1">_xlfn.NORM.INV(RAND(),$M$7,$M$8)</f>
        <v>-2.6996372299625156E-2</v>
      </c>
    </row>
    <row r="4688" spans="6:7" x14ac:dyDescent="0.25">
      <c r="F4688">
        <v>4685</v>
      </c>
      <c r="G4688">
        <f ca="1">_xlfn.NORM.INV(RAND(),$M$7,$M$8)</f>
        <v>-4.3053610070577814E-2</v>
      </c>
    </row>
    <row r="4689" spans="6:7" x14ac:dyDescent="0.25">
      <c r="F4689">
        <v>4686</v>
      </c>
      <c r="G4689">
        <f ca="1">_xlfn.NORM.INV(RAND(),$M$7,$M$8)</f>
        <v>-1.3447574748729244E-2</v>
      </c>
    </row>
    <row r="4690" spans="6:7" x14ac:dyDescent="0.25">
      <c r="F4690">
        <v>4687</v>
      </c>
      <c r="G4690">
        <f ca="1">_xlfn.NORM.INV(RAND(),$M$7,$M$8)</f>
        <v>2.8892383332953069E-3</v>
      </c>
    </row>
    <row r="4691" spans="6:7" x14ac:dyDescent="0.25">
      <c r="F4691">
        <v>4688</v>
      </c>
      <c r="G4691">
        <f ca="1">_xlfn.NORM.INV(RAND(),$M$7,$M$8)</f>
        <v>-4.9086871592920189E-3</v>
      </c>
    </row>
    <row r="4692" spans="6:7" x14ac:dyDescent="0.25">
      <c r="F4692">
        <v>4689</v>
      </c>
      <c r="G4692">
        <f ca="1">_xlfn.NORM.INV(RAND(),$M$7,$M$8)</f>
        <v>8.8502802251311623E-3</v>
      </c>
    </row>
    <row r="4693" spans="6:7" x14ac:dyDescent="0.25">
      <c r="F4693">
        <v>4690</v>
      </c>
      <c r="G4693">
        <f ca="1">_xlfn.NORM.INV(RAND(),$M$7,$M$8)</f>
        <v>1.3386733027757025E-2</v>
      </c>
    </row>
    <row r="4694" spans="6:7" x14ac:dyDescent="0.25">
      <c r="F4694">
        <v>4691</v>
      </c>
      <c r="G4694">
        <f ca="1">_xlfn.NORM.INV(RAND(),$M$7,$M$8)</f>
        <v>1.851723876979993E-2</v>
      </c>
    </row>
    <row r="4695" spans="6:7" x14ac:dyDescent="0.25">
      <c r="F4695">
        <v>4692</v>
      </c>
      <c r="G4695">
        <f ca="1">_xlfn.NORM.INV(RAND(),$M$7,$M$8)</f>
        <v>-6.7082944065979828E-3</v>
      </c>
    </row>
    <row r="4696" spans="6:7" x14ac:dyDescent="0.25">
      <c r="F4696">
        <v>4693</v>
      </c>
      <c r="G4696">
        <f ca="1">_xlfn.NORM.INV(RAND(),$M$7,$M$8)</f>
        <v>1.2884300656122873E-2</v>
      </c>
    </row>
    <row r="4697" spans="6:7" x14ac:dyDescent="0.25">
      <c r="F4697">
        <v>4694</v>
      </c>
      <c r="G4697">
        <f ca="1">_xlfn.NORM.INV(RAND(),$M$7,$M$8)</f>
        <v>-1.1449456382357621E-2</v>
      </c>
    </row>
    <row r="4698" spans="6:7" x14ac:dyDescent="0.25">
      <c r="F4698">
        <v>4695</v>
      </c>
      <c r="G4698">
        <f ca="1">_xlfn.NORM.INV(RAND(),$M$7,$M$8)</f>
        <v>-1.9129207193018832E-2</v>
      </c>
    </row>
    <row r="4699" spans="6:7" x14ac:dyDescent="0.25">
      <c r="F4699">
        <v>4696</v>
      </c>
      <c r="G4699">
        <f ca="1">_xlfn.NORM.INV(RAND(),$M$7,$M$8)</f>
        <v>8.2575513468955315E-3</v>
      </c>
    </row>
    <row r="4700" spans="6:7" x14ac:dyDescent="0.25">
      <c r="F4700">
        <v>4697</v>
      </c>
      <c r="G4700">
        <f ca="1">_xlfn.NORM.INV(RAND(),$M$7,$M$8)</f>
        <v>-1.9392375010896181E-3</v>
      </c>
    </row>
    <row r="4701" spans="6:7" x14ac:dyDescent="0.25">
      <c r="F4701">
        <v>4698</v>
      </c>
      <c r="G4701">
        <f ca="1">_xlfn.NORM.INV(RAND(),$M$7,$M$8)</f>
        <v>-2.839150253627111E-2</v>
      </c>
    </row>
    <row r="4702" spans="6:7" x14ac:dyDescent="0.25">
      <c r="F4702">
        <v>4699</v>
      </c>
      <c r="G4702">
        <f ca="1">_xlfn.NORM.INV(RAND(),$M$7,$M$8)</f>
        <v>2.4674393549716091E-2</v>
      </c>
    </row>
    <row r="4703" spans="6:7" x14ac:dyDescent="0.25">
      <c r="F4703">
        <v>4700</v>
      </c>
      <c r="G4703">
        <f ca="1">_xlfn.NORM.INV(RAND(),$M$7,$M$8)</f>
        <v>4.3569506622851438E-2</v>
      </c>
    </row>
    <row r="4704" spans="6:7" x14ac:dyDescent="0.25">
      <c r="F4704">
        <v>4701</v>
      </c>
      <c r="G4704">
        <f ca="1">_xlfn.NORM.INV(RAND(),$M$7,$M$8)</f>
        <v>8.3683169795836822E-3</v>
      </c>
    </row>
    <row r="4705" spans="6:7" x14ac:dyDescent="0.25">
      <c r="F4705">
        <v>4702</v>
      </c>
      <c r="G4705">
        <f ca="1">_xlfn.NORM.INV(RAND(),$M$7,$M$8)</f>
        <v>-4.142277687384557E-3</v>
      </c>
    </row>
    <row r="4706" spans="6:7" x14ac:dyDescent="0.25">
      <c r="F4706">
        <v>4703</v>
      </c>
      <c r="G4706">
        <f ca="1">_xlfn.NORM.INV(RAND(),$M$7,$M$8)</f>
        <v>-2.2837331006571426E-2</v>
      </c>
    </row>
    <row r="4707" spans="6:7" x14ac:dyDescent="0.25">
      <c r="F4707">
        <v>4704</v>
      </c>
      <c r="G4707">
        <f ca="1">_xlfn.NORM.INV(RAND(),$M$7,$M$8)</f>
        <v>-2.8903679166696297E-2</v>
      </c>
    </row>
    <row r="4708" spans="6:7" x14ac:dyDescent="0.25">
      <c r="F4708">
        <v>4705</v>
      </c>
      <c r="G4708">
        <f ca="1">_xlfn.NORM.INV(RAND(),$M$7,$M$8)</f>
        <v>-2.9387670957528596E-2</v>
      </c>
    </row>
    <row r="4709" spans="6:7" x14ac:dyDescent="0.25">
      <c r="F4709">
        <v>4706</v>
      </c>
      <c r="G4709">
        <f ca="1">_xlfn.NORM.INV(RAND(),$M$7,$M$8)</f>
        <v>-2.1278790659180719E-2</v>
      </c>
    </row>
    <row r="4710" spans="6:7" x14ac:dyDescent="0.25">
      <c r="F4710">
        <v>4707</v>
      </c>
      <c r="G4710">
        <f ca="1">_xlfn.NORM.INV(RAND(),$M$7,$M$8)</f>
        <v>1.9231448011099054E-2</v>
      </c>
    </row>
    <row r="4711" spans="6:7" x14ac:dyDescent="0.25">
      <c r="F4711">
        <v>4708</v>
      </c>
      <c r="G4711">
        <f ca="1">_xlfn.NORM.INV(RAND(),$M$7,$M$8)</f>
        <v>-2.4314084830652151E-2</v>
      </c>
    </row>
    <row r="4712" spans="6:7" x14ac:dyDescent="0.25">
      <c r="F4712">
        <v>4709</v>
      </c>
      <c r="G4712">
        <f ca="1">_xlfn.NORM.INV(RAND(),$M$7,$M$8)</f>
        <v>-1.1773205729349962E-2</v>
      </c>
    </row>
    <row r="4713" spans="6:7" x14ac:dyDescent="0.25">
      <c r="F4713">
        <v>4710</v>
      </c>
      <c r="G4713">
        <f ca="1">_xlfn.NORM.INV(RAND(),$M$7,$M$8)</f>
        <v>-1.7678268642636167E-2</v>
      </c>
    </row>
    <row r="4714" spans="6:7" x14ac:dyDescent="0.25">
      <c r="F4714">
        <v>4711</v>
      </c>
      <c r="G4714">
        <f ca="1">_xlfn.NORM.INV(RAND(),$M$7,$M$8)</f>
        <v>3.9245081603234484E-2</v>
      </c>
    </row>
    <row r="4715" spans="6:7" x14ac:dyDescent="0.25">
      <c r="F4715">
        <v>4712</v>
      </c>
      <c r="G4715">
        <f ca="1">_xlfn.NORM.INV(RAND(),$M$7,$M$8)</f>
        <v>1.6307222556503107E-2</v>
      </c>
    </row>
    <row r="4716" spans="6:7" x14ac:dyDescent="0.25">
      <c r="F4716">
        <v>4713</v>
      </c>
      <c r="G4716">
        <f ca="1">_xlfn.NORM.INV(RAND(),$M$7,$M$8)</f>
        <v>-1.1451829421217519E-3</v>
      </c>
    </row>
    <row r="4717" spans="6:7" x14ac:dyDescent="0.25">
      <c r="F4717">
        <v>4714</v>
      </c>
      <c r="G4717">
        <f ca="1">_xlfn.NORM.INV(RAND(),$M$7,$M$8)</f>
        <v>1.3353094452079047E-2</v>
      </c>
    </row>
    <row r="4718" spans="6:7" x14ac:dyDescent="0.25">
      <c r="F4718">
        <v>4715</v>
      </c>
      <c r="G4718">
        <f ca="1">_xlfn.NORM.INV(RAND(),$M$7,$M$8)</f>
        <v>-2.4955287457495024E-2</v>
      </c>
    </row>
    <row r="4719" spans="6:7" x14ac:dyDescent="0.25">
      <c r="F4719">
        <v>4716</v>
      </c>
      <c r="G4719">
        <f ca="1">_xlfn.NORM.INV(RAND(),$M$7,$M$8)</f>
        <v>1.4876685618493266E-2</v>
      </c>
    </row>
    <row r="4720" spans="6:7" x14ac:dyDescent="0.25">
      <c r="F4720">
        <v>4717</v>
      </c>
      <c r="G4720">
        <f ca="1">_xlfn.NORM.INV(RAND(),$M$7,$M$8)</f>
        <v>-1.133619551459916E-2</v>
      </c>
    </row>
    <row r="4721" spans="6:7" x14ac:dyDescent="0.25">
      <c r="F4721">
        <v>4718</v>
      </c>
      <c r="G4721">
        <f ca="1">_xlfn.NORM.INV(RAND(),$M$7,$M$8)</f>
        <v>-1.3973464368074971E-2</v>
      </c>
    </row>
    <row r="4722" spans="6:7" x14ac:dyDescent="0.25">
      <c r="F4722">
        <v>4719</v>
      </c>
      <c r="G4722">
        <f ca="1">_xlfn.NORM.INV(RAND(),$M$7,$M$8)</f>
        <v>4.1657407928089231E-2</v>
      </c>
    </row>
    <row r="4723" spans="6:7" x14ac:dyDescent="0.25">
      <c r="F4723">
        <v>4720</v>
      </c>
      <c r="G4723">
        <f ca="1">_xlfn.NORM.INV(RAND(),$M$7,$M$8)</f>
        <v>-4.482337962152181E-2</v>
      </c>
    </row>
    <row r="4724" spans="6:7" x14ac:dyDescent="0.25">
      <c r="F4724">
        <v>4721</v>
      </c>
      <c r="G4724">
        <f ca="1">_xlfn.NORM.INV(RAND(),$M$7,$M$8)</f>
        <v>-2.1486597353668601E-2</v>
      </c>
    </row>
    <row r="4725" spans="6:7" x14ac:dyDescent="0.25">
      <c r="F4725">
        <v>4722</v>
      </c>
      <c r="G4725">
        <f ca="1">_xlfn.NORM.INV(RAND(),$M$7,$M$8)</f>
        <v>-1.0591883188618943E-2</v>
      </c>
    </row>
    <row r="4726" spans="6:7" x14ac:dyDescent="0.25">
      <c r="F4726">
        <v>4723</v>
      </c>
      <c r="G4726">
        <f ca="1">_xlfn.NORM.INV(RAND(),$M$7,$M$8)</f>
        <v>1.2162181323697487E-2</v>
      </c>
    </row>
    <row r="4727" spans="6:7" x14ac:dyDescent="0.25">
      <c r="F4727">
        <v>4724</v>
      </c>
      <c r="G4727">
        <f ca="1">_xlfn.NORM.INV(RAND(),$M$7,$M$8)</f>
        <v>1.350967312804283E-2</v>
      </c>
    </row>
    <row r="4728" spans="6:7" x14ac:dyDescent="0.25">
      <c r="F4728">
        <v>4725</v>
      </c>
      <c r="G4728">
        <f ca="1">_xlfn.NORM.INV(RAND(),$M$7,$M$8)</f>
        <v>-4.5409442927087151E-2</v>
      </c>
    </row>
    <row r="4729" spans="6:7" x14ac:dyDescent="0.25">
      <c r="F4729">
        <v>4726</v>
      </c>
      <c r="G4729">
        <f ca="1">_xlfn.NORM.INV(RAND(),$M$7,$M$8)</f>
        <v>4.4674044974783361E-2</v>
      </c>
    </row>
    <row r="4730" spans="6:7" x14ac:dyDescent="0.25">
      <c r="F4730">
        <v>4727</v>
      </c>
      <c r="G4730">
        <f ca="1">_xlfn.NORM.INV(RAND(),$M$7,$M$8)</f>
        <v>-7.2263367289419856E-4</v>
      </c>
    </row>
    <row r="4731" spans="6:7" x14ac:dyDescent="0.25">
      <c r="F4731">
        <v>4728</v>
      </c>
      <c r="G4731">
        <f ca="1">_xlfn.NORM.INV(RAND(),$M$7,$M$8)</f>
        <v>5.1622100052770934E-3</v>
      </c>
    </row>
    <row r="4732" spans="6:7" x14ac:dyDescent="0.25">
      <c r="F4732">
        <v>4729</v>
      </c>
      <c r="G4732">
        <f ca="1">_xlfn.NORM.INV(RAND(),$M$7,$M$8)</f>
        <v>-2.859278820589602E-2</v>
      </c>
    </row>
    <row r="4733" spans="6:7" x14ac:dyDescent="0.25">
      <c r="F4733">
        <v>4730</v>
      </c>
      <c r="G4733">
        <f ca="1">_xlfn.NORM.INV(RAND(),$M$7,$M$8)</f>
        <v>-2.1598425711183467E-2</v>
      </c>
    </row>
    <row r="4734" spans="6:7" x14ac:dyDescent="0.25">
      <c r="F4734">
        <v>4731</v>
      </c>
      <c r="G4734">
        <f ca="1">_xlfn.NORM.INV(RAND(),$M$7,$M$8)</f>
        <v>-1.8050742851637258E-3</v>
      </c>
    </row>
    <row r="4735" spans="6:7" x14ac:dyDescent="0.25">
      <c r="F4735">
        <v>4732</v>
      </c>
      <c r="G4735">
        <f ca="1">_xlfn.NORM.INV(RAND(),$M$7,$M$8)</f>
        <v>-3.6089013455712582E-2</v>
      </c>
    </row>
    <row r="4736" spans="6:7" x14ac:dyDescent="0.25">
      <c r="F4736">
        <v>4733</v>
      </c>
      <c r="G4736">
        <f ca="1">_xlfn.NORM.INV(RAND(),$M$7,$M$8)</f>
        <v>-8.0387343167905474E-3</v>
      </c>
    </row>
    <row r="4737" spans="6:7" x14ac:dyDescent="0.25">
      <c r="F4737">
        <v>4734</v>
      </c>
      <c r="G4737">
        <f ca="1">_xlfn.NORM.INV(RAND(),$M$7,$M$8)</f>
        <v>-1.5579735294922757E-2</v>
      </c>
    </row>
    <row r="4738" spans="6:7" x14ac:dyDescent="0.25">
      <c r="F4738">
        <v>4735</v>
      </c>
      <c r="G4738">
        <f ca="1">_xlfn.NORM.INV(RAND(),$M$7,$M$8)</f>
        <v>1.4723116073657748E-2</v>
      </c>
    </row>
    <row r="4739" spans="6:7" x14ac:dyDescent="0.25">
      <c r="F4739">
        <v>4736</v>
      </c>
      <c r="G4739">
        <f ca="1">_xlfn.NORM.INV(RAND(),$M$7,$M$8)</f>
        <v>-2.8274902734625022E-2</v>
      </c>
    </row>
    <row r="4740" spans="6:7" x14ac:dyDescent="0.25">
      <c r="F4740">
        <v>4737</v>
      </c>
      <c r="G4740">
        <f ca="1">_xlfn.NORM.INV(RAND(),$M$7,$M$8)</f>
        <v>3.7333165949651401E-2</v>
      </c>
    </row>
    <row r="4741" spans="6:7" x14ac:dyDescent="0.25">
      <c r="F4741">
        <v>4738</v>
      </c>
      <c r="G4741">
        <f ca="1">_xlfn.NORM.INV(RAND(),$M$7,$M$8)</f>
        <v>-7.8912710221218096E-3</v>
      </c>
    </row>
    <row r="4742" spans="6:7" x14ac:dyDescent="0.25">
      <c r="F4742">
        <v>4739</v>
      </c>
      <c r="G4742">
        <f ca="1">_xlfn.NORM.INV(RAND(),$M$7,$M$8)</f>
        <v>-3.9698977802362298E-2</v>
      </c>
    </row>
    <row r="4743" spans="6:7" x14ac:dyDescent="0.25">
      <c r="F4743">
        <v>4740</v>
      </c>
      <c r="G4743">
        <f ca="1">_xlfn.NORM.INV(RAND(),$M$7,$M$8)</f>
        <v>-4.8650007288186414E-2</v>
      </c>
    </row>
    <row r="4744" spans="6:7" x14ac:dyDescent="0.25">
      <c r="F4744">
        <v>4741</v>
      </c>
      <c r="G4744">
        <f ca="1">_xlfn.NORM.INV(RAND(),$M$7,$M$8)</f>
        <v>-5.3202069596495934E-3</v>
      </c>
    </row>
    <row r="4745" spans="6:7" x14ac:dyDescent="0.25">
      <c r="F4745">
        <v>4742</v>
      </c>
      <c r="G4745">
        <f ca="1">_xlfn.NORM.INV(RAND(),$M$7,$M$8)</f>
        <v>3.7789440695496834E-2</v>
      </c>
    </row>
    <row r="4746" spans="6:7" x14ac:dyDescent="0.25">
      <c r="F4746">
        <v>4743</v>
      </c>
      <c r="G4746">
        <f ca="1">_xlfn.NORM.INV(RAND(),$M$7,$M$8)</f>
        <v>8.2111209255579964E-2</v>
      </c>
    </row>
    <row r="4747" spans="6:7" x14ac:dyDescent="0.25">
      <c r="F4747">
        <v>4744</v>
      </c>
      <c r="G4747">
        <f ca="1">_xlfn.NORM.INV(RAND(),$M$7,$M$8)</f>
        <v>-5.3449586452132582E-3</v>
      </c>
    </row>
    <row r="4748" spans="6:7" x14ac:dyDescent="0.25">
      <c r="F4748">
        <v>4745</v>
      </c>
      <c r="G4748">
        <f ca="1">_xlfn.NORM.INV(RAND(),$M$7,$M$8)</f>
        <v>-5.1565190338181452E-2</v>
      </c>
    </row>
    <row r="4749" spans="6:7" x14ac:dyDescent="0.25">
      <c r="F4749">
        <v>4746</v>
      </c>
      <c r="G4749">
        <f ca="1">_xlfn.NORM.INV(RAND(),$M$7,$M$8)</f>
        <v>1.7913696207350348E-2</v>
      </c>
    </row>
    <row r="4750" spans="6:7" x14ac:dyDescent="0.25">
      <c r="F4750">
        <v>4747</v>
      </c>
      <c r="G4750">
        <f ca="1">_xlfn.NORM.INV(RAND(),$M$7,$M$8)</f>
        <v>3.8666936154418304E-2</v>
      </c>
    </row>
    <row r="4751" spans="6:7" x14ac:dyDescent="0.25">
      <c r="F4751">
        <v>4748</v>
      </c>
      <c r="G4751">
        <f ca="1">_xlfn.NORM.INV(RAND(),$M$7,$M$8)</f>
        <v>6.8827871163846019E-2</v>
      </c>
    </row>
    <row r="4752" spans="6:7" x14ac:dyDescent="0.25">
      <c r="F4752">
        <v>4749</v>
      </c>
      <c r="G4752">
        <f ca="1">_xlfn.NORM.INV(RAND(),$M$7,$M$8)</f>
        <v>2.1413844279841728E-2</v>
      </c>
    </row>
    <row r="4753" spans="6:7" x14ac:dyDescent="0.25">
      <c r="F4753">
        <v>4750</v>
      </c>
      <c r="G4753">
        <f ca="1">_xlfn.NORM.INV(RAND(),$M$7,$M$8)</f>
        <v>4.4034689681816371E-3</v>
      </c>
    </row>
    <row r="4754" spans="6:7" x14ac:dyDescent="0.25">
      <c r="F4754">
        <v>4751</v>
      </c>
      <c r="G4754">
        <f ca="1">_xlfn.NORM.INV(RAND(),$M$7,$M$8)</f>
        <v>1.952089215823246E-2</v>
      </c>
    </row>
    <row r="4755" spans="6:7" x14ac:dyDescent="0.25">
      <c r="F4755">
        <v>4752</v>
      </c>
      <c r="G4755">
        <f ca="1">_xlfn.NORM.INV(RAND(),$M$7,$M$8)</f>
        <v>4.5213829420379693E-2</v>
      </c>
    </row>
    <row r="4756" spans="6:7" x14ac:dyDescent="0.25">
      <c r="F4756">
        <v>4753</v>
      </c>
      <c r="G4756">
        <f ca="1">_xlfn.NORM.INV(RAND(),$M$7,$M$8)</f>
        <v>6.5103109063054221E-2</v>
      </c>
    </row>
    <row r="4757" spans="6:7" x14ac:dyDescent="0.25">
      <c r="F4757">
        <v>4754</v>
      </c>
      <c r="G4757">
        <f ca="1">_xlfn.NORM.INV(RAND(),$M$7,$M$8)</f>
        <v>-3.9517481561140613E-2</v>
      </c>
    </row>
    <row r="4758" spans="6:7" x14ac:dyDescent="0.25">
      <c r="F4758">
        <v>4755</v>
      </c>
      <c r="G4758">
        <f ca="1">_xlfn.NORM.INV(RAND(),$M$7,$M$8)</f>
        <v>6.7600707143413125E-2</v>
      </c>
    </row>
    <row r="4759" spans="6:7" x14ac:dyDescent="0.25">
      <c r="F4759">
        <v>4756</v>
      </c>
      <c r="G4759">
        <f ca="1">_xlfn.NORM.INV(RAND(),$M$7,$M$8)</f>
        <v>1.5910953679903677E-2</v>
      </c>
    </row>
    <row r="4760" spans="6:7" x14ac:dyDescent="0.25">
      <c r="F4760">
        <v>4757</v>
      </c>
      <c r="G4760">
        <f ca="1">_xlfn.NORM.INV(RAND(),$M$7,$M$8)</f>
        <v>2.985512915075917E-2</v>
      </c>
    </row>
    <row r="4761" spans="6:7" x14ac:dyDescent="0.25">
      <c r="F4761">
        <v>4758</v>
      </c>
      <c r="G4761">
        <f ca="1">_xlfn.NORM.INV(RAND(),$M$7,$M$8)</f>
        <v>3.62199126074269E-2</v>
      </c>
    </row>
    <row r="4762" spans="6:7" x14ac:dyDescent="0.25">
      <c r="F4762">
        <v>4759</v>
      </c>
      <c r="G4762">
        <f ca="1">_xlfn.NORM.INV(RAND(),$M$7,$M$8)</f>
        <v>-3.3577736049775153E-2</v>
      </c>
    </row>
    <row r="4763" spans="6:7" x14ac:dyDescent="0.25">
      <c r="F4763">
        <v>4760</v>
      </c>
      <c r="G4763">
        <f ca="1">_xlfn.NORM.INV(RAND(),$M$7,$M$8)</f>
        <v>9.958170447084351E-3</v>
      </c>
    </row>
    <row r="4764" spans="6:7" x14ac:dyDescent="0.25">
      <c r="F4764">
        <v>4761</v>
      </c>
      <c r="G4764">
        <f ca="1">_xlfn.NORM.INV(RAND(),$M$7,$M$8)</f>
        <v>1.3584051714387983E-4</v>
      </c>
    </row>
    <row r="4765" spans="6:7" x14ac:dyDescent="0.25">
      <c r="F4765">
        <v>4762</v>
      </c>
      <c r="G4765">
        <f ca="1">_xlfn.NORM.INV(RAND(),$M$7,$M$8)</f>
        <v>3.5551309973628084E-2</v>
      </c>
    </row>
    <row r="4766" spans="6:7" x14ac:dyDescent="0.25">
      <c r="F4766">
        <v>4763</v>
      </c>
      <c r="G4766">
        <f ca="1">_xlfn.NORM.INV(RAND(),$M$7,$M$8)</f>
        <v>-1.5980904156874727E-3</v>
      </c>
    </row>
    <row r="4767" spans="6:7" x14ac:dyDescent="0.25">
      <c r="F4767">
        <v>4764</v>
      </c>
      <c r="G4767">
        <f ca="1">_xlfn.NORM.INV(RAND(),$M$7,$M$8)</f>
        <v>-8.378538890444669E-3</v>
      </c>
    </row>
    <row r="4768" spans="6:7" x14ac:dyDescent="0.25">
      <c r="F4768">
        <v>4765</v>
      </c>
      <c r="G4768">
        <f ca="1">_xlfn.NORM.INV(RAND(),$M$7,$M$8)</f>
        <v>3.1178089253055222E-2</v>
      </c>
    </row>
    <row r="4769" spans="6:7" x14ac:dyDescent="0.25">
      <c r="F4769">
        <v>4766</v>
      </c>
      <c r="G4769">
        <f ca="1">_xlfn.NORM.INV(RAND(),$M$7,$M$8)</f>
        <v>-8.7369851651322768E-3</v>
      </c>
    </row>
    <row r="4770" spans="6:7" x14ac:dyDescent="0.25">
      <c r="F4770">
        <v>4767</v>
      </c>
      <c r="G4770">
        <f ca="1">_xlfn.NORM.INV(RAND(),$M$7,$M$8)</f>
        <v>3.2825817783199346E-2</v>
      </c>
    </row>
    <row r="4771" spans="6:7" x14ac:dyDescent="0.25">
      <c r="F4771">
        <v>4768</v>
      </c>
      <c r="G4771">
        <f ca="1">_xlfn.NORM.INV(RAND(),$M$7,$M$8)</f>
        <v>-1.3944135241467957E-2</v>
      </c>
    </row>
    <row r="4772" spans="6:7" x14ac:dyDescent="0.25">
      <c r="F4772">
        <v>4769</v>
      </c>
      <c r="G4772">
        <f ca="1">_xlfn.NORM.INV(RAND(),$M$7,$M$8)</f>
        <v>-7.5103819368399103E-4</v>
      </c>
    </row>
    <row r="4773" spans="6:7" x14ac:dyDescent="0.25">
      <c r="F4773">
        <v>4770</v>
      </c>
      <c r="G4773">
        <f ca="1">_xlfn.NORM.INV(RAND(),$M$7,$M$8)</f>
        <v>-1.4637768729206531E-2</v>
      </c>
    </row>
    <row r="4774" spans="6:7" x14ac:dyDescent="0.25">
      <c r="F4774">
        <v>4771</v>
      </c>
      <c r="G4774">
        <f ca="1">_xlfn.NORM.INV(RAND(),$M$7,$M$8)</f>
        <v>-2.1061591405022714E-2</v>
      </c>
    </row>
    <row r="4775" spans="6:7" x14ac:dyDescent="0.25">
      <c r="F4775">
        <v>4772</v>
      </c>
      <c r="G4775">
        <f ca="1">_xlfn.NORM.INV(RAND(),$M$7,$M$8)</f>
        <v>8.5391569518964445E-3</v>
      </c>
    </row>
    <row r="4776" spans="6:7" x14ac:dyDescent="0.25">
      <c r="F4776">
        <v>4773</v>
      </c>
      <c r="G4776">
        <f ca="1">_xlfn.NORM.INV(RAND(),$M$7,$M$8)</f>
        <v>-1.9020844562803289E-2</v>
      </c>
    </row>
    <row r="4777" spans="6:7" x14ac:dyDescent="0.25">
      <c r="F4777">
        <v>4774</v>
      </c>
      <c r="G4777">
        <f ca="1">_xlfn.NORM.INV(RAND(),$M$7,$M$8)</f>
        <v>-2.615784145038056E-2</v>
      </c>
    </row>
    <row r="4778" spans="6:7" x14ac:dyDescent="0.25">
      <c r="F4778">
        <v>4775</v>
      </c>
      <c r="G4778">
        <f ca="1">_xlfn.NORM.INV(RAND(),$M$7,$M$8)</f>
        <v>-2.4747220874460547E-4</v>
      </c>
    </row>
    <row r="4779" spans="6:7" x14ac:dyDescent="0.25">
      <c r="F4779">
        <v>4776</v>
      </c>
      <c r="G4779">
        <f ca="1">_xlfn.NORM.INV(RAND(),$M$7,$M$8)</f>
        <v>3.8281844330493579E-2</v>
      </c>
    </row>
    <row r="4780" spans="6:7" x14ac:dyDescent="0.25">
      <c r="F4780">
        <v>4777</v>
      </c>
      <c r="G4780">
        <f ca="1">_xlfn.NORM.INV(RAND(),$M$7,$M$8)</f>
        <v>-4.653469637631618E-3</v>
      </c>
    </row>
    <row r="4781" spans="6:7" x14ac:dyDescent="0.25">
      <c r="F4781">
        <v>4778</v>
      </c>
      <c r="G4781">
        <f ca="1">_xlfn.NORM.INV(RAND(),$M$7,$M$8)</f>
        <v>1.8734343885462384E-2</v>
      </c>
    </row>
    <row r="4782" spans="6:7" x14ac:dyDescent="0.25">
      <c r="F4782">
        <v>4779</v>
      </c>
      <c r="G4782">
        <f ca="1">_xlfn.NORM.INV(RAND(),$M$7,$M$8)</f>
        <v>-9.1918801150954795E-3</v>
      </c>
    </row>
    <row r="4783" spans="6:7" x14ac:dyDescent="0.25">
      <c r="F4783">
        <v>4780</v>
      </c>
      <c r="G4783">
        <f ca="1">_xlfn.NORM.INV(RAND(),$M$7,$M$8)</f>
        <v>-2.3380283396547515E-2</v>
      </c>
    </row>
    <row r="4784" spans="6:7" x14ac:dyDescent="0.25">
      <c r="F4784">
        <v>4781</v>
      </c>
      <c r="G4784">
        <f ca="1">_xlfn.NORM.INV(RAND(),$M$7,$M$8)</f>
        <v>-2.7776382343916114E-3</v>
      </c>
    </row>
    <row r="4785" spans="6:7" x14ac:dyDescent="0.25">
      <c r="F4785">
        <v>4782</v>
      </c>
      <c r="G4785">
        <f ca="1">_xlfn.NORM.INV(RAND(),$M$7,$M$8)</f>
        <v>8.2276105413503619E-3</v>
      </c>
    </row>
    <row r="4786" spans="6:7" x14ac:dyDescent="0.25">
      <c r="F4786">
        <v>4783</v>
      </c>
      <c r="G4786">
        <f ca="1">_xlfn.NORM.INV(RAND(),$M$7,$M$8)</f>
        <v>1.2069071759926884E-2</v>
      </c>
    </row>
    <row r="4787" spans="6:7" x14ac:dyDescent="0.25">
      <c r="F4787">
        <v>4784</v>
      </c>
      <c r="G4787">
        <f ca="1">_xlfn.NORM.INV(RAND(),$M$7,$M$8)</f>
        <v>-3.7469968683994243E-2</v>
      </c>
    </row>
    <row r="4788" spans="6:7" x14ac:dyDescent="0.25">
      <c r="F4788">
        <v>4785</v>
      </c>
      <c r="G4788">
        <f ca="1">_xlfn.NORM.INV(RAND(),$M$7,$M$8)</f>
        <v>-5.1618485548256075E-3</v>
      </c>
    </row>
    <row r="4789" spans="6:7" x14ac:dyDescent="0.25">
      <c r="F4789">
        <v>4786</v>
      </c>
      <c r="G4789">
        <f ca="1">_xlfn.NORM.INV(RAND(),$M$7,$M$8)</f>
        <v>-7.636606442224499E-3</v>
      </c>
    </row>
    <row r="4790" spans="6:7" x14ac:dyDescent="0.25">
      <c r="F4790">
        <v>4787</v>
      </c>
      <c r="G4790">
        <f ca="1">_xlfn.NORM.INV(RAND(),$M$7,$M$8)</f>
        <v>4.9567359322269397E-2</v>
      </c>
    </row>
    <row r="4791" spans="6:7" x14ac:dyDescent="0.25">
      <c r="F4791">
        <v>4788</v>
      </c>
      <c r="G4791">
        <f ca="1">_xlfn.NORM.INV(RAND(),$M$7,$M$8)</f>
        <v>-1.9301225644096909E-2</v>
      </c>
    </row>
    <row r="4792" spans="6:7" x14ac:dyDescent="0.25">
      <c r="F4792">
        <v>4789</v>
      </c>
      <c r="G4792">
        <f ca="1">_xlfn.NORM.INV(RAND(),$M$7,$M$8)</f>
        <v>1.1154111010532215E-2</v>
      </c>
    </row>
    <row r="4793" spans="6:7" x14ac:dyDescent="0.25">
      <c r="F4793">
        <v>4790</v>
      </c>
      <c r="G4793">
        <f ca="1">_xlfn.NORM.INV(RAND(),$M$7,$M$8)</f>
        <v>4.7540042260267599E-3</v>
      </c>
    </row>
    <row r="4794" spans="6:7" x14ac:dyDescent="0.25">
      <c r="F4794">
        <v>4791</v>
      </c>
      <c r="G4794">
        <f ca="1">_xlfn.NORM.INV(RAND(),$M$7,$M$8)</f>
        <v>-5.980098671515971E-3</v>
      </c>
    </row>
    <row r="4795" spans="6:7" x14ac:dyDescent="0.25">
      <c r="F4795">
        <v>4792</v>
      </c>
      <c r="G4795">
        <f ca="1">_xlfn.NORM.INV(RAND(),$M$7,$M$8)</f>
        <v>-4.2652594225425437E-2</v>
      </c>
    </row>
    <row r="4796" spans="6:7" x14ac:dyDescent="0.25">
      <c r="F4796">
        <v>4793</v>
      </c>
      <c r="G4796">
        <f ca="1">_xlfn.NORM.INV(RAND(),$M$7,$M$8)</f>
        <v>2.1726879995607639E-2</v>
      </c>
    </row>
    <row r="4797" spans="6:7" x14ac:dyDescent="0.25">
      <c r="F4797">
        <v>4794</v>
      </c>
      <c r="G4797">
        <f ca="1">_xlfn.NORM.INV(RAND(),$M$7,$M$8)</f>
        <v>1.1424297726091668E-2</v>
      </c>
    </row>
    <row r="4798" spans="6:7" x14ac:dyDescent="0.25">
      <c r="F4798">
        <v>4795</v>
      </c>
      <c r="G4798">
        <f ca="1">_xlfn.NORM.INV(RAND(),$M$7,$M$8)</f>
        <v>7.1514548170288211E-3</v>
      </c>
    </row>
    <row r="4799" spans="6:7" x14ac:dyDescent="0.25">
      <c r="F4799">
        <v>4796</v>
      </c>
      <c r="G4799">
        <f ca="1">_xlfn.NORM.INV(RAND(),$M$7,$M$8)</f>
        <v>-1.8470335500297929E-2</v>
      </c>
    </row>
    <row r="4800" spans="6:7" x14ac:dyDescent="0.25">
      <c r="F4800">
        <v>4797</v>
      </c>
      <c r="G4800">
        <f ca="1">_xlfn.NORM.INV(RAND(),$M$7,$M$8)</f>
        <v>-1.9656215501362567E-2</v>
      </c>
    </row>
    <row r="4801" spans="6:7" x14ac:dyDescent="0.25">
      <c r="F4801">
        <v>4798</v>
      </c>
      <c r="G4801">
        <f ca="1">_xlfn.NORM.INV(RAND(),$M$7,$M$8)</f>
        <v>-4.876178106181725E-3</v>
      </c>
    </row>
    <row r="4802" spans="6:7" x14ac:dyDescent="0.25">
      <c r="F4802">
        <v>4799</v>
      </c>
      <c r="G4802">
        <f ca="1">_xlfn.NORM.INV(RAND(),$M$7,$M$8)</f>
        <v>-5.0044982017504076E-2</v>
      </c>
    </row>
    <row r="4803" spans="6:7" x14ac:dyDescent="0.25">
      <c r="F4803">
        <v>4800</v>
      </c>
      <c r="G4803">
        <f ca="1">_xlfn.NORM.INV(RAND(),$M$7,$M$8)</f>
        <v>1.5490613723448069E-2</v>
      </c>
    </row>
    <row r="4804" spans="6:7" x14ac:dyDescent="0.25">
      <c r="F4804">
        <v>4801</v>
      </c>
      <c r="G4804">
        <f ca="1">_xlfn.NORM.INV(RAND(),$M$7,$M$8)</f>
        <v>8.7780215254725201E-3</v>
      </c>
    </row>
    <row r="4805" spans="6:7" x14ac:dyDescent="0.25">
      <c r="F4805">
        <v>4802</v>
      </c>
      <c r="G4805">
        <f ca="1">_xlfn.NORM.INV(RAND(),$M$7,$M$8)</f>
        <v>-2.8269141314976886E-2</v>
      </c>
    </row>
    <row r="4806" spans="6:7" x14ac:dyDescent="0.25">
      <c r="F4806">
        <v>4803</v>
      </c>
      <c r="G4806">
        <f ca="1">_xlfn.NORM.INV(RAND(),$M$7,$M$8)</f>
        <v>3.324509853157962E-3</v>
      </c>
    </row>
    <row r="4807" spans="6:7" x14ac:dyDescent="0.25">
      <c r="F4807">
        <v>4804</v>
      </c>
      <c r="G4807">
        <f ca="1">_xlfn.NORM.INV(RAND(),$M$7,$M$8)</f>
        <v>4.0028979454224442E-2</v>
      </c>
    </row>
    <row r="4808" spans="6:7" x14ac:dyDescent="0.25">
      <c r="F4808">
        <v>4805</v>
      </c>
      <c r="G4808">
        <f ca="1">_xlfn.NORM.INV(RAND(),$M$7,$M$8)</f>
        <v>-4.7206374878469449E-3</v>
      </c>
    </row>
    <row r="4809" spans="6:7" x14ac:dyDescent="0.25">
      <c r="F4809">
        <v>4806</v>
      </c>
      <c r="G4809">
        <f ca="1">_xlfn.NORM.INV(RAND(),$M$7,$M$8)</f>
        <v>-2.5571461480864238E-2</v>
      </c>
    </row>
    <row r="4810" spans="6:7" x14ac:dyDescent="0.25">
      <c r="F4810">
        <v>4807</v>
      </c>
      <c r="G4810">
        <f ca="1">_xlfn.NORM.INV(RAND(),$M$7,$M$8)</f>
        <v>5.2130718406275516E-3</v>
      </c>
    </row>
    <row r="4811" spans="6:7" x14ac:dyDescent="0.25">
      <c r="F4811">
        <v>4808</v>
      </c>
      <c r="G4811">
        <f ca="1">_xlfn.NORM.INV(RAND(),$M$7,$M$8)</f>
        <v>-3.8138201833363465E-2</v>
      </c>
    </row>
    <row r="4812" spans="6:7" x14ac:dyDescent="0.25">
      <c r="F4812">
        <v>4809</v>
      </c>
      <c r="G4812">
        <f ca="1">_xlfn.NORM.INV(RAND(),$M$7,$M$8)</f>
        <v>3.1719429067718449E-2</v>
      </c>
    </row>
    <row r="4813" spans="6:7" x14ac:dyDescent="0.25">
      <c r="F4813">
        <v>4810</v>
      </c>
      <c r="G4813">
        <f ca="1">_xlfn.NORM.INV(RAND(),$M$7,$M$8)</f>
        <v>-1.4873296352943096E-2</v>
      </c>
    </row>
    <row r="4814" spans="6:7" x14ac:dyDescent="0.25">
      <c r="F4814">
        <v>4811</v>
      </c>
      <c r="G4814">
        <f ca="1">_xlfn.NORM.INV(RAND(),$M$7,$M$8)</f>
        <v>-1.5527690249838483E-2</v>
      </c>
    </row>
    <row r="4815" spans="6:7" x14ac:dyDescent="0.25">
      <c r="F4815">
        <v>4812</v>
      </c>
      <c r="G4815">
        <f ca="1">_xlfn.NORM.INV(RAND(),$M$7,$M$8)</f>
        <v>-2.9286883836711498E-2</v>
      </c>
    </row>
    <row r="4816" spans="6:7" x14ac:dyDescent="0.25">
      <c r="F4816">
        <v>4813</v>
      </c>
      <c r="G4816">
        <f ca="1">_xlfn.NORM.INV(RAND(),$M$7,$M$8)</f>
        <v>-2.1889811207670435E-2</v>
      </c>
    </row>
    <row r="4817" spans="6:7" x14ac:dyDescent="0.25">
      <c r="F4817">
        <v>4814</v>
      </c>
      <c r="G4817">
        <f ca="1">_xlfn.NORM.INV(RAND(),$M$7,$M$8)</f>
        <v>1.5843783031842355E-3</v>
      </c>
    </row>
    <row r="4818" spans="6:7" x14ac:dyDescent="0.25">
      <c r="F4818">
        <v>4815</v>
      </c>
      <c r="G4818">
        <f ca="1">_xlfn.NORM.INV(RAND(),$M$7,$M$8)</f>
        <v>-1.8674384193115862E-3</v>
      </c>
    </row>
    <row r="4819" spans="6:7" x14ac:dyDescent="0.25">
      <c r="F4819">
        <v>4816</v>
      </c>
      <c r="G4819">
        <f ca="1">_xlfn.NORM.INV(RAND(),$M$7,$M$8)</f>
        <v>1.889632937146905E-2</v>
      </c>
    </row>
    <row r="4820" spans="6:7" x14ac:dyDescent="0.25">
      <c r="F4820">
        <v>4817</v>
      </c>
      <c r="G4820">
        <f ca="1">_xlfn.NORM.INV(RAND(),$M$7,$M$8)</f>
        <v>4.963660998345287E-4</v>
      </c>
    </row>
    <row r="4821" spans="6:7" x14ac:dyDescent="0.25">
      <c r="F4821">
        <v>4818</v>
      </c>
      <c r="G4821">
        <f ca="1">_xlfn.NORM.INV(RAND(),$M$7,$M$8)</f>
        <v>6.1896645500866734E-3</v>
      </c>
    </row>
    <row r="4822" spans="6:7" x14ac:dyDescent="0.25">
      <c r="F4822">
        <v>4819</v>
      </c>
      <c r="G4822">
        <f ca="1">_xlfn.NORM.INV(RAND(),$M$7,$M$8)</f>
        <v>3.5035085466172275E-2</v>
      </c>
    </row>
    <row r="4823" spans="6:7" x14ac:dyDescent="0.25">
      <c r="F4823">
        <v>4820</v>
      </c>
      <c r="G4823">
        <f ca="1">_xlfn.NORM.INV(RAND(),$M$7,$M$8)</f>
        <v>1.1626070944316572E-2</v>
      </c>
    </row>
    <row r="4824" spans="6:7" x14ac:dyDescent="0.25">
      <c r="F4824">
        <v>4821</v>
      </c>
      <c r="G4824">
        <f ca="1">_xlfn.NORM.INV(RAND(),$M$7,$M$8)</f>
        <v>1.06936122523615E-2</v>
      </c>
    </row>
    <row r="4825" spans="6:7" x14ac:dyDescent="0.25">
      <c r="F4825">
        <v>4822</v>
      </c>
      <c r="G4825">
        <f ca="1">_xlfn.NORM.INV(RAND(),$M$7,$M$8)</f>
        <v>2.3281997865802127E-2</v>
      </c>
    </row>
    <row r="4826" spans="6:7" x14ac:dyDescent="0.25">
      <c r="F4826">
        <v>4823</v>
      </c>
      <c r="G4826">
        <f ca="1">_xlfn.NORM.INV(RAND(),$M$7,$M$8)</f>
        <v>1.4877995056045803E-2</v>
      </c>
    </row>
    <row r="4827" spans="6:7" x14ac:dyDescent="0.25">
      <c r="F4827">
        <v>4824</v>
      </c>
      <c r="G4827">
        <f ca="1">_xlfn.NORM.INV(RAND(),$M$7,$M$8)</f>
        <v>4.8625714570478464E-2</v>
      </c>
    </row>
    <row r="4828" spans="6:7" x14ac:dyDescent="0.25">
      <c r="F4828">
        <v>4825</v>
      </c>
      <c r="G4828">
        <f ca="1">_xlfn.NORM.INV(RAND(),$M$7,$M$8)</f>
        <v>-2.2041479304137999E-3</v>
      </c>
    </row>
    <row r="4829" spans="6:7" x14ac:dyDescent="0.25">
      <c r="F4829">
        <v>4826</v>
      </c>
      <c r="G4829">
        <f ca="1">_xlfn.NORM.INV(RAND(),$M$7,$M$8)</f>
        <v>-2.7228750324359126E-2</v>
      </c>
    </row>
    <row r="4830" spans="6:7" x14ac:dyDescent="0.25">
      <c r="F4830">
        <v>4827</v>
      </c>
      <c r="G4830">
        <f ca="1">_xlfn.NORM.INV(RAND(),$M$7,$M$8)</f>
        <v>5.6473056175380953E-4</v>
      </c>
    </row>
    <row r="4831" spans="6:7" x14ac:dyDescent="0.25">
      <c r="F4831">
        <v>4828</v>
      </c>
      <c r="G4831">
        <f ca="1">_xlfn.NORM.INV(RAND(),$M$7,$M$8)</f>
        <v>-3.980360884799708E-3</v>
      </c>
    </row>
    <row r="4832" spans="6:7" x14ac:dyDescent="0.25">
      <c r="F4832">
        <v>4829</v>
      </c>
      <c r="G4832">
        <f ca="1">_xlfn.NORM.INV(RAND(),$M$7,$M$8)</f>
        <v>-6.3316488401220349E-3</v>
      </c>
    </row>
    <row r="4833" spans="6:7" x14ac:dyDescent="0.25">
      <c r="F4833">
        <v>4830</v>
      </c>
      <c r="G4833">
        <f ca="1">_xlfn.NORM.INV(RAND(),$M$7,$M$8)</f>
        <v>5.2545702982003901E-2</v>
      </c>
    </row>
    <row r="4834" spans="6:7" x14ac:dyDescent="0.25">
      <c r="F4834">
        <v>4831</v>
      </c>
      <c r="G4834">
        <f ca="1">_xlfn.NORM.INV(RAND(),$M$7,$M$8)</f>
        <v>2.5493138190065137E-3</v>
      </c>
    </row>
    <row r="4835" spans="6:7" x14ac:dyDescent="0.25">
      <c r="F4835">
        <v>4832</v>
      </c>
      <c r="G4835">
        <f ca="1">_xlfn.NORM.INV(RAND(),$M$7,$M$8)</f>
        <v>-1.2687966493275147E-2</v>
      </c>
    </row>
    <row r="4836" spans="6:7" x14ac:dyDescent="0.25">
      <c r="F4836">
        <v>4833</v>
      </c>
      <c r="G4836">
        <f ca="1">_xlfn.NORM.INV(RAND(),$M$7,$M$8)</f>
        <v>2.3547390938402066E-2</v>
      </c>
    </row>
    <row r="4837" spans="6:7" x14ac:dyDescent="0.25">
      <c r="F4837">
        <v>4834</v>
      </c>
      <c r="G4837">
        <f ca="1">_xlfn.NORM.INV(RAND(),$M$7,$M$8)</f>
        <v>-1.1285331821851471E-2</v>
      </c>
    </row>
    <row r="4838" spans="6:7" x14ac:dyDescent="0.25">
      <c r="F4838">
        <v>4835</v>
      </c>
      <c r="G4838">
        <f ca="1">_xlfn.NORM.INV(RAND(),$M$7,$M$8)</f>
        <v>-3.2300946018287029E-2</v>
      </c>
    </row>
    <row r="4839" spans="6:7" x14ac:dyDescent="0.25">
      <c r="F4839">
        <v>4836</v>
      </c>
      <c r="G4839">
        <f ca="1">_xlfn.NORM.INV(RAND(),$M$7,$M$8)</f>
        <v>8.8085176583665818E-3</v>
      </c>
    </row>
    <row r="4840" spans="6:7" x14ac:dyDescent="0.25">
      <c r="F4840">
        <v>4837</v>
      </c>
      <c r="G4840">
        <f ca="1">_xlfn.NORM.INV(RAND(),$M$7,$M$8)</f>
        <v>3.4853240028168309E-2</v>
      </c>
    </row>
    <row r="4841" spans="6:7" x14ac:dyDescent="0.25">
      <c r="F4841">
        <v>4838</v>
      </c>
      <c r="G4841">
        <f ca="1">_xlfn.NORM.INV(RAND(),$M$7,$M$8)</f>
        <v>-1.7468527995886805E-2</v>
      </c>
    </row>
    <row r="4842" spans="6:7" x14ac:dyDescent="0.25">
      <c r="F4842">
        <v>4839</v>
      </c>
      <c r="G4842">
        <f ca="1">_xlfn.NORM.INV(RAND(),$M$7,$M$8)</f>
        <v>-4.2484364618260023E-2</v>
      </c>
    </row>
    <row r="4843" spans="6:7" x14ac:dyDescent="0.25">
      <c r="F4843">
        <v>4840</v>
      </c>
      <c r="G4843">
        <f ca="1">_xlfn.NORM.INV(RAND(),$M$7,$M$8)</f>
        <v>-2.6381107830542646E-2</v>
      </c>
    </row>
    <row r="4844" spans="6:7" x14ac:dyDescent="0.25">
      <c r="F4844">
        <v>4841</v>
      </c>
      <c r="G4844">
        <f ca="1">_xlfn.NORM.INV(RAND(),$M$7,$M$8)</f>
        <v>-7.1712076169337391E-3</v>
      </c>
    </row>
    <row r="4845" spans="6:7" x14ac:dyDescent="0.25">
      <c r="F4845">
        <v>4842</v>
      </c>
      <c r="G4845">
        <f ca="1">_xlfn.NORM.INV(RAND(),$M$7,$M$8)</f>
        <v>-7.6966854250727149E-3</v>
      </c>
    </row>
    <row r="4846" spans="6:7" x14ac:dyDescent="0.25">
      <c r="F4846">
        <v>4843</v>
      </c>
      <c r="G4846">
        <f ca="1">_xlfn.NORM.INV(RAND(),$M$7,$M$8)</f>
        <v>-1.2227505691817474E-2</v>
      </c>
    </row>
    <row r="4847" spans="6:7" x14ac:dyDescent="0.25">
      <c r="F4847">
        <v>4844</v>
      </c>
      <c r="G4847">
        <f ca="1">_xlfn.NORM.INV(RAND(),$M$7,$M$8)</f>
        <v>-1.5814040870246456E-2</v>
      </c>
    </row>
    <row r="4848" spans="6:7" x14ac:dyDescent="0.25">
      <c r="F4848">
        <v>4845</v>
      </c>
      <c r="G4848">
        <f ca="1">_xlfn.NORM.INV(RAND(),$M$7,$M$8)</f>
        <v>5.5444352911129865E-3</v>
      </c>
    </row>
    <row r="4849" spans="6:7" x14ac:dyDescent="0.25">
      <c r="F4849">
        <v>4846</v>
      </c>
      <c r="G4849">
        <f ca="1">_xlfn.NORM.INV(RAND(),$M$7,$M$8)</f>
        <v>-2.290183301279264E-3</v>
      </c>
    </row>
    <row r="4850" spans="6:7" x14ac:dyDescent="0.25">
      <c r="F4850">
        <v>4847</v>
      </c>
      <c r="G4850">
        <f ca="1">_xlfn.NORM.INV(RAND(),$M$7,$M$8)</f>
        <v>-4.3070187053677531E-2</v>
      </c>
    </row>
    <row r="4851" spans="6:7" x14ac:dyDescent="0.25">
      <c r="F4851">
        <v>4848</v>
      </c>
      <c r="G4851">
        <f ca="1">_xlfn.NORM.INV(RAND(),$M$7,$M$8)</f>
        <v>3.2162639938651196E-3</v>
      </c>
    </row>
    <row r="4852" spans="6:7" x14ac:dyDescent="0.25">
      <c r="F4852">
        <v>4849</v>
      </c>
      <c r="G4852">
        <f ca="1">_xlfn.NORM.INV(RAND(),$M$7,$M$8)</f>
        <v>-1.5602299427627593E-2</v>
      </c>
    </row>
    <row r="4853" spans="6:7" x14ac:dyDescent="0.25">
      <c r="F4853">
        <v>4850</v>
      </c>
      <c r="G4853">
        <f ca="1">_xlfn.NORM.INV(RAND(),$M$7,$M$8)</f>
        <v>2.1021934165637433E-2</v>
      </c>
    </row>
    <row r="4854" spans="6:7" x14ac:dyDescent="0.25">
      <c r="F4854">
        <v>4851</v>
      </c>
      <c r="G4854">
        <f ca="1">_xlfn.NORM.INV(RAND(),$M$7,$M$8)</f>
        <v>1.6337017019081492E-2</v>
      </c>
    </row>
    <row r="4855" spans="6:7" x14ac:dyDescent="0.25">
      <c r="F4855">
        <v>4852</v>
      </c>
      <c r="G4855">
        <f ca="1">_xlfn.NORM.INV(RAND(),$M$7,$M$8)</f>
        <v>-4.7580223003912975E-3</v>
      </c>
    </row>
    <row r="4856" spans="6:7" x14ac:dyDescent="0.25">
      <c r="F4856">
        <v>4853</v>
      </c>
      <c r="G4856">
        <f ca="1">_xlfn.NORM.INV(RAND(),$M$7,$M$8)</f>
        <v>-1.0959671183944149E-3</v>
      </c>
    </row>
    <row r="4857" spans="6:7" x14ac:dyDescent="0.25">
      <c r="F4857">
        <v>4854</v>
      </c>
      <c r="G4857">
        <f ca="1">_xlfn.NORM.INV(RAND(),$M$7,$M$8)</f>
        <v>-1.3670220797351832E-2</v>
      </c>
    </row>
    <row r="4858" spans="6:7" x14ac:dyDescent="0.25">
      <c r="F4858">
        <v>4855</v>
      </c>
      <c r="G4858">
        <f ca="1">_xlfn.NORM.INV(RAND(),$M$7,$M$8)</f>
        <v>5.2958177914391481E-3</v>
      </c>
    </row>
    <row r="4859" spans="6:7" x14ac:dyDescent="0.25">
      <c r="F4859">
        <v>4856</v>
      </c>
      <c r="G4859">
        <f ca="1">_xlfn.NORM.INV(RAND(),$M$7,$M$8)</f>
        <v>-2.0654493005825797E-4</v>
      </c>
    </row>
    <row r="4860" spans="6:7" x14ac:dyDescent="0.25">
      <c r="F4860">
        <v>4857</v>
      </c>
      <c r="G4860">
        <f ca="1">_xlfn.NORM.INV(RAND(),$M$7,$M$8)</f>
        <v>-1.9506176629712841E-2</v>
      </c>
    </row>
    <row r="4861" spans="6:7" x14ac:dyDescent="0.25">
      <c r="F4861">
        <v>4858</v>
      </c>
      <c r="G4861">
        <f ca="1">_xlfn.NORM.INV(RAND(),$M$7,$M$8)</f>
        <v>1.6056843581995633E-2</v>
      </c>
    </row>
    <row r="4862" spans="6:7" x14ac:dyDescent="0.25">
      <c r="F4862">
        <v>4859</v>
      </c>
      <c r="G4862">
        <f ca="1">_xlfn.NORM.INV(RAND(),$M$7,$M$8)</f>
        <v>4.2986063177107153E-3</v>
      </c>
    </row>
    <row r="4863" spans="6:7" x14ac:dyDescent="0.25">
      <c r="F4863">
        <v>4860</v>
      </c>
      <c r="G4863">
        <f ca="1">_xlfn.NORM.INV(RAND(),$M$7,$M$8)</f>
        <v>2.5850767891921131E-2</v>
      </c>
    </row>
    <row r="4864" spans="6:7" x14ac:dyDescent="0.25">
      <c r="F4864">
        <v>4861</v>
      </c>
      <c r="G4864">
        <f ca="1">_xlfn.NORM.INV(RAND(),$M$7,$M$8)</f>
        <v>1.0145446702603356E-2</v>
      </c>
    </row>
    <row r="4865" spans="6:7" x14ac:dyDescent="0.25">
      <c r="F4865">
        <v>4862</v>
      </c>
      <c r="G4865">
        <f ca="1">_xlfn.NORM.INV(RAND(),$M$7,$M$8)</f>
        <v>1.5020504510668478E-2</v>
      </c>
    </row>
    <row r="4866" spans="6:7" x14ac:dyDescent="0.25">
      <c r="F4866">
        <v>4863</v>
      </c>
      <c r="G4866">
        <f ca="1">_xlfn.NORM.INV(RAND(),$M$7,$M$8)</f>
        <v>-4.6136782992937823E-2</v>
      </c>
    </row>
    <row r="4867" spans="6:7" x14ac:dyDescent="0.25">
      <c r="F4867">
        <v>4864</v>
      </c>
      <c r="G4867">
        <f ca="1">_xlfn.NORM.INV(RAND(),$M$7,$M$8)</f>
        <v>2.4479815457508353E-2</v>
      </c>
    </row>
    <row r="4868" spans="6:7" x14ac:dyDescent="0.25">
      <c r="F4868">
        <v>4865</v>
      </c>
      <c r="G4868">
        <f ca="1">_xlfn.NORM.INV(RAND(),$M$7,$M$8)</f>
        <v>2.4796075756600026E-2</v>
      </c>
    </row>
    <row r="4869" spans="6:7" x14ac:dyDescent="0.25">
      <c r="F4869">
        <v>4866</v>
      </c>
      <c r="G4869">
        <f ca="1">_xlfn.NORM.INV(RAND(),$M$7,$M$8)</f>
        <v>-1.5411397982748411E-2</v>
      </c>
    </row>
    <row r="4870" spans="6:7" x14ac:dyDescent="0.25">
      <c r="F4870">
        <v>4867</v>
      </c>
      <c r="G4870">
        <f ca="1">_xlfn.NORM.INV(RAND(),$M$7,$M$8)</f>
        <v>-2.4518830515251257E-2</v>
      </c>
    </row>
    <row r="4871" spans="6:7" x14ac:dyDescent="0.25">
      <c r="F4871">
        <v>4868</v>
      </c>
      <c r="G4871">
        <f ca="1">_xlfn.NORM.INV(RAND(),$M$7,$M$8)</f>
        <v>1.892299539610541E-2</v>
      </c>
    </row>
    <row r="4872" spans="6:7" x14ac:dyDescent="0.25">
      <c r="F4872">
        <v>4869</v>
      </c>
      <c r="G4872">
        <f ca="1">_xlfn.NORM.INV(RAND(),$M$7,$M$8)</f>
        <v>-1.2356593090551258E-2</v>
      </c>
    </row>
    <row r="4873" spans="6:7" x14ac:dyDescent="0.25">
      <c r="F4873">
        <v>4870</v>
      </c>
      <c r="G4873">
        <f ca="1">_xlfn.NORM.INV(RAND(),$M$7,$M$8)</f>
        <v>-9.6806314130746477E-3</v>
      </c>
    </row>
    <row r="4874" spans="6:7" x14ac:dyDescent="0.25">
      <c r="F4874">
        <v>4871</v>
      </c>
      <c r="G4874">
        <f ca="1">_xlfn.NORM.INV(RAND(),$M$7,$M$8)</f>
        <v>-1.8355299581117132E-2</v>
      </c>
    </row>
    <row r="4875" spans="6:7" x14ac:dyDescent="0.25">
      <c r="F4875">
        <v>4872</v>
      </c>
      <c r="G4875">
        <f ca="1">_xlfn.NORM.INV(RAND(),$M$7,$M$8)</f>
        <v>-1.7441931390554791E-2</v>
      </c>
    </row>
    <row r="4876" spans="6:7" x14ac:dyDescent="0.25">
      <c r="F4876">
        <v>4873</v>
      </c>
      <c r="G4876">
        <f ca="1">_xlfn.NORM.INV(RAND(),$M$7,$M$8)</f>
        <v>9.4121265019647266E-3</v>
      </c>
    </row>
    <row r="4877" spans="6:7" x14ac:dyDescent="0.25">
      <c r="F4877">
        <v>4874</v>
      </c>
      <c r="G4877">
        <f ca="1">_xlfn.NORM.INV(RAND(),$M$7,$M$8)</f>
        <v>-9.9391407251142312E-4</v>
      </c>
    </row>
    <row r="4878" spans="6:7" x14ac:dyDescent="0.25">
      <c r="F4878">
        <v>4875</v>
      </c>
      <c r="G4878">
        <f ca="1">_xlfn.NORM.INV(RAND(),$M$7,$M$8)</f>
        <v>9.4104823924124627E-4</v>
      </c>
    </row>
    <row r="4879" spans="6:7" x14ac:dyDescent="0.25">
      <c r="F4879">
        <v>4876</v>
      </c>
      <c r="G4879">
        <f ca="1">_xlfn.NORM.INV(RAND(),$M$7,$M$8)</f>
        <v>5.2121932319165835E-3</v>
      </c>
    </row>
    <row r="4880" spans="6:7" x14ac:dyDescent="0.25">
      <c r="F4880">
        <v>4877</v>
      </c>
      <c r="G4880">
        <f ca="1">_xlfn.NORM.INV(RAND(),$M$7,$M$8)</f>
        <v>3.7571535039034411E-2</v>
      </c>
    </row>
    <row r="4881" spans="6:7" x14ac:dyDescent="0.25">
      <c r="F4881">
        <v>4878</v>
      </c>
      <c r="G4881">
        <f ca="1">_xlfn.NORM.INV(RAND(),$M$7,$M$8)</f>
        <v>-2.2364689526586018E-2</v>
      </c>
    </row>
    <row r="4882" spans="6:7" x14ac:dyDescent="0.25">
      <c r="F4882">
        <v>4879</v>
      </c>
      <c r="G4882">
        <f ca="1">_xlfn.NORM.INV(RAND(),$M$7,$M$8)</f>
        <v>-2.8187003775605925E-3</v>
      </c>
    </row>
    <row r="4883" spans="6:7" x14ac:dyDescent="0.25">
      <c r="F4883">
        <v>4880</v>
      </c>
      <c r="G4883">
        <f ca="1">_xlfn.NORM.INV(RAND(),$M$7,$M$8)</f>
        <v>1.650386785343428E-2</v>
      </c>
    </row>
    <row r="4884" spans="6:7" x14ac:dyDescent="0.25">
      <c r="F4884">
        <v>4881</v>
      </c>
      <c r="G4884">
        <f ca="1">_xlfn.NORM.INV(RAND(),$M$7,$M$8)</f>
        <v>1.1927848924090066E-2</v>
      </c>
    </row>
    <row r="4885" spans="6:7" x14ac:dyDescent="0.25">
      <c r="F4885">
        <v>4882</v>
      </c>
      <c r="G4885">
        <f ca="1">_xlfn.NORM.INV(RAND(),$M$7,$M$8)</f>
        <v>5.0464669850725334E-2</v>
      </c>
    </row>
    <row r="4886" spans="6:7" x14ac:dyDescent="0.25">
      <c r="F4886">
        <v>4883</v>
      </c>
      <c r="G4886">
        <f ca="1">_xlfn.NORM.INV(RAND(),$M$7,$M$8)</f>
        <v>1.0082539870009424E-2</v>
      </c>
    </row>
    <row r="4887" spans="6:7" x14ac:dyDescent="0.25">
      <c r="F4887">
        <v>4884</v>
      </c>
      <c r="G4887">
        <f ca="1">_xlfn.NORM.INV(RAND(),$M$7,$M$8)</f>
        <v>2.4349156883024099E-2</v>
      </c>
    </row>
    <row r="4888" spans="6:7" x14ac:dyDescent="0.25">
      <c r="F4888">
        <v>4885</v>
      </c>
      <c r="G4888">
        <f ca="1">_xlfn.NORM.INV(RAND(),$M$7,$M$8)</f>
        <v>-6.2016431584265223E-2</v>
      </c>
    </row>
    <row r="4889" spans="6:7" x14ac:dyDescent="0.25">
      <c r="F4889">
        <v>4886</v>
      </c>
      <c r="G4889">
        <f ca="1">_xlfn.NORM.INV(RAND(),$M$7,$M$8)</f>
        <v>-1.5446895093875836E-2</v>
      </c>
    </row>
    <row r="4890" spans="6:7" x14ac:dyDescent="0.25">
      <c r="F4890">
        <v>4887</v>
      </c>
      <c r="G4890">
        <f ca="1">_xlfn.NORM.INV(RAND(),$M$7,$M$8)</f>
        <v>-8.4499357785785302E-3</v>
      </c>
    </row>
    <row r="4891" spans="6:7" x14ac:dyDescent="0.25">
      <c r="F4891">
        <v>4888</v>
      </c>
      <c r="G4891">
        <f ca="1">_xlfn.NORM.INV(RAND(),$M$7,$M$8)</f>
        <v>-3.5848338104257277E-2</v>
      </c>
    </row>
    <row r="4892" spans="6:7" x14ac:dyDescent="0.25">
      <c r="F4892">
        <v>4889</v>
      </c>
      <c r="G4892">
        <f ca="1">_xlfn.NORM.INV(RAND(),$M$7,$M$8)</f>
        <v>-2.3602793171296266E-2</v>
      </c>
    </row>
    <row r="4893" spans="6:7" x14ac:dyDescent="0.25">
      <c r="F4893">
        <v>4890</v>
      </c>
      <c r="G4893">
        <f ca="1">_xlfn.NORM.INV(RAND(),$M$7,$M$8)</f>
        <v>-4.5938471060541428E-2</v>
      </c>
    </row>
    <row r="4894" spans="6:7" x14ac:dyDescent="0.25">
      <c r="F4894">
        <v>4891</v>
      </c>
      <c r="G4894">
        <f ca="1">_xlfn.NORM.INV(RAND(),$M$7,$M$8)</f>
        <v>-3.3080266475765618E-3</v>
      </c>
    </row>
    <row r="4895" spans="6:7" x14ac:dyDescent="0.25">
      <c r="F4895">
        <v>4892</v>
      </c>
      <c r="G4895">
        <f ca="1">_xlfn.NORM.INV(RAND(),$M$7,$M$8)</f>
        <v>-1.1835176157856585E-2</v>
      </c>
    </row>
    <row r="4896" spans="6:7" x14ac:dyDescent="0.25">
      <c r="F4896">
        <v>4893</v>
      </c>
      <c r="G4896">
        <f ca="1">_xlfn.NORM.INV(RAND(),$M$7,$M$8)</f>
        <v>-3.1144300942554746E-2</v>
      </c>
    </row>
    <row r="4897" spans="6:7" x14ac:dyDescent="0.25">
      <c r="F4897">
        <v>4894</v>
      </c>
      <c r="G4897">
        <f ca="1">_xlfn.NORM.INV(RAND(),$M$7,$M$8)</f>
        <v>8.5958309495330308E-3</v>
      </c>
    </row>
    <row r="4898" spans="6:7" x14ac:dyDescent="0.25">
      <c r="F4898">
        <v>4895</v>
      </c>
      <c r="G4898">
        <f ca="1">_xlfn.NORM.INV(RAND(),$M$7,$M$8)</f>
        <v>8.9532002330932458E-3</v>
      </c>
    </row>
    <row r="4899" spans="6:7" x14ac:dyDescent="0.25">
      <c r="F4899">
        <v>4896</v>
      </c>
      <c r="G4899">
        <f ca="1">_xlfn.NORM.INV(RAND(),$M$7,$M$8)</f>
        <v>6.1667660207754031E-4</v>
      </c>
    </row>
    <row r="4900" spans="6:7" x14ac:dyDescent="0.25">
      <c r="F4900">
        <v>4897</v>
      </c>
      <c r="G4900">
        <f ca="1">_xlfn.NORM.INV(RAND(),$M$7,$M$8)</f>
        <v>3.333024598583692E-2</v>
      </c>
    </row>
    <row r="4901" spans="6:7" x14ac:dyDescent="0.25">
      <c r="F4901">
        <v>4898</v>
      </c>
      <c r="G4901">
        <f ca="1">_xlfn.NORM.INV(RAND(),$M$7,$M$8)</f>
        <v>2.020114993107322E-2</v>
      </c>
    </row>
    <row r="4902" spans="6:7" x14ac:dyDescent="0.25">
      <c r="F4902">
        <v>4899</v>
      </c>
      <c r="G4902">
        <f ca="1">_xlfn.NORM.INV(RAND(),$M$7,$M$8)</f>
        <v>3.6213923099860608E-2</v>
      </c>
    </row>
    <row r="4903" spans="6:7" x14ac:dyDescent="0.25">
      <c r="F4903">
        <v>4900</v>
      </c>
      <c r="G4903">
        <f ca="1">_xlfn.NORM.INV(RAND(),$M$7,$M$8)</f>
        <v>1.126924954595759E-2</v>
      </c>
    </row>
    <row r="4904" spans="6:7" x14ac:dyDescent="0.25">
      <c r="F4904">
        <v>4901</v>
      </c>
      <c r="G4904">
        <f ca="1">_xlfn.NORM.INV(RAND(),$M$7,$M$8)</f>
        <v>1.8652455142947284E-2</v>
      </c>
    </row>
    <row r="4905" spans="6:7" x14ac:dyDescent="0.25">
      <c r="F4905">
        <v>4902</v>
      </c>
      <c r="G4905">
        <f ca="1">_xlfn.NORM.INV(RAND(),$M$7,$M$8)</f>
        <v>-2.0383148554785763E-3</v>
      </c>
    </row>
    <row r="4906" spans="6:7" x14ac:dyDescent="0.25">
      <c r="F4906">
        <v>4903</v>
      </c>
      <c r="G4906">
        <f ca="1">_xlfn.NORM.INV(RAND(),$M$7,$M$8)</f>
        <v>-3.8718155984716777E-2</v>
      </c>
    </row>
    <row r="4907" spans="6:7" x14ac:dyDescent="0.25">
      <c r="F4907">
        <v>4904</v>
      </c>
      <c r="G4907">
        <f ca="1">_xlfn.NORM.INV(RAND(),$M$7,$M$8)</f>
        <v>-5.4841206118935025E-2</v>
      </c>
    </row>
    <row r="4908" spans="6:7" x14ac:dyDescent="0.25">
      <c r="F4908">
        <v>4905</v>
      </c>
      <c r="G4908">
        <f ca="1">_xlfn.NORM.INV(RAND(),$M$7,$M$8)</f>
        <v>3.2399135130385948E-2</v>
      </c>
    </row>
    <row r="4909" spans="6:7" x14ac:dyDescent="0.25">
      <c r="F4909">
        <v>4906</v>
      </c>
      <c r="G4909">
        <f ca="1">_xlfn.NORM.INV(RAND(),$M$7,$M$8)</f>
        <v>-1.998493979715145E-3</v>
      </c>
    </row>
    <row r="4910" spans="6:7" x14ac:dyDescent="0.25">
      <c r="F4910">
        <v>4907</v>
      </c>
      <c r="G4910">
        <f ca="1">_xlfn.NORM.INV(RAND(),$M$7,$M$8)</f>
        <v>-4.3922382805486292E-2</v>
      </c>
    </row>
    <row r="4911" spans="6:7" x14ac:dyDescent="0.25">
      <c r="F4911">
        <v>4908</v>
      </c>
      <c r="G4911">
        <f ca="1">_xlfn.NORM.INV(RAND(),$M$7,$M$8)</f>
        <v>2.9497936871629441E-2</v>
      </c>
    </row>
    <row r="4912" spans="6:7" x14ac:dyDescent="0.25">
      <c r="F4912">
        <v>4909</v>
      </c>
      <c r="G4912">
        <f ca="1">_xlfn.NORM.INV(RAND(),$M$7,$M$8)</f>
        <v>8.4310593118219687E-3</v>
      </c>
    </row>
    <row r="4913" spans="6:7" x14ac:dyDescent="0.25">
      <c r="F4913">
        <v>4910</v>
      </c>
      <c r="G4913">
        <f ca="1">_xlfn.NORM.INV(RAND(),$M$7,$M$8)</f>
        <v>-3.2651029551262652E-2</v>
      </c>
    </row>
    <row r="4914" spans="6:7" x14ac:dyDescent="0.25">
      <c r="F4914">
        <v>4911</v>
      </c>
      <c r="G4914">
        <f ca="1">_xlfn.NORM.INV(RAND(),$M$7,$M$8)</f>
        <v>-2.3056334730293834E-2</v>
      </c>
    </row>
    <row r="4915" spans="6:7" x14ac:dyDescent="0.25">
      <c r="F4915">
        <v>4912</v>
      </c>
      <c r="G4915">
        <f ca="1">_xlfn.NORM.INV(RAND(),$M$7,$M$8)</f>
        <v>2.6998502514674005E-2</v>
      </c>
    </row>
    <row r="4916" spans="6:7" x14ac:dyDescent="0.25">
      <c r="F4916">
        <v>4913</v>
      </c>
      <c r="G4916">
        <f ca="1">_xlfn.NORM.INV(RAND(),$M$7,$M$8)</f>
        <v>5.1294035575913041E-3</v>
      </c>
    </row>
    <row r="4917" spans="6:7" x14ac:dyDescent="0.25">
      <c r="F4917">
        <v>4914</v>
      </c>
      <c r="G4917">
        <f ca="1">_xlfn.NORM.INV(RAND(),$M$7,$M$8)</f>
        <v>-1.3941437971223299E-2</v>
      </c>
    </row>
    <row r="4918" spans="6:7" x14ac:dyDescent="0.25">
      <c r="F4918">
        <v>4915</v>
      </c>
      <c r="G4918">
        <f ca="1">_xlfn.NORM.INV(RAND(),$M$7,$M$8)</f>
        <v>2.8689547593796941E-2</v>
      </c>
    </row>
    <row r="4919" spans="6:7" x14ac:dyDescent="0.25">
      <c r="F4919">
        <v>4916</v>
      </c>
      <c r="G4919">
        <f ca="1">_xlfn.NORM.INV(RAND(),$M$7,$M$8)</f>
        <v>1.2756271677222921E-2</v>
      </c>
    </row>
    <row r="4920" spans="6:7" x14ac:dyDescent="0.25">
      <c r="F4920">
        <v>4917</v>
      </c>
      <c r="G4920">
        <f ca="1">_xlfn.NORM.INV(RAND(),$M$7,$M$8)</f>
        <v>-3.3881653682751515E-3</v>
      </c>
    </row>
    <row r="4921" spans="6:7" x14ac:dyDescent="0.25">
      <c r="F4921">
        <v>4918</v>
      </c>
      <c r="G4921">
        <f ca="1">_xlfn.NORM.INV(RAND(),$M$7,$M$8)</f>
        <v>-1.2793361453429382E-2</v>
      </c>
    </row>
    <row r="4922" spans="6:7" x14ac:dyDescent="0.25">
      <c r="F4922">
        <v>4919</v>
      </c>
      <c r="G4922">
        <f ca="1">_xlfn.NORM.INV(RAND(),$M$7,$M$8)</f>
        <v>-1.9792805949277792E-2</v>
      </c>
    </row>
    <row r="4923" spans="6:7" x14ac:dyDescent="0.25">
      <c r="F4923">
        <v>4920</v>
      </c>
      <c r="G4923">
        <f ca="1">_xlfn.NORM.INV(RAND(),$M$7,$M$8)</f>
        <v>1.4273503292061609E-2</v>
      </c>
    </row>
    <row r="4924" spans="6:7" x14ac:dyDescent="0.25">
      <c r="F4924">
        <v>4921</v>
      </c>
      <c r="G4924">
        <f ca="1">_xlfn.NORM.INV(RAND(),$M$7,$M$8)</f>
        <v>1.6250523318931493E-3</v>
      </c>
    </row>
    <row r="4925" spans="6:7" x14ac:dyDescent="0.25">
      <c r="F4925">
        <v>4922</v>
      </c>
      <c r="G4925">
        <f ca="1">_xlfn.NORM.INV(RAND(),$M$7,$M$8)</f>
        <v>9.9401898189300664E-3</v>
      </c>
    </row>
    <row r="4926" spans="6:7" x14ac:dyDescent="0.25">
      <c r="F4926">
        <v>4923</v>
      </c>
      <c r="G4926">
        <f ca="1">_xlfn.NORM.INV(RAND(),$M$7,$M$8)</f>
        <v>-2.4427595525218369E-2</v>
      </c>
    </row>
    <row r="4927" spans="6:7" x14ac:dyDescent="0.25">
      <c r="F4927">
        <v>4924</v>
      </c>
      <c r="G4927">
        <f ca="1">_xlfn.NORM.INV(RAND(),$M$7,$M$8)</f>
        <v>-1.2357692047171864E-2</v>
      </c>
    </row>
    <row r="4928" spans="6:7" x14ac:dyDescent="0.25">
      <c r="F4928">
        <v>4925</v>
      </c>
      <c r="G4928">
        <f ca="1">_xlfn.NORM.INV(RAND(),$M$7,$M$8)</f>
        <v>-2.0994376152583136E-2</v>
      </c>
    </row>
    <row r="4929" spans="6:7" x14ac:dyDescent="0.25">
      <c r="F4929">
        <v>4926</v>
      </c>
      <c r="G4929">
        <f ca="1">_xlfn.NORM.INV(RAND(),$M$7,$M$8)</f>
        <v>-4.0097007387022543E-2</v>
      </c>
    </row>
    <row r="4930" spans="6:7" x14ac:dyDescent="0.25">
      <c r="F4930">
        <v>4927</v>
      </c>
      <c r="G4930">
        <f ca="1">_xlfn.NORM.INV(RAND(),$M$7,$M$8)</f>
        <v>2.1072775466528314E-4</v>
      </c>
    </row>
    <row r="4931" spans="6:7" x14ac:dyDescent="0.25">
      <c r="F4931">
        <v>4928</v>
      </c>
      <c r="G4931">
        <f ca="1">_xlfn.NORM.INV(RAND(),$M$7,$M$8)</f>
        <v>-1.0631308128755956E-2</v>
      </c>
    </row>
    <row r="4932" spans="6:7" x14ac:dyDescent="0.25">
      <c r="F4932">
        <v>4929</v>
      </c>
      <c r="G4932">
        <f ca="1">_xlfn.NORM.INV(RAND(),$M$7,$M$8)</f>
        <v>-1.757590212748885E-2</v>
      </c>
    </row>
    <row r="4933" spans="6:7" x14ac:dyDescent="0.25">
      <c r="F4933">
        <v>4930</v>
      </c>
      <c r="G4933">
        <f ca="1">_xlfn.NORM.INV(RAND(),$M$7,$M$8)</f>
        <v>1.3487821886014854E-2</v>
      </c>
    </row>
    <row r="4934" spans="6:7" x14ac:dyDescent="0.25">
      <c r="F4934">
        <v>4931</v>
      </c>
      <c r="G4934">
        <f ca="1">_xlfn.NORM.INV(RAND(),$M$7,$M$8)</f>
        <v>5.2593097975078603E-3</v>
      </c>
    </row>
    <row r="4935" spans="6:7" x14ac:dyDescent="0.25">
      <c r="F4935">
        <v>4932</v>
      </c>
      <c r="G4935">
        <f ca="1">_xlfn.NORM.INV(RAND(),$M$7,$M$8)</f>
        <v>-5.0580672374174549E-3</v>
      </c>
    </row>
    <row r="4936" spans="6:7" x14ac:dyDescent="0.25">
      <c r="F4936">
        <v>4933</v>
      </c>
      <c r="G4936">
        <f ca="1">_xlfn.NORM.INV(RAND(),$M$7,$M$8)</f>
        <v>-9.5347181896643092E-4</v>
      </c>
    </row>
    <row r="4937" spans="6:7" x14ac:dyDescent="0.25">
      <c r="F4937">
        <v>4934</v>
      </c>
      <c r="G4937">
        <f ca="1">_xlfn.NORM.INV(RAND(),$M$7,$M$8)</f>
        <v>7.3721786169152065E-3</v>
      </c>
    </row>
    <row r="4938" spans="6:7" x14ac:dyDescent="0.25">
      <c r="F4938">
        <v>4935</v>
      </c>
      <c r="G4938">
        <f ca="1">_xlfn.NORM.INV(RAND(),$M$7,$M$8)</f>
        <v>1.3002674362599647E-2</v>
      </c>
    </row>
    <row r="4939" spans="6:7" x14ac:dyDescent="0.25">
      <c r="F4939">
        <v>4936</v>
      </c>
      <c r="G4939">
        <f ca="1">_xlfn.NORM.INV(RAND(),$M$7,$M$8)</f>
        <v>2.3205927496939838E-2</v>
      </c>
    </row>
    <row r="4940" spans="6:7" x14ac:dyDescent="0.25">
      <c r="F4940">
        <v>4937</v>
      </c>
      <c r="G4940">
        <f ca="1">_xlfn.NORM.INV(RAND(),$M$7,$M$8)</f>
        <v>2.6322611087934152E-2</v>
      </c>
    </row>
    <row r="4941" spans="6:7" x14ac:dyDescent="0.25">
      <c r="F4941">
        <v>4938</v>
      </c>
      <c r="G4941">
        <f ca="1">_xlfn.NORM.INV(RAND(),$M$7,$M$8)</f>
        <v>2.8040718562669022E-2</v>
      </c>
    </row>
    <row r="4942" spans="6:7" x14ac:dyDescent="0.25">
      <c r="F4942">
        <v>4939</v>
      </c>
      <c r="G4942">
        <f ca="1">_xlfn.NORM.INV(RAND(),$M$7,$M$8)</f>
        <v>-4.9975298581499114E-2</v>
      </c>
    </row>
    <row r="4943" spans="6:7" x14ac:dyDescent="0.25">
      <c r="F4943">
        <v>4940</v>
      </c>
      <c r="G4943">
        <f ca="1">_xlfn.NORM.INV(RAND(),$M$7,$M$8)</f>
        <v>-2.6464101679516287E-2</v>
      </c>
    </row>
    <row r="4944" spans="6:7" x14ac:dyDescent="0.25">
      <c r="F4944">
        <v>4941</v>
      </c>
      <c r="G4944">
        <f ca="1">_xlfn.NORM.INV(RAND(),$M$7,$M$8)</f>
        <v>1.7906126961532296E-2</v>
      </c>
    </row>
    <row r="4945" spans="6:7" x14ac:dyDescent="0.25">
      <c r="F4945">
        <v>4942</v>
      </c>
      <c r="G4945">
        <f ca="1">_xlfn.NORM.INV(RAND(),$M$7,$M$8)</f>
        <v>5.1325631109711695E-2</v>
      </c>
    </row>
    <row r="4946" spans="6:7" x14ac:dyDescent="0.25">
      <c r="F4946">
        <v>4943</v>
      </c>
      <c r="G4946">
        <f ca="1">_xlfn.NORM.INV(RAND(),$M$7,$M$8)</f>
        <v>1.2392275051294296E-2</v>
      </c>
    </row>
    <row r="4947" spans="6:7" x14ac:dyDescent="0.25">
      <c r="F4947">
        <v>4944</v>
      </c>
      <c r="G4947">
        <f ca="1">_xlfn.NORM.INV(RAND(),$M$7,$M$8)</f>
        <v>-2.6505224746770695E-2</v>
      </c>
    </row>
    <row r="4948" spans="6:7" x14ac:dyDescent="0.25">
      <c r="F4948">
        <v>4945</v>
      </c>
      <c r="G4948">
        <f ca="1">_xlfn.NORM.INV(RAND(),$M$7,$M$8)</f>
        <v>4.3194274209591065E-2</v>
      </c>
    </row>
    <row r="4949" spans="6:7" x14ac:dyDescent="0.25">
      <c r="F4949">
        <v>4946</v>
      </c>
      <c r="G4949">
        <f ca="1">_xlfn.NORM.INV(RAND(),$M$7,$M$8)</f>
        <v>6.4198187783712866E-3</v>
      </c>
    </row>
    <row r="4950" spans="6:7" x14ac:dyDescent="0.25">
      <c r="F4950">
        <v>4947</v>
      </c>
      <c r="G4950">
        <f ca="1">_xlfn.NORM.INV(RAND(),$M$7,$M$8)</f>
        <v>-2.1886825344787888E-2</v>
      </c>
    </row>
    <row r="4951" spans="6:7" x14ac:dyDescent="0.25">
      <c r="F4951">
        <v>4948</v>
      </c>
      <c r="G4951">
        <f ca="1">_xlfn.NORM.INV(RAND(),$M$7,$M$8)</f>
        <v>2.3028079180106052E-2</v>
      </c>
    </row>
    <row r="4952" spans="6:7" x14ac:dyDescent="0.25">
      <c r="F4952">
        <v>4949</v>
      </c>
      <c r="G4952">
        <f ca="1">_xlfn.NORM.INV(RAND(),$M$7,$M$8)</f>
        <v>-3.478626436104993E-2</v>
      </c>
    </row>
    <row r="4953" spans="6:7" x14ac:dyDescent="0.25">
      <c r="F4953">
        <v>4950</v>
      </c>
      <c r="G4953">
        <f ca="1">_xlfn.NORM.INV(RAND(),$M$7,$M$8)</f>
        <v>2.7185476300814582E-2</v>
      </c>
    </row>
    <row r="4954" spans="6:7" x14ac:dyDescent="0.25">
      <c r="F4954">
        <v>4951</v>
      </c>
      <c r="G4954">
        <f ca="1">_xlfn.NORM.INV(RAND(),$M$7,$M$8)</f>
        <v>-1.0514226701924125E-2</v>
      </c>
    </row>
    <row r="4955" spans="6:7" x14ac:dyDescent="0.25">
      <c r="F4955">
        <v>4952</v>
      </c>
      <c r="G4955">
        <f ca="1">_xlfn.NORM.INV(RAND(),$M$7,$M$8)</f>
        <v>-3.1928804491231359E-2</v>
      </c>
    </row>
    <row r="4956" spans="6:7" x14ac:dyDescent="0.25">
      <c r="F4956">
        <v>4953</v>
      </c>
      <c r="G4956">
        <f ca="1">_xlfn.NORM.INV(RAND(),$M$7,$M$8)</f>
        <v>-4.8894089843443164E-2</v>
      </c>
    </row>
    <row r="4957" spans="6:7" x14ac:dyDescent="0.25">
      <c r="F4957">
        <v>4954</v>
      </c>
      <c r="G4957">
        <f ca="1">_xlfn.NORM.INV(RAND(),$M$7,$M$8)</f>
        <v>5.8610690143714381E-3</v>
      </c>
    </row>
    <row r="4958" spans="6:7" x14ac:dyDescent="0.25">
      <c r="F4958">
        <v>4955</v>
      </c>
      <c r="G4958">
        <f ca="1">_xlfn.NORM.INV(RAND(),$M$7,$M$8)</f>
        <v>1.6399657587371087E-2</v>
      </c>
    </row>
    <row r="4959" spans="6:7" x14ac:dyDescent="0.25">
      <c r="F4959">
        <v>4956</v>
      </c>
      <c r="G4959">
        <f ca="1">_xlfn.NORM.INV(RAND(),$M$7,$M$8)</f>
        <v>3.6690353616827494E-2</v>
      </c>
    </row>
    <row r="4960" spans="6:7" x14ac:dyDescent="0.25">
      <c r="F4960">
        <v>4957</v>
      </c>
      <c r="G4960">
        <f ca="1">_xlfn.NORM.INV(RAND(),$M$7,$M$8)</f>
        <v>-5.5442646561535882E-3</v>
      </c>
    </row>
    <row r="4961" spans="6:7" x14ac:dyDescent="0.25">
      <c r="F4961">
        <v>4958</v>
      </c>
      <c r="G4961">
        <f ca="1">_xlfn.NORM.INV(RAND(),$M$7,$M$8)</f>
        <v>2.026914516984147E-2</v>
      </c>
    </row>
    <row r="4962" spans="6:7" x14ac:dyDescent="0.25">
      <c r="F4962">
        <v>4959</v>
      </c>
      <c r="G4962">
        <f ca="1">_xlfn.NORM.INV(RAND(),$M$7,$M$8)</f>
        <v>5.8631674057904121E-2</v>
      </c>
    </row>
    <row r="4963" spans="6:7" x14ac:dyDescent="0.25">
      <c r="F4963">
        <v>4960</v>
      </c>
      <c r="G4963">
        <f ca="1">_xlfn.NORM.INV(RAND(),$M$7,$M$8)</f>
        <v>1.5913652971666662E-3</v>
      </c>
    </row>
    <row r="4964" spans="6:7" x14ac:dyDescent="0.25">
      <c r="F4964">
        <v>4961</v>
      </c>
      <c r="G4964">
        <f ca="1">_xlfn.NORM.INV(RAND(),$M$7,$M$8)</f>
        <v>1.2574530760177239E-2</v>
      </c>
    </row>
    <row r="4965" spans="6:7" x14ac:dyDescent="0.25">
      <c r="F4965">
        <v>4962</v>
      </c>
      <c r="G4965">
        <f ca="1">_xlfn.NORM.INV(RAND(),$M$7,$M$8)</f>
        <v>-2.7446303593203492E-3</v>
      </c>
    </row>
    <row r="4966" spans="6:7" x14ac:dyDescent="0.25">
      <c r="F4966">
        <v>4963</v>
      </c>
      <c r="G4966">
        <f ca="1">_xlfn.NORM.INV(RAND(),$M$7,$M$8)</f>
        <v>2.5060151328106732E-2</v>
      </c>
    </row>
    <row r="4967" spans="6:7" x14ac:dyDescent="0.25">
      <c r="F4967">
        <v>4964</v>
      </c>
      <c r="G4967">
        <f ca="1">_xlfn.NORM.INV(RAND(),$M$7,$M$8)</f>
        <v>2.981373393959157E-2</v>
      </c>
    </row>
    <row r="4968" spans="6:7" x14ac:dyDescent="0.25">
      <c r="F4968">
        <v>4965</v>
      </c>
      <c r="G4968">
        <f ca="1">_xlfn.NORM.INV(RAND(),$M$7,$M$8)</f>
        <v>2.0825158827925884E-2</v>
      </c>
    </row>
    <row r="4969" spans="6:7" x14ac:dyDescent="0.25">
      <c r="F4969">
        <v>4966</v>
      </c>
      <c r="G4969">
        <f ca="1">_xlfn.NORM.INV(RAND(),$M$7,$M$8)</f>
        <v>4.4015273187608242E-2</v>
      </c>
    </row>
    <row r="4970" spans="6:7" x14ac:dyDescent="0.25">
      <c r="F4970">
        <v>4967</v>
      </c>
      <c r="G4970">
        <f ca="1">_xlfn.NORM.INV(RAND(),$M$7,$M$8)</f>
        <v>2.5924799861030277E-2</v>
      </c>
    </row>
    <row r="4971" spans="6:7" x14ac:dyDescent="0.25">
      <c r="F4971">
        <v>4968</v>
      </c>
      <c r="G4971">
        <f ca="1">_xlfn.NORM.INV(RAND(),$M$7,$M$8)</f>
        <v>-3.30104552701634E-2</v>
      </c>
    </row>
    <row r="4972" spans="6:7" x14ac:dyDescent="0.25">
      <c r="F4972">
        <v>4969</v>
      </c>
      <c r="G4972">
        <f ca="1">_xlfn.NORM.INV(RAND(),$M$7,$M$8)</f>
        <v>6.1014824041736894E-3</v>
      </c>
    </row>
    <row r="4973" spans="6:7" x14ac:dyDescent="0.25">
      <c r="F4973">
        <v>4970</v>
      </c>
      <c r="G4973">
        <f ca="1">_xlfn.NORM.INV(RAND(),$M$7,$M$8)</f>
        <v>-6.1271489215598846E-3</v>
      </c>
    </row>
    <row r="4974" spans="6:7" x14ac:dyDescent="0.25">
      <c r="F4974">
        <v>4971</v>
      </c>
      <c r="G4974">
        <f ca="1">_xlfn.NORM.INV(RAND(),$M$7,$M$8)</f>
        <v>2.0428835383034676E-2</v>
      </c>
    </row>
    <row r="4975" spans="6:7" x14ac:dyDescent="0.25">
      <c r="F4975">
        <v>4972</v>
      </c>
      <c r="G4975">
        <f ca="1">_xlfn.NORM.INV(RAND(),$M$7,$M$8)</f>
        <v>1.0836345909305652E-2</v>
      </c>
    </row>
    <row r="4976" spans="6:7" x14ac:dyDescent="0.25">
      <c r="F4976">
        <v>4973</v>
      </c>
      <c r="G4976">
        <f ca="1">_xlfn.NORM.INV(RAND(),$M$7,$M$8)</f>
        <v>1.3828055440700854E-3</v>
      </c>
    </row>
    <row r="4977" spans="6:7" x14ac:dyDescent="0.25">
      <c r="F4977">
        <v>4974</v>
      </c>
      <c r="G4977">
        <f ca="1">_xlfn.NORM.INV(RAND(),$M$7,$M$8)</f>
        <v>-4.375337674486187E-2</v>
      </c>
    </row>
    <row r="4978" spans="6:7" x14ac:dyDescent="0.25">
      <c r="F4978">
        <v>4975</v>
      </c>
      <c r="G4978">
        <f ca="1">_xlfn.NORM.INV(RAND(),$M$7,$M$8)</f>
        <v>1.6805458335741312E-2</v>
      </c>
    </row>
    <row r="4979" spans="6:7" x14ac:dyDescent="0.25">
      <c r="F4979">
        <v>4976</v>
      </c>
      <c r="G4979">
        <f ca="1">_xlfn.NORM.INV(RAND(),$M$7,$M$8)</f>
        <v>-9.9933233647302062E-3</v>
      </c>
    </row>
    <row r="4980" spans="6:7" x14ac:dyDescent="0.25">
      <c r="F4980">
        <v>4977</v>
      </c>
      <c r="G4980">
        <f ca="1">_xlfn.NORM.INV(RAND(),$M$7,$M$8)</f>
        <v>7.5303694083966328E-3</v>
      </c>
    </row>
    <row r="4981" spans="6:7" x14ac:dyDescent="0.25">
      <c r="F4981">
        <v>4978</v>
      </c>
      <c r="G4981">
        <f ca="1">_xlfn.NORM.INV(RAND(),$M$7,$M$8)</f>
        <v>-5.296954234185065E-3</v>
      </c>
    </row>
    <row r="4982" spans="6:7" x14ac:dyDescent="0.25">
      <c r="F4982">
        <v>4979</v>
      </c>
      <c r="G4982">
        <f ca="1">_xlfn.NORM.INV(RAND(),$M$7,$M$8)</f>
        <v>-3.5322939398643662E-3</v>
      </c>
    </row>
    <row r="4983" spans="6:7" x14ac:dyDescent="0.25">
      <c r="F4983">
        <v>4980</v>
      </c>
      <c r="G4983">
        <f ca="1">_xlfn.NORM.INV(RAND(),$M$7,$M$8)</f>
        <v>-1.8585584683344283E-2</v>
      </c>
    </row>
    <row r="4984" spans="6:7" x14ac:dyDescent="0.25">
      <c r="F4984">
        <v>4981</v>
      </c>
      <c r="G4984">
        <f ca="1">_xlfn.NORM.INV(RAND(),$M$7,$M$8)</f>
        <v>7.5147385286076937E-2</v>
      </c>
    </row>
    <row r="4985" spans="6:7" x14ac:dyDescent="0.25">
      <c r="F4985">
        <v>4982</v>
      </c>
      <c r="G4985">
        <f ca="1">_xlfn.NORM.INV(RAND(),$M$7,$M$8)</f>
        <v>-3.0091815439264889E-2</v>
      </c>
    </row>
    <row r="4986" spans="6:7" x14ac:dyDescent="0.25">
      <c r="F4986">
        <v>4983</v>
      </c>
      <c r="G4986">
        <f ca="1">_xlfn.NORM.INV(RAND(),$M$7,$M$8)</f>
        <v>4.2206764030953154E-3</v>
      </c>
    </row>
    <row r="4987" spans="6:7" x14ac:dyDescent="0.25">
      <c r="F4987">
        <v>4984</v>
      </c>
      <c r="G4987">
        <f ca="1">_xlfn.NORM.INV(RAND(),$M$7,$M$8)</f>
        <v>2.3168705200307539E-2</v>
      </c>
    </row>
    <row r="4988" spans="6:7" x14ac:dyDescent="0.25">
      <c r="F4988">
        <v>4985</v>
      </c>
      <c r="G4988">
        <f ca="1">_xlfn.NORM.INV(RAND(),$M$7,$M$8)</f>
        <v>-4.1968416874935709E-2</v>
      </c>
    </row>
    <row r="4989" spans="6:7" x14ac:dyDescent="0.25">
      <c r="F4989">
        <v>4986</v>
      </c>
      <c r="G4989">
        <f ca="1">_xlfn.NORM.INV(RAND(),$M$7,$M$8)</f>
        <v>-1.1213832195323773E-2</v>
      </c>
    </row>
    <row r="4990" spans="6:7" x14ac:dyDescent="0.25">
      <c r="F4990">
        <v>4987</v>
      </c>
      <c r="G4990">
        <f ca="1">_xlfn.NORM.INV(RAND(),$M$7,$M$8)</f>
        <v>-1.8625394517266997E-2</v>
      </c>
    </row>
    <row r="4991" spans="6:7" x14ac:dyDescent="0.25">
      <c r="F4991">
        <v>4988</v>
      </c>
      <c r="G4991">
        <f ca="1">_xlfn.NORM.INV(RAND(),$M$7,$M$8)</f>
        <v>2.2494862018071368E-2</v>
      </c>
    </row>
    <row r="4992" spans="6:7" x14ac:dyDescent="0.25">
      <c r="F4992">
        <v>4989</v>
      </c>
      <c r="G4992">
        <f ca="1">_xlfn.NORM.INV(RAND(),$M$7,$M$8)</f>
        <v>1.813849007281338E-2</v>
      </c>
    </row>
    <row r="4993" spans="6:7" x14ac:dyDescent="0.25">
      <c r="F4993">
        <v>4990</v>
      </c>
      <c r="G4993">
        <f ca="1">_xlfn.NORM.INV(RAND(),$M$7,$M$8)</f>
        <v>4.8286071567214581E-2</v>
      </c>
    </row>
    <row r="4994" spans="6:7" x14ac:dyDescent="0.25">
      <c r="F4994">
        <v>4991</v>
      </c>
      <c r="G4994">
        <f ca="1">_xlfn.NORM.INV(RAND(),$M$7,$M$8)</f>
        <v>4.324527781969089E-2</v>
      </c>
    </row>
    <row r="4995" spans="6:7" x14ac:dyDescent="0.25">
      <c r="F4995">
        <v>4992</v>
      </c>
      <c r="G4995">
        <f ca="1">_xlfn.NORM.INV(RAND(),$M$7,$M$8)</f>
        <v>-2.2072119804935112E-3</v>
      </c>
    </row>
    <row r="4996" spans="6:7" x14ac:dyDescent="0.25">
      <c r="F4996">
        <v>4993</v>
      </c>
      <c r="G4996">
        <f ca="1">_xlfn.NORM.INV(RAND(),$M$7,$M$8)</f>
        <v>1.2724855583623506E-2</v>
      </c>
    </row>
    <row r="4997" spans="6:7" x14ac:dyDescent="0.25">
      <c r="F4997">
        <v>4994</v>
      </c>
      <c r="G4997">
        <f ca="1">_xlfn.NORM.INV(RAND(),$M$7,$M$8)</f>
        <v>1.5712585503312945E-2</v>
      </c>
    </row>
    <row r="4998" spans="6:7" x14ac:dyDescent="0.25">
      <c r="F4998">
        <v>4995</v>
      </c>
      <c r="G4998">
        <f ca="1">_xlfn.NORM.INV(RAND(),$M$7,$M$8)</f>
        <v>-3.0034483638129522E-2</v>
      </c>
    </row>
    <row r="4999" spans="6:7" x14ac:dyDescent="0.25">
      <c r="F4999">
        <v>4996</v>
      </c>
      <c r="G4999">
        <f ca="1">_xlfn.NORM.INV(RAND(),$M$7,$M$8)</f>
        <v>4.4951783977465196E-3</v>
      </c>
    </row>
    <row r="5000" spans="6:7" x14ac:dyDescent="0.25">
      <c r="F5000">
        <v>4997</v>
      </c>
      <c r="G5000">
        <f ca="1">_xlfn.NORM.INV(RAND(),$M$7,$M$8)</f>
        <v>-3.1294031389166921E-2</v>
      </c>
    </row>
    <row r="5001" spans="6:7" x14ac:dyDescent="0.25">
      <c r="F5001">
        <v>4998</v>
      </c>
      <c r="G5001">
        <f ca="1">_xlfn.NORM.INV(RAND(),$M$7,$M$8)</f>
        <v>-1.6867526911572166E-2</v>
      </c>
    </row>
    <row r="5002" spans="6:7" x14ac:dyDescent="0.25">
      <c r="F5002">
        <v>4999</v>
      </c>
      <c r="G5002">
        <f ca="1">_xlfn.NORM.INV(RAND(),$M$7,$M$8)</f>
        <v>1.1900831761462394E-2</v>
      </c>
    </row>
    <row r="5003" spans="6:7" x14ac:dyDescent="0.25">
      <c r="F5003">
        <v>5000</v>
      </c>
      <c r="G5003">
        <f ca="1">_xlfn.NORM.INV(RAND(),$M$7,$M$8)</f>
        <v>4.2903871691544089E-3</v>
      </c>
    </row>
    <row r="5004" spans="6:7" x14ac:dyDescent="0.25">
      <c r="F5004">
        <v>5001</v>
      </c>
      <c r="G5004">
        <f ca="1">_xlfn.NORM.INV(RAND(),$M$7,$M$8)</f>
        <v>1.8299791142959588E-2</v>
      </c>
    </row>
    <row r="5005" spans="6:7" x14ac:dyDescent="0.25">
      <c r="F5005">
        <v>5002</v>
      </c>
      <c r="G5005">
        <f ca="1">_xlfn.NORM.INV(RAND(),$M$7,$M$8)</f>
        <v>-5.2691850029038534E-3</v>
      </c>
    </row>
    <row r="5006" spans="6:7" x14ac:dyDescent="0.25">
      <c r="F5006">
        <v>5003</v>
      </c>
      <c r="G5006">
        <f ca="1">_xlfn.NORM.INV(RAND(),$M$7,$M$8)</f>
        <v>3.1325459428634697E-2</v>
      </c>
    </row>
    <row r="5007" spans="6:7" x14ac:dyDescent="0.25">
      <c r="F5007">
        <v>5004</v>
      </c>
      <c r="G5007">
        <f ca="1">_xlfn.NORM.INV(RAND(),$M$7,$M$8)</f>
        <v>7.179502559938742E-3</v>
      </c>
    </row>
    <row r="5008" spans="6:7" x14ac:dyDescent="0.25">
      <c r="F5008">
        <v>5005</v>
      </c>
      <c r="G5008">
        <f ca="1">_xlfn.NORM.INV(RAND(),$M$7,$M$8)</f>
        <v>6.8913406776917614E-3</v>
      </c>
    </row>
    <row r="5009" spans="6:7" x14ac:dyDescent="0.25">
      <c r="F5009">
        <v>5006</v>
      </c>
      <c r="G5009">
        <f ca="1">_xlfn.NORM.INV(RAND(),$M$7,$M$8)</f>
        <v>1.2860684392647223E-2</v>
      </c>
    </row>
    <row r="5010" spans="6:7" x14ac:dyDescent="0.25">
      <c r="F5010">
        <v>5007</v>
      </c>
      <c r="G5010">
        <f ca="1">_xlfn.NORM.INV(RAND(),$M$7,$M$8)</f>
        <v>-3.166244652512093E-2</v>
      </c>
    </row>
    <row r="5011" spans="6:7" x14ac:dyDescent="0.25">
      <c r="F5011">
        <v>5008</v>
      </c>
      <c r="G5011">
        <f ca="1">_xlfn.NORM.INV(RAND(),$M$7,$M$8)</f>
        <v>-2.5752065792066119E-2</v>
      </c>
    </row>
    <row r="5012" spans="6:7" x14ac:dyDescent="0.25">
      <c r="F5012">
        <v>5009</v>
      </c>
      <c r="G5012">
        <f ca="1">_xlfn.NORM.INV(RAND(),$M$7,$M$8)</f>
        <v>-5.0991320666649194E-3</v>
      </c>
    </row>
    <row r="5013" spans="6:7" x14ac:dyDescent="0.25">
      <c r="F5013">
        <v>5010</v>
      </c>
      <c r="G5013">
        <f ca="1">_xlfn.NORM.INV(RAND(),$M$7,$M$8)</f>
        <v>-1.8380820592979904E-2</v>
      </c>
    </row>
    <row r="5014" spans="6:7" x14ac:dyDescent="0.25">
      <c r="F5014">
        <v>5011</v>
      </c>
      <c r="G5014">
        <f ca="1">_xlfn.NORM.INV(RAND(),$M$7,$M$8)</f>
        <v>-3.8646317431919854E-2</v>
      </c>
    </row>
    <row r="5015" spans="6:7" x14ac:dyDescent="0.25">
      <c r="F5015">
        <v>5012</v>
      </c>
      <c r="G5015">
        <f ca="1">_xlfn.NORM.INV(RAND(),$M$7,$M$8)</f>
        <v>-7.2966348013781142E-5</v>
      </c>
    </row>
    <row r="5016" spans="6:7" x14ac:dyDescent="0.25">
      <c r="F5016">
        <v>5013</v>
      </c>
      <c r="G5016">
        <f ca="1">_xlfn.NORM.INV(RAND(),$M$7,$M$8)</f>
        <v>6.2033055767674893E-2</v>
      </c>
    </row>
    <row r="5017" spans="6:7" x14ac:dyDescent="0.25">
      <c r="F5017">
        <v>5014</v>
      </c>
      <c r="G5017">
        <f ca="1">_xlfn.NORM.INV(RAND(),$M$7,$M$8)</f>
        <v>3.8893016937057691E-2</v>
      </c>
    </row>
    <row r="5018" spans="6:7" x14ac:dyDescent="0.25">
      <c r="F5018">
        <v>5015</v>
      </c>
      <c r="G5018">
        <f ca="1">_xlfn.NORM.INV(RAND(),$M$7,$M$8)</f>
        <v>5.3622245980293262E-3</v>
      </c>
    </row>
    <row r="5019" spans="6:7" x14ac:dyDescent="0.25">
      <c r="F5019">
        <v>5016</v>
      </c>
      <c r="G5019">
        <f ca="1">_xlfn.NORM.INV(RAND(),$M$7,$M$8)</f>
        <v>1.711131060658479E-3</v>
      </c>
    </row>
    <row r="5020" spans="6:7" x14ac:dyDescent="0.25">
      <c r="F5020">
        <v>5017</v>
      </c>
      <c r="G5020">
        <f ca="1">_xlfn.NORM.INV(RAND(),$M$7,$M$8)</f>
        <v>-1.8740544129718734E-2</v>
      </c>
    </row>
    <row r="5021" spans="6:7" x14ac:dyDescent="0.25">
      <c r="F5021">
        <v>5018</v>
      </c>
      <c r="G5021">
        <f ca="1">_xlfn.NORM.INV(RAND(),$M$7,$M$8)</f>
        <v>-4.9213005827003407E-2</v>
      </c>
    </row>
    <row r="5022" spans="6:7" x14ac:dyDescent="0.25">
      <c r="F5022">
        <v>5019</v>
      </c>
      <c r="G5022">
        <f ca="1">_xlfn.NORM.INV(RAND(),$M$7,$M$8)</f>
        <v>3.3259807200567433E-2</v>
      </c>
    </row>
    <row r="5023" spans="6:7" x14ac:dyDescent="0.25">
      <c r="F5023">
        <v>5020</v>
      </c>
      <c r="G5023">
        <f ca="1">_xlfn.NORM.INV(RAND(),$M$7,$M$8)</f>
        <v>-2.760140616609689E-3</v>
      </c>
    </row>
    <row r="5024" spans="6:7" x14ac:dyDescent="0.25">
      <c r="F5024">
        <v>5021</v>
      </c>
      <c r="G5024">
        <f ca="1">_xlfn.NORM.INV(RAND(),$M$7,$M$8)</f>
        <v>7.5096979306012047E-3</v>
      </c>
    </row>
    <row r="5025" spans="6:7" x14ac:dyDescent="0.25">
      <c r="F5025">
        <v>5022</v>
      </c>
      <c r="G5025">
        <f ca="1">_xlfn.NORM.INV(RAND(),$M$7,$M$8)</f>
        <v>6.3166719417086133E-3</v>
      </c>
    </row>
    <row r="5026" spans="6:7" x14ac:dyDescent="0.25">
      <c r="F5026">
        <v>5023</v>
      </c>
      <c r="G5026">
        <f ca="1">_xlfn.NORM.INV(RAND(),$M$7,$M$8)</f>
        <v>1.7346902624977584E-2</v>
      </c>
    </row>
    <row r="5027" spans="6:7" x14ac:dyDescent="0.25">
      <c r="F5027">
        <v>5024</v>
      </c>
      <c r="G5027">
        <f ca="1">_xlfn.NORM.INV(RAND(),$M$7,$M$8)</f>
        <v>7.5274981203105155E-3</v>
      </c>
    </row>
    <row r="5028" spans="6:7" x14ac:dyDescent="0.25">
      <c r="F5028">
        <v>5025</v>
      </c>
      <c r="G5028">
        <f ca="1">_xlfn.NORM.INV(RAND(),$M$7,$M$8)</f>
        <v>-1.4678141362783899E-2</v>
      </c>
    </row>
    <row r="5029" spans="6:7" x14ac:dyDescent="0.25">
      <c r="F5029">
        <v>5026</v>
      </c>
      <c r="G5029">
        <f ca="1">_xlfn.NORM.INV(RAND(),$M$7,$M$8)</f>
        <v>3.3838289612830523E-2</v>
      </c>
    </row>
    <row r="5030" spans="6:7" x14ac:dyDescent="0.25">
      <c r="F5030">
        <v>5027</v>
      </c>
      <c r="G5030">
        <f ca="1">_xlfn.NORM.INV(RAND(),$M$7,$M$8)</f>
        <v>-1.875259619496349E-2</v>
      </c>
    </row>
    <row r="5031" spans="6:7" x14ac:dyDescent="0.25">
      <c r="F5031">
        <v>5028</v>
      </c>
      <c r="G5031">
        <f ca="1">_xlfn.NORM.INV(RAND(),$M$7,$M$8)</f>
        <v>1.4332132842959127E-2</v>
      </c>
    </row>
    <row r="5032" spans="6:7" x14ac:dyDescent="0.25">
      <c r="F5032">
        <v>5029</v>
      </c>
      <c r="G5032">
        <f ca="1">_xlfn.NORM.INV(RAND(),$M$7,$M$8)</f>
        <v>-1.8641770749704675E-2</v>
      </c>
    </row>
    <row r="5033" spans="6:7" x14ac:dyDescent="0.25">
      <c r="F5033">
        <v>5030</v>
      </c>
      <c r="G5033">
        <f ca="1">_xlfn.NORM.INV(RAND(),$M$7,$M$8)</f>
        <v>-1.3357458015243392E-2</v>
      </c>
    </row>
    <row r="5034" spans="6:7" x14ac:dyDescent="0.25">
      <c r="F5034">
        <v>5031</v>
      </c>
      <c r="G5034">
        <f ca="1">_xlfn.NORM.INV(RAND(),$M$7,$M$8)</f>
        <v>-1.5716395272114454E-2</v>
      </c>
    </row>
    <row r="5035" spans="6:7" x14ac:dyDescent="0.25">
      <c r="F5035">
        <v>5032</v>
      </c>
      <c r="G5035">
        <f ca="1">_xlfn.NORM.INV(RAND(),$M$7,$M$8)</f>
        <v>4.3529850047100554E-3</v>
      </c>
    </row>
    <row r="5036" spans="6:7" x14ac:dyDescent="0.25">
      <c r="F5036">
        <v>5033</v>
      </c>
      <c r="G5036">
        <f ca="1">_xlfn.NORM.INV(RAND(),$M$7,$M$8)</f>
        <v>-1.2788217696238283E-2</v>
      </c>
    </row>
    <row r="5037" spans="6:7" x14ac:dyDescent="0.25">
      <c r="F5037">
        <v>5034</v>
      </c>
      <c r="G5037">
        <f ca="1">_xlfn.NORM.INV(RAND(),$M$7,$M$8)</f>
        <v>-2.9411714085823014E-2</v>
      </c>
    </row>
    <row r="5038" spans="6:7" x14ac:dyDescent="0.25">
      <c r="F5038">
        <v>5035</v>
      </c>
      <c r="G5038">
        <f ca="1">_xlfn.NORM.INV(RAND(),$M$7,$M$8)</f>
        <v>6.4012297292596956E-3</v>
      </c>
    </row>
    <row r="5039" spans="6:7" x14ac:dyDescent="0.25">
      <c r="F5039">
        <v>5036</v>
      </c>
      <c r="G5039">
        <f ca="1">_xlfn.NORM.INV(RAND(),$M$7,$M$8)</f>
        <v>-5.1952356923946334E-2</v>
      </c>
    </row>
    <row r="5040" spans="6:7" x14ac:dyDescent="0.25">
      <c r="F5040">
        <v>5037</v>
      </c>
      <c r="G5040">
        <f ca="1">_xlfn.NORM.INV(RAND(),$M$7,$M$8)</f>
        <v>2.7722340451450968E-2</v>
      </c>
    </row>
    <row r="5041" spans="6:7" x14ac:dyDescent="0.25">
      <c r="F5041">
        <v>5038</v>
      </c>
      <c r="G5041">
        <f ca="1">_xlfn.NORM.INV(RAND(),$M$7,$M$8)</f>
        <v>9.6390177147683415E-3</v>
      </c>
    </row>
    <row r="5042" spans="6:7" x14ac:dyDescent="0.25">
      <c r="F5042">
        <v>5039</v>
      </c>
      <c r="G5042">
        <f ca="1">_xlfn.NORM.INV(RAND(),$M$7,$M$8)</f>
        <v>-2.9888254544327801E-3</v>
      </c>
    </row>
    <row r="5043" spans="6:7" x14ac:dyDescent="0.25">
      <c r="F5043">
        <v>5040</v>
      </c>
      <c r="G5043">
        <f ca="1">_xlfn.NORM.INV(RAND(),$M$7,$M$8)</f>
        <v>1.7216239242809173E-2</v>
      </c>
    </row>
    <row r="5044" spans="6:7" x14ac:dyDescent="0.25">
      <c r="F5044">
        <v>5041</v>
      </c>
      <c r="G5044">
        <f ca="1">_xlfn.NORM.INV(RAND(),$M$7,$M$8)</f>
        <v>5.3342800849486838E-2</v>
      </c>
    </row>
    <row r="5045" spans="6:7" x14ac:dyDescent="0.25">
      <c r="F5045">
        <v>5042</v>
      </c>
      <c r="G5045">
        <f ca="1">_xlfn.NORM.INV(RAND(),$M$7,$M$8)</f>
        <v>-3.7456671371327306E-2</v>
      </c>
    </row>
    <row r="5046" spans="6:7" x14ac:dyDescent="0.25">
      <c r="F5046">
        <v>5043</v>
      </c>
      <c r="G5046">
        <f ca="1">_xlfn.NORM.INV(RAND(),$M$7,$M$8)</f>
        <v>-2.3182988407525262E-2</v>
      </c>
    </row>
    <row r="5047" spans="6:7" x14ac:dyDescent="0.25">
      <c r="F5047">
        <v>5044</v>
      </c>
      <c r="G5047">
        <f ca="1">_xlfn.NORM.INV(RAND(),$M$7,$M$8)</f>
        <v>-1.3647812777270752E-2</v>
      </c>
    </row>
    <row r="5048" spans="6:7" x14ac:dyDescent="0.25">
      <c r="F5048">
        <v>5045</v>
      </c>
      <c r="G5048">
        <f ca="1">_xlfn.NORM.INV(RAND(),$M$7,$M$8)</f>
        <v>-2.0248617944152444E-2</v>
      </c>
    </row>
    <row r="5049" spans="6:7" x14ac:dyDescent="0.25">
      <c r="F5049">
        <v>5046</v>
      </c>
      <c r="G5049">
        <f ca="1">_xlfn.NORM.INV(RAND(),$M$7,$M$8)</f>
        <v>7.5123195249733425E-3</v>
      </c>
    </row>
    <row r="5050" spans="6:7" x14ac:dyDescent="0.25">
      <c r="F5050">
        <v>5047</v>
      </c>
      <c r="G5050">
        <f ca="1">_xlfn.NORM.INV(RAND(),$M$7,$M$8)</f>
        <v>6.1349760053908079E-3</v>
      </c>
    </row>
    <row r="5051" spans="6:7" x14ac:dyDescent="0.25">
      <c r="F5051">
        <v>5048</v>
      </c>
      <c r="G5051">
        <f ca="1">_xlfn.NORM.INV(RAND(),$M$7,$M$8)</f>
        <v>-1.402590899144881E-2</v>
      </c>
    </row>
    <row r="5052" spans="6:7" x14ac:dyDescent="0.25">
      <c r="F5052">
        <v>5049</v>
      </c>
      <c r="G5052">
        <f ca="1">_xlfn.NORM.INV(RAND(),$M$7,$M$8)</f>
        <v>2.223785006102999E-2</v>
      </c>
    </row>
    <row r="5053" spans="6:7" x14ac:dyDescent="0.25">
      <c r="F5053">
        <v>5050</v>
      </c>
      <c r="G5053">
        <f ca="1">_xlfn.NORM.INV(RAND(),$M$7,$M$8)</f>
        <v>1.3756860735296934E-2</v>
      </c>
    </row>
    <row r="5054" spans="6:7" x14ac:dyDescent="0.25">
      <c r="F5054">
        <v>5051</v>
      </c>
      <c r="G5054">
        <f ca="1">_xlfn.NORM.INV(RAND(),$M$7,$M$8)</f>
        <v>3.7578950717169164E-2</v>
      </c>
    </row>
    <row r="5055" spans="6:7" x14ac:dyDescent="0.25">
      <c r="F5055">
        <v>5052</v>
      </c>
      <c r="G5055">
        <f ca="1">_xlfn.NORM.INV(RAND(),$M$7,$M$8)</f>
        <v>3.8017430797043221E-2</v>
      </c>
    </row>
    <row r="5056" spans="6:7" x14ac:dyDescent="0.25">
      <c r="F5056">
        <v>5053</v>
      </c>
      <c r="G5056">
        <f ca="1">_xlfn.NORM.INV(RAND(),$M$7,$M$8)</f>
        <v>6.7359000360142102E-3</v>
      </c>
    </row>
    <row r="5057" spans="6:7" x14ac:dyDescent="0.25">
      <c r="F5057">
        <v>5054</v>
      </c>
      <c r="G5057">
        <f ca="1">_xlfn.NORM.INV(RAND(),$M$7,$M$8)</f>
        <v>3.4919693227239465E-2</v>
      </c>
    </row>
    <row r="5058" spans="6:7" x14ac:dyDescent="0.25">
      <c r="F5058">
        <v>5055</v>
      </c>
      <c r="G5058">
        <f ca="1">_xlfn.NORM.INV(RAND(),$M$7,$M$8)</f>
        <v>1.760973690795832E-2</v>
      </c>
    </row>
    <row r="5059" spans="6:7" x14ac:dyDescent="0.25">
      <c r="F5059">
        <v>5056</v>
      </c>
      <c r="G5059">
        <f ca="1">_xlfn.NORM.INV(RAND(),$M$7,$M$8)</f>
        <v>1.3913733194902658E-2</v>
      </c>
    </row>
    <row r="5060" spans="6:7" x14ac:dyDescent="0.25">
      <c r="F5060">
        <v>5057</v>
      </c>
      <c r="G5060">
        <f ca="1">_xlfn.NORM.INV(RAND(),$M$7,$M$8)</f>
        <v>-1.9701120336628363E-2</v>
      </c>
    </row>
    <row r="5061" spans="6:7" x14ac:dyDescent="0.25">
      <c r="F5061">
        <v>5058</v>
      </c>
      <c r="G5061">
        <f ca="1">_xlfn.NORM.INV(RAND(),$M$7,$M$8)</f>
        <v>5.4419331003957759E-2</v>
      </c>
    </row>
    <row r="5062" spans="6:7" x14ac:dyDescent="0.25">
      <c r="F5062">
        <v>5059</v>
      </c>
      <c r="G5062">
        <f ca="1">_xlfn.NORM.INV(RAND(),$M$7,$M$8)</f>
        <v>-1.188369915665391E-2</v>
      </c>
    </row>
    <row r="5063" spans="6:7" x14ac:dyDescent="0.25">
      <c r="F5063">
        <v>5060</v>
      </c>
      <c r="G5063">
        <f ca="1">_xlfn.NORM.INV(RAND(),$M$7,$M$8)</f>
        <v>-6.5014308448402752E-2</v>
      </c>
    </row>
    <row r="5064" spans="6:7" x14ac:dyDescent="0.25">
      <c r="F5064">
        <v>5061</v>
      </c>
      <c r="G5064">
        <f ca="1">_xlfn.NORM.INV(RAND(),$M$7,$M$8)</f>
        <v>-2.9325454284989564E-2</v>
      </c>
    </row>
    <row r="5065" spans="6:7" x14ac:dyDescent="0.25">
      <c r="F5065">
        <v>5062</v>
      </c>
      <c r="G5065">
        <f ca="1">_xlfn.NORM.INV(RAND(),$M$7,$M$8)</f>
        <v>-3.0939123527346231E-3</v>
      </c>
    </row>
    <row r="5066" spans="6:7" x14ac:dyDescent="0.25">
      <c r="F5066">
        <v>5063</v>
      </c>
      <c r="G5066">
        <f ca="1">_xlfn.NORM.INV(RAND(),$M$7,$M$8)</f>
        <v>2.770182594676137E-2</v>
      </c>
    </row>
    <row r="5067" spans="6:7" x14ac:dyDescent="0.25">
      <c r="F5067">
        <v>5064</v>
      </c>
      <c r="G5067">
        <f ca="1">_xlfn.NORM.INV(RAND(),$M$7,$M$8)</f>
        <v>2.3284593459338233E-2</v>
      </c>
    </row>
    <row r="5068" spans="6:7" x14ac:dyDescent="0.25">
      <c r="F5068">
        <v>5065</v>
      </c>
      <c r="G5068">
        <f ca="1">_xlfn.NORM.INV(RAND(),$M$7,$M$8)</f>
        <v>-3.0410131746450308E-2</v>
      </c>
    </row>
    <row r="5069" spans="6:7" x14ac:dyDescent="0.25">
      <c r="F5069">
        <v>5066</v>
      </c>
      <c r="G5069">
        <f ca="1">_xlfn.NORM.INV(RAND(),$M$7,$M$8)</f>
        <v>2.4716349775671794E-3</v>
      </c>
    </row>
    <row r="5070" spans="6:7" x14ac:dyDescent="0.25">
      <c r="F5070">
        <v>5067</v>
      </c>
      <c r="G5070">
        <f ca="1">_xlfn.NORM.INV(RAND(),$M$7,$M$8)</f>
        <v>-4.0085329845446754E-3</v>
      </c>
    </row>
    <row r="5071" spans="6:7" x14ac:dyDescent="0.25">
      <c r="F5071">
        <v>5068</v>
      </c>
      <c r="G5071">
        <f ca="1">_xlfn.NORM.INV(RAND(),$M$7,$M$8)</f>
        <v>-4.6212065117722571E-2</v>
      </c>
    </row>
    <row r="5072" spans="6:7" x14ac:dyDescent="0.25">
      <c r="F5072">
        <v>5069</v>
      </c>
      <c r="G5072">
        <f ca="1">_xlfn.NORM.INV(RAND(),$M$7,$M$8)</f>
        <v>-5.6756338818219308E-3</v>
      </c>
    </row>
    <row r="5073" spans="6:7" x14ac:dyDescent="0.25">
      <c r="F5073">
        <v>5070</v>
      </c>
      <c r="G5073">
        <f ca="1">_xlfn.NORM.INV(RAND(),$M$7,$M$8)</f>
        <v>-1.8639949206254929E-2</v>
      </c>
    </row>
    <row r="5074" spans="6:7" x14ac:dyDescent="0.25">
      <c r="F5074">
        <v>5071</v>
      </c>
      <c r="G5074">
        <f ca="1">_xlfn.NORM.INV(RAND(),$M$7,$M$8)</f>
        <v>6.449009767863648E-3</v>
      </c>
    </row>
    <row r="5075" spans="6:7" x14ac:dyDescent="0.25">
      <c r="F5075">
        <v>5072</v>
      </c>
      <c r="G5075">
        <f ca="1">_xlfn.NORM.INV(RAND(),$M$7,$M$8)</f>
        <v>-2.1032441918108793E-2</v>
      </c>
    </row>
    <row r="5076" spans="6:7" x14ac:dyDescent="0.25">
      <c r="F5076">
        <v>5073</v>
      </c>
      <c r="G5076">
        <f ca="1">_xlfn.NORM.INV(RAND(),$M$7,$M$8)</f>
        <v>-1.9862395396375496E-2</v>
      </c>
    </row>
    <row r="5077" spans="6:7" x14ac:dyDescent="0.25">
      <c r="F5077">
        <v>5074</v>
      </c>
      <c r="G5077">
        <f ca="1">_xlfn.NORM.INV(RAND(),$M$7,$M$8)</f>
        <v>-1.7176098004096727E-2</v>
      </c>
    </row>
    <row r="5078" spans="6:7" x14ac:dyDescent="0.25">
      <c r="F5078">
        <v>5075</v>
      </c>
      <c r="G5078">
        <f ca="1">_xlfn.NORM.INV(RAND(),$M$7,$M$8)</f>
        <v>-1.7881499712921661E-2</v>
      </c>
    </row>
    <row r="5079" spans="6:7" x14ac:dyDescent="0.25">
      <c r="F5079">
        <v>5076</v>
      </c>
      <c r="G5079">
        <f ca="1">_xlfn.NORM.INV(RAND(),$M$7,$M$8)</f>
        <v>-1.5612507029264845E-3</v>
      </c>
    </row>
    <row r="5080" spans="6:7" x14ac:dyDescent="0.25">
      <c r="F5080">
        <v>5077</v>
      </c>
      <c r="G5080">
        <f ca="1">_xlfn.NORM.INV(RAND(),$M$7,$M$8)</f>
        <v>-2.8364244555829581E-2</v>
      </c>
    </row>
    <row r="5081" spans="6:7" x14ac:dyDescent="0.25">
      <c r="F5081">
        <v>5078</v>
      </c>
      <c r="G5081">
        <f ca="1">_xlfn.NORM.INV(RAND(),$M$7,$M$8)</f>
        <v>-3.4855922280221459E-3</v>
      </c>
    </row>
    <row r="5082" spans="6:7" x14ac:dyDescent="0.25">
      <c r="F5082">
        <v>5079</v>
      </c>
      <c r="G5082">
        <f ca="1">_xlfn.NORM.INV(RAND(),$M$7,$M$8)</f>
        <v>-1.9320978363554498E-2</v>
      </c>
    </row>
    <row r="5083" spans="6:7" x14ac:dyDescent="0.25">
      <c r="F5083">
        <v>5080</v>
      </c>
      <c r="G5083">
        <f ca="1">_xlfn.NORM.INV(RAND(),$M$7,$M$8)</f>
        <v>-1.6095494633465652E-3</v>
      </c>
    </row>
    <row r="5084" spans="6:7" x14ac:dyDescent="0.25">
      <c r="F5084">
        <v>5081</v>
      </c>
      <c r="G5084">
        <f ca="1">_xlfn.NORM.INV(RAND(),$M$7,$M$8)</f>
        <v>-9.5278606644110773E-3</v>
      </c>
    </row>
    <row r="5085" spans="6:7" x14ac:dyDescent="0.25">
      <c r="F5085">
        <v>5082</v>
      </c>
      <c r="G5085">
        <f ca="1">_xlfn.NORM.INV(RAND(),$M$7,$M$8)</f>
        <v>-3.2445428203157598E-3</v>
      </c>
    </row>
    <row r="5086" spans="6:7" x14ac:dyDescent="0.25">
      <c r="F5086">
        <v>5083</v>
      </c>
      <c r="G5086">
        <f ca="1">_xlfn.NORM.INV(RAND(),$M$7,$M$8)</f>
        <v>-1.7802531307971305E-2</v>
      </c>
    </row>
    <row r="5087" spans="6:7" x14ac:dyDescent="0.25">
      <c r="F5087">
        <v>5084</v>
      </c>
      <c r="G5087">
        <f ca="1">_xlfn.NORM.INV(RAND(),$M$7,$M$8)</f>
        <v>2.7387874165089962E-2</v>
      </c>
    </row>
    <row r="5088" spans="6:7" x14ac:dyDescent="0.25">
      <c r="F5088">
        <v>5085</v>
      </c>
      <c r="G5088">
        <f ca="1">_xlfn.NORM.INV(RAND(),$M$7,$M$8)</f>
        <v>5.0476635133402063E-3</v>
      </c>
    </row>
    <row r="5089" spans="6:7" x14ac:dyDescent="0.25">
      <c r="F5089">
        <v>5086</v>
      </c>
      <c r="G5089">
        <f ca="1">_xlfn.NORM.INV(RAND(),$M$7,$M$8)</f>
        <v>1.2412591930819544E-2</v>
      </c>
    </row>
    <row r="5090" spans="6:7" x14ac:dyDescent="0.25">
      <c r="F5090">
        <v>5087</v>
      </c>
      <c r="G5090">
        <f ca="1">_xlfn.NORM.INV(RAND(),$M$7,$M$8)</f>
        <v>1.0073216904845708E-2</v>
      </c>
    </row>
    <row r="5091" spans="6:7" x14ac:dyDescent="0.25">
      <c r="F5091">
        <v>5088</v>
      </c>
      <c r="G5091">
        <f ca="1">_xlfn.NORM.INV(RAND(),$M$7,$M$8)</f>
        <v>-2.0460983346528107E-2</v>
      </c>
    </row>
    <row r="5092" spans="6:7" x14ac:dyDescent="0.25">
      <c r="F5092">
        <v>5089</v>
      </c>
      <c r="G5092">
        <f ca="1">_xlfn.NORM.INV(RAND(),$M$7,$M$8)</f>
        <v>1.4420547184007619E-2</v>
      </c>
    </row>
    <row r="5093" spans="6:7" x14ac:dyDescent="0.25">
      <c r="F5093">
        <v>5090</v>
      </c>
      <c r="G5093">
        <f ca="1">_xlfn.NORM.INV(RAND(),$M$7,$M$8)</f>
        <v>3.7936498327406143E-2</v>
      </c>
    </row>
    <row r="5094" spans="6:7" x14ac:dyDescent="0.25">
      <c r="F5094">
        <v>5091</v>
      </c>
      <c r="G5094">
        <f ca="1">_xlfn.NORM.INV(RAND(),$M$7,$M$8)</f>
        <v>1.2490857919317578E-2</v>
      </c>
    </row>
    <row r="5095" spans="6:7" x14ac:dyDescent="0.25">
      <c r="F5095">
        <v>5092</v>
      </c>
      <c r="G5095">
        <f ca="1">_xlfn.NORM.INV(RAND(),$M$7,$M$8)</f>
        <v>-3.9851900949526856E-2</v>
      </c>
    </row>
    <row r="5096" spans="6:7" x14ac:dyDescent="0.25">
      <c r="F5096">
        <v>5093</v>
      </c>
      <c r="G5096">
        <f ca="1">_xlfn.NORM.INV(RAND(),$M$7,$M$8)</f>
        <v>-2.4482025824306718E-2</v>
      </c>
    </row>
    <row r="5097" spans="6:7" x14ac:dyDescent="0.25">
      <c r="F5097">
        <v>5094</v>
      </c>
      <c r="G5097">
        <f ca="1">_xlfn.NORM.INV(RAND(),$M$7,$M$8)</f>
        <v>-6.0676112902096849E-3</v>
      </c>
    </row>
    <row r="5098" spans="6:7" x14ac:dyDescent="0.25">
      <c r="F5098">
        <v>5095</v>
      </c>
      <c r="G5098">
        <f ca="1">_xlfn.NORM.INV(RAND(),$M$7,$M$8)</f>
        <v>8.409310737745937E-3</v>
      </c>
    </row>
    <row r="5099" spans="6:7" x14ac:dyDescent="0.25">
      <c r="F5099">
        <v>5096</v>
      </c>
      <c r="G5099">
        <f ca="1">_xlfn.NORM.INV(RAND(),$M$7,$M$8)</f>
        <v>1.4305958666025895E-2</v>
      </c>
    </row>
    <row r="5100" spans="6:7" x14ac:dyDescent="0.25">
      <c r="F5100">
        <v>5097</v>
      </c>
      <c r="G5100">
        <f ca="1">_xlfn.NORM.INV(RAND(),$M$7,$M$8)</f>
        <v>-1.6301543781899554E-2</v>
      </c>
    </row>
    <row r="5101" spans="6:7" x14ac:dyDescent="0.25">
      <c r="F5101">
        <v>5098</v>
      </c>
      <c r="G5101">
        <f ca="1">_xlfn.NORM.INV(RAND(),$M$7,$M$8)</f>
        <v>-3.1707267395749265E-3</v>
      </c>
    </row>
    <row r="5102" spans="6:7" x14ac:dyDescent="0.25">
      <c r="F5102">
        <v>5099</v>
      </c>
      <c r="G5102">
        <f ca="1">_xlfn.NORM.INV(RAND(),$M$7,$M$8)</f>
        <v>-1.5474513980690493E-2</v>
      </c>
    </row>
    <row r="5103" spans="6:7" x14ac:dyDescent="0.25">
      <c r="F5103">
        <v>5100</v>
      </c>
      <c r="G5103">
        <f ca="1">_xlfn.NORM.INV(RAND(),$M$7,$M$8)</f>
        <v>2.2818500649210314E-3</v>
      </c>
    </row>
    <row r="5104" spans="6:7" x14ac:dyDescent="0.25">
      <c r="F5104">
        <v>5101</v>
      </c>
      <c r="G5104">
        <f ca="1">_xlfn.NORM.INV(RAND(),$M$7,$M$8)</f>
        <v>-1.1649022677714668E-2</v>
      </c>
    </row>
    <row r="5105" spans="6:7" x14ac:dyDescent="0.25">
      <c r="F5105">
        <v>5102</v>
      </c>
      <c r="G5105">
        <f ca="1">_xlfn.NORM.INV(RAND(),$M$7,$M$8)</f>
        <v>-1.6440657077947885E-2</v>
      </c>
    </row>
    <row r="5106" spans="6:7" x14ac:dyDescent="0.25">
      <c r="F5106">
        <v>5103</v>
      </c>
      <c r="G5106">
        <f ca="1">_xlfn.NORM.INV(RAND(),$M$7,$M$8)</f>
        <v>3.78954904866708E-3</v>
      </c>
    </row>
    <row r="5107" spans="6:7" x14ac:dyDescent="0.25">
      <c r="F5107">
        <v>5104</v>
      </c>
      <c r="G5107">
        <f ca="1">_xlfn.NORM.INV(RAND(),$M$7,$M$8)</f>
        <v>-1.2433188514549311E-2</v>
      </c>
    </row>
    <row r="5108" spans="6:7" x14ac:dyDescent="0.25">
      <c r="F5108">
        <v>5105</v>
      </c>
      <c r="G5108">
        <f ca="1">_xlfn.NORM.INV(RAND(),$M$7,$M$8)</f>
        <v>-1.0510600273801036E-2</v>
      </c>
    </row>
    <row r="5109" spans="6:7" x14ac:dyDescent="0.25">
      <c r="F5109">
        <v>5106</v>
      </c>
      <c r="G5109">
        <f ca="1">_xlfn.NORM.INV(RAND(),$M$7,$M$8)</f>
        <v>-1.3770849130267444E-2</v>
      </c>
    </row>
    <row r="5110" spans="6:7" x14ac:dyDescent="0.25">
      <c r="F5110">
        <v>5107</v>
      </c>
      <c r="G5110">
        <f ca="1">_xlfn.NORM.INV(RAND(),$M$7,$M$8)</f>
        <v>-5.6858723108708445E-3</v>
      </c>
    </row>
    <row r="5111" spans="6:7" x14ac:dyDescent="0.25">
      <c r="F5111">
        <v>5108</v>
      </c>
      <c r="G5111">
        <f ca="1">_xlfn.NORM.INV(RAND(),$M$7,$M$8)</f>
        <v>9.6883989162239049E-3</v>
      </c>
    </row>
    <row r="5112" spans="6:7" x14ac:dyDescent="0.25">
      <c r="F5112">
        <v>5109</v>
      </c>
      <c r="G5112">
        <f ca="1">_xlfn.NORM.INV(RAND(),$M$7,$M$8)</f>
        <v>-1.9951284832199243E-2</v>
      </c>
    </row>
    <row r="5113" spans="6:7" x14ac:dyDescent="0.25">
      <c r="F5113">
        <v>5110</v>
      </c>
      <c r="G5113">
        <f ca="1">_xlfn.NORM.INV(RAND(),$M$7,$M$8)</f>
        <v>-1.0170094715328709E-2</v>
      </c>
    </row>
    <row r="5114" spans="6:7" x14ac:dyDescent="0.25">
      <c r="F5114">
        <v>5111</v>
      </c>
      <c r="G5114">
        <f ca="1">_xlfn.NORM.INV(RAND(),$M$7,$M$8)</f>
        <v>-1.4884190045201955E-2</v>
      </c>
    </row>
    <row r="5115" spans="6:7" x14ac:dyDescent="0.25">
      <c r="F5115">
        <v>5112</v>
      </c>
      <c r="G5115">
        <f ca="1">_xlfn.NORM.INV(RAND(),$M$7,$M$8)</f>
        <v>2.6136307592346381E-2</v>
      </c>
    </row>
    <row r="5116" spans="6:7" x14ac:dyDescent="0.25">
      <c r="F5116">
        <v>5113</v>
      </c>
      <c r="G5116">
        <f ca="1">_xlfn.NORM.INV(RAND(),$M$7,$M$8)</f>
        <v>2.3017900817860707E-2</v>
      </c>
    </row>
    <row r="5117" spans="6:7" x14ac:dyDescent="0.25">
      <c r="F5117">
        <v>5114</v>
      </c>
      <c r="G5117">
        <f ca="1">_xlfn.NORM.INV(RAND(),$M$7,$M$8)</f>
        <v>-3.7544368448431245E-2</v>
      </c>
    </row>
    <row r="5118" spans="6:7" x14ac:dyDescent="0.25">
      <c r="F5118">
        <v>5115</v>
      </c>
      <c r="G5118">
        <f ca="1">_xlfn.NORM.INV(RAND(),$M$7,$M$8)</f>
        <v>-7.8038981446077998E-3</v>
      </c>
    </row>
    <row r="5119" spans="6:7" x14ac:dyDescent="0.25">
      <c r="F5119">
        <v>5116</v>
      </c>
      <c r="G5119">
        <f ca="1">_xlfn.NORM.INV(RAND(),$M$7,$M$8)</f>
        <v>1.5153004431435482E-2</v>
      </c>
    </row>
    <row r="5120" spans="6:7" x14ac:dyDescent="0.25">
      <c r="F5120">
        <v>5117</v>
      </c>
      <c r="G5120">
        <f ca="1">_xlfn.NORM.INV(RAND(),$M$7,$M$8)</f>
        <v>6.852112729902082E-3</v>
      </c>
    </row>
    <row r="5121" spans="6:7" x14ac:dyDescent="0.25">
      <c r="F5121">
        <v>5118</v>
      </c>
      <c r="G5121">
        <f ca="1">_xlfn.NORM.INV(RAND(),$M$7,$M$8)</f>
        <v>6.0976696301649896E-3</v>
      </c>
    </row>
    <row r="5122" spans="6:7" x14ac:dyDescent="0.25">
      <c r="F5122">
        <v>5119</v>
      </c>
      <c r="G5122">
        <f ca="1">_xlfn.NORM.INV(RAND(),$M$7,$M$8)</f>
        <v>-4.6966222460325328E-2</v>
      </c>
    </row>
    <row r="5123" spans="6:7" x14ac:dyDescent="0.25">
      <c r="F5123">
        <v>5120</v>
      </c>
      <c r="G5123">
        <f ca="1">_xlfn.NORM.INV(RAND(),$M$7,$M$8)</f>
        <v>-6.5221912970942035E-3</v>
      </c>
    </row>
    <row r="5124" spans="6:7" x14ac:dyDescent="0.25">
      <c r="F5124">
        <v>5121</v>
      </c>
      <c r="G5124">
        <f ca="1">_xlfn.NORM.INV(RAND(),$M$7,$M$8)</f>
        <v>1.7471480787636589E-2</v>
      </c>
    </row>
    <row r="5125" spans="6:7" x14ac:dyDescent="0.25">
      <c r="F5125">
        <v>5122</v>
      </c>
      <c r="G5125">
        <f ca="1">_xlfn.NORM.INV(RAND(),$M$7,$M$8)</f>
        <v>6.6151073669982685E-2</v>
      </c>
    </row>
    <row r="5126" spans="6:7" x14ac:dyDescent="0.25">
      <c r="F5126">
        <v>5123</v>
      </c>
      <c r="G5126">
        <f ca="1">_xlfn.NORM.INV(RAND(),$M$7,$M$8)</f>
        <v>-4.8116236868924623E-3</v>
      </c>
    </row>
    <row r="5127" spans="6:7" x14ac:dyDescent="0.25">
      <c r="F5127">
        <v>5124</v>
      </c>
      <c r="G5127">
        <f ca="1">_xlfn.NORM.INV(RAND(),$M$7,$M$8)</f>
        <v>3.2775844736381857E-2</v>
      </c>
    </row>
    <row r="5128" spans="6:7" x14ac:dyDescent="0.25">
      <c r="F5128">
        <v>5125</v>
      </c>
      <c r="G5128">
        <f ca="1">_xlfn.NORM.INV(RAND(),$M$7,$M$8)</f>
        <v>1.1406674143475003E-2</v>
      </c>
    </row>
    <row r="5129" spans="6:7" x14ac:dyDescent="0.25">
      <c r="F5129">
        <v>5126</v>
      </c>
      <c r="G5129">
        <f ca="1">_xlfn.NORM.INV(RAND(),$M$7,$M$8)</f>
        <v>-1.9768110862188396E-2</v>
      </c>
    </row>
    <row r="5130" spans="6:7" x14ac:dyDescent="0.25">
      <c r="F5130">
        <v>5127</v>
      </c>
      <c r="G5130">
        <f ca="1">_xlfn.NORM.INV(RAND(),$M$7,$M$8)</f>
        <v>4.4436712064591335E-2</v>
      </c>
    </row>
    <row r="5131" spans="6:7" x14ac:dyDescent="0.25">
      <c r="F5131">
        <v>5128</v>
      </c>
      <c r="G5131">
        <f ca="1">_xlfn.NORM.INV(RAND(),$M$7,$M$8)</f>
        <v>1.9414117971026438E-2</v>
      </c>
    </row>
    <row r="5132" spans="6:7" x14ac:dyDescent="0.25">
      <c r="F5132">
        <v>5129</v>
      </c>
      <c r="G5132">
        <f ca="1">_xlfn.NORM.INV(RAND(),$M$7,$M$8)</f>
        <v>-1.9457563202385331E-2</v>
      </c>
    </row>
    <row r="5133" spans="6:7" x14ac:dyDescent="0.25">
      <c r="F5133">
        <v>5130</v>
      </c>
      <c r="G5133">
        <f ca="1">_xlfn.NORM.INV(RAND(),$M$7,$M$8)</f>
        <v>1.3589795376309605E-3</v>
      </c>
    </row>
    <row r="5134" spans="6:7" x14ac:dyDescent="0.25">
      <c r="F5134">
        <v>5131</v>
      </c>
      <c r="G5134">
        <f ca="1">_xlfn.NORM.INV(RAND(),$M$7,$M$8)</f>
        <v>1.6229080083036456E-2</v>
      </c>
    </row>
    <row r="5135" spans="6:7" x14ac:dyDescent="0.25">
      <c r="F5135">
        <v>5132</v>
      </c>
      <c r="G5135">
        <f ca="1">_xlfn.NORM.INV(RAND(),$M$7,$M$8)</f>
        <v>-1.4526563400828111E-2</v>
      </c>
    </row>
    <row r="5136" spans="6:7" x14ac:dyDescent="0.25">
      <c r="F5136">
        <v>5133</v>
      </c>
      <c r="G5136">
        <f ca="1">_xlfn.NORM.INV(RAND(),$M$7,$M$8)</f>
        <v>-1.3807599050702416E-2</v>
      </c>
    </row>
    <row r="5137" spans="6:7" x14ac:dyDescent="0.25">
      <c r="F5137">
        <v>5134</v>
      </c>
      <c r="G5137">
        <f ca="1">_xlfn.NORM.INV(RAND(),$M$7,$M$8)</f>
        <v>-2.3798814562273257E-2</v>
      </c>
    </row>
    <row r="5138" spans="6:7" x14ac:dyDescent="0.25">
      <c r="F5138">
        <v>5135</v>
      </c>
      <c r="G5138">
        <f ca="1">_xlfn.NORM.INV(RAND(),$M$7,$M$8)</f>
        <v>1.7554603926173504E-2</v>
      </c>
    </row>
    <row r="5139" spans="6:7" x14ac:dyDescent="0.25">
      <c r="F5139">
        <v>5136</v>
      </c>
      <c r="G5139">
        <f ca="1">_xlfn.NORM.INV(RAND(),$M$7,$M$8)</f>
        <v>1.7506377638727453E-2</v>
      </c>
    </row>
    <row r="5140" spans="6:7" x14ac:dyDescent="0.25">
      <c r="F5140">
        <v>5137</v>
      </c>
      <c r="G5140">
        <f ca="1">_xlfn.NORM.INV(RAND(),$M$7,$M$8)</f>
        <v>-1.0782210306581578E-2</v>
      </c>
    </row>
    <row r="5141" spans="6:7" x14ac:dyDescent="0.25">
      <c r="F5141">
        <v>5138</v>
      </c>
      <c r="G5141">
        <f ca="1">_xlfn.NORM.INV(RAND(),$M$7,$M$8)</f>
        <v>1.8758673618812782E-2</v>
      </c>
    </row>
    <row r="5142" spans="6:7" x14ac:dyDescent="0.25">
      <c r="F5142">
        <v>5139</v>
      </c>
      <c r="G5142">
        <f ca="1">_xlfn.NORM.INV(RAND(),$M$7,$M$8)</f>
        <v>6.397912572103084E-3</v>
      </c>
    </row>
    <row r="5143" spans="6:7" x14ac:dyDescent="0.25">
      <c r="F5143">
        <v>5140</v>
      </c>
      <c r="G5143">
        <f ca="1">_xlfn.NORM.INV(RAND(),$M$7,$M$8)</f>
        <v>-3.2392955986254982E-2</v>
      </c>
    </row>
    <row r="5144" spans="6:7" x14ac:dyDescent="0.25">
      <c r="F5144">
        <v>5141</v>
      </c>
      <c r="G5144">
        <f ca="1">_xlfn.NORM.INV(RAND(),$M$7,$M$8)</f>
        <v>-2.3758461729702647E-2</v>
      </c>
    </row>
    <row r="5145" spans="6:7" x14ac:dyDescent="0.25">
      <c r="F5145">
        <v>5142</v>
      </c>
      <c r="G5145">
        <f ca="1">_xlfn.NORM.INV(RAND(),$M$7,$M$8)</f>
        <v>9.9796117841689305E-3</v>
      </c>
    </row>
    <row r="5146" spans="6:7" x14ac:dyDescent="0.25">
      <c r="F5146">
        <v>5143</v>
      </c>
      <c r="G5146">
        <f ca="1">_xlfn.NORM.INV(RAND(),$M$7,$M$8)</f>
        <v>1.8563552913557703E-3</v>
      </c>
    </row>
    <row r="5147" spans="6:7" x14ac:dyDescent="0.25">
      <c r="F5147">
        <v>5144</v>
      </c>
      <c r="G5147">
        <f ca="1">_xlfn.NORM.INV(RAND(),$M$7,$M$8)</f>
        <v>-1.2441819436771185E-2</v>
      </c>
    </row>
    <row r="5148" spans="6:7" x14ac:dyDescent="0.25">
      <c r="F5148">
        <v>5145</v>
      </c>
      <c r="G5148">
        <f ca="1">_xlfn.NORM.INV(RAND(),$M$7,$M$8)</f>
        <v>-1.0881708422777041E-2</v>
      </c>
    </row>
    <row r="5149" spans="6:7" x14ac:dyDescent="0.25">
      <c r="F5149">
        <v>5146</v>
      </c>
      <c r="G5149">
        <f ca="1">_xlfn.NORM.INV(RAND(),$M$7,$M$8)</f>
        <v>-3.172670794366364E-2</v>
      </c>
    </row>
    <row r="5150" spans="6:7" x14ac:dyDescent="0.25">
      <c r="F5150">
        <v>5147</v>
      </c>
      <c r="G5150">
        <f ca="1">_xlfn.NORM.INV(RAND(),$M$7,$M$8)</f>
        <v>1.0922432530793318E-2</v>
      </c>
    </row>
    <row r="5151" spans="6:7" x14ac:dyDescent="0.25">
      <c r="F5151">
        <v>5148</v>
      </c>
      <c r="G5151">
        <f ca="1">_xlfn.NORM.INV(RAND(),$M$7,$M$8)</f>
        <v>1.3924607268438378E-4</v>
      </c>
    </row>
    <row r="5152" spans="6:7" x14ac:dyDescent="0.25">
      <c r="F5152">
        <v>5149</v>
      </c>
      <c r="G5152">
        <f ca="1">_xlfn.NORM.INV(RAND(),$M$7,$M$8)</f>
        <v>-2.0154751029543932E-2</v>
      </c>
    </row>
    <row r="5153" spans="6:7" x14ac:dyDescent="0.25">
      <c r="F5153">
        <v>5150</v>
      </c>
      <c r="G5153">
        <f ca="1">_xlfn.NORM.INV(RAND(),$M$7,$M$8)</f>
        <v>1.268530242058283E-2</v>
      </c>
    </row>
    <row r="5154" spans="6:7" x14ac:dyDescent="0.25">
      <c r="F5154">
        <v>5151</v>
      </c>
      <c r="G5154">
        <f ca="1">_xlfn.NORM.INV(RAND(),$M$7,$M$8)</f>
        <v>1.3184612421220675E-2</v>
      </c>
    </row>
    <row r="5155" spans="6:7" x14ac:dyDescent="0.25">
      <c r="F5155">
        <v>5152</v>
      </c>
      <c r="G5155">
        <f ca="1">_xlfn.NORM.INV(RAND(),$M$7,$M$8)</f>
        <v>-3.9742755266884831E-2</v>
      </c>
    </row>
    <row r="5156" spans="6:7" x14ac:dyDescent="0.25">
      <c r="F5156">
        <v>5153</v>
      </c>
      <c r="G5156">
        <f ca="1">_xlfn.NORM.INV(RAND(),$M$7,$M$8)</f>
        <v>2.0958199094815787E-3</v>
      </c>
    </row>
    <row r="5157" spans="6:7" x14ac:dyDescent="0.25">
      <c r="F5157">
        <v>5154</v>
      </c>
      <c r="G5157">
        <f ca="1">_xlfn.NORM.INV(RAND(),$M$7,$M$8)</f>
        <v>1.4171988564674492E-3</v>
      </c>
    </row>
    <row r="5158" spans="6:7" x14ac:dyDescent="0.25">
      <c r="F5158">
        <v>5155</v>
      </c>
      <c r="G5158">
        <f ca="1">_xlfn.NORM.INV(RAND(),$M$7,$M$8)</f>
        <v>7.0374945058137399E-3</v>
      </c>
    </row>
    <row r="5159" spans="6:7" x14ac:dyDescent="0.25">
      <c r="F5159">
        <v>5156</v>
      </c>
      <c r="G5159">
        <f ca="1">_xlfn.NORM.INV(RAND(),$M$7,$M$8)</f>
        <v>4.9209963505029056E-2</v>
      </c>
    </row>
    <row r="5160" spans="6:7" x14ac:dyDescent="0.25">
      <c r="F5160">
        <v>5157</v>
      </c>
      <c r="G5160">
        <f ca="1">_xlfn.NORM.INV(RAND(),$M$7,$M$8)</f>
        <v>1.2796678432030592E-2</v>
      </c>
    </row>
    <row r="5161" spans="6:7" x14ac:dyDescent="0.25">
      <c r="F5161">
        <v>5158</v>
      </c>
      <c r="G5161">
        <f ca="1">_xlfn.NORM.INV(RAND(),$M$7,$M$8)</f>
        <v>-1.2141249709449856E-2</v>
      </c>
    </row>
    <row r="5162" spans="6:7" x14ac:dyDescent="0.25">
      <c r="F5162">
        <v>5159</v>
      </c>
      <c r="G5162">
        <f ca="1">_xlfn.NORM.INV(RAND(),$M$7,$M$8)</f>
        <v>3.6649097198646674E-2</v>
      </c>
    </row>
    <row r="5163" spans="6:7" x14ac:dyDescent="0.25">
      <c r="F5163">
        <v>5160</v>
      </c>
      <c r="G5163">
        <f ca="1">_xlfn.NORM.INV(RAND(),$M$7,$M$8)</f>
        <v>-3.8424005702123613E-2</v>
      </c>
    </row>
    <row r="5164" spans="6:7" x14ac:dyDescent="0.25">
      <c r="F5164">
        <v>5161</v>
      </c>
      <c r="G5164">
        <f ca="1">_xlfn.NORM.INV(RAND(),$M$7,$M$8)</f>
        <v>7.582474602965121E-3</v>
      </c>
    </row>
    <row r="5165" spans="6:7" x14ac:dyDescent="0.25">
      <c r="F5165">
        <v>5162</v>
      </c>
      <c r="G5165">
        <f ca="1">_xlfn.NORM.INV(RAND(),$M$7,$M$8)</f>
        <v>2.817566683770404E-2</v>
      </c>
    </row>
    <row r="5166" spans="6:7" x14ac:dyDescent="0.25">
      <c r="F5166">
        <v>5163</v>
      </c>
      <c r="G5166">
        <f ca="1">_xlfn.NORM.INV(RAND(),$M$7,$M$8)</f>
        <v>-2.5011133539218989E-3</v>
      </c>
    </row>
    <row r="5167" spans="6:7" x14ac:dyDescent="0.25">
      <c r="F5167">
        <v>5164</v>
      </c>
      <c r="G5167">
        <f ca="1">_xlfn.NORM.INV(RAND(),$M$7,$M$8)</f>
        <v>-5.7700409739053059E-3</v>
      </c>
    </row>
    <row r="5168" spans="6:7" x14ac:dyDescent="0.25">
      <c r="F5168">
        <v>5165</v>
      </c>
      <c r="G5168">
        <f ca="1">_xlfn.NORM.INV(RAND(),$M$7,$M$8)</f>
        <v>3.2614282298249419E-3</v>
      </c>
    </row>
    <row r="5169" spans="6:7" x14ac:dyDescent="0.25">
      <c r="F5169">
        <v>5166</v>
      </c>
      <c r="G5169">
        <f ca="1">_xlfn.NORM.INV(RAND(),$M$7,$M$8)</f>
        <v>9.0784713518691756E-3</v>
      </c>
    </row>
    <row r="5170" spans="6:7" x14ac:dyDescent="0.25">
      <c r="F5170">
        <v>5167</v>
      </c>
      <c r="G5170">
        <f ca="1">_xlfn.NORM.INV(RAND(),$M$7,$M$8)</f>
        <v>1.9796644767501349E-3</v>
      </c>
    </row>
    <row r="5171" spans="6:7" x14ac:dyDescent="0.25">
      <c r="F5171">
        <v>5168</v>
      </c>
      <c r="G5171">
        <f ca="1">_xlfn.NORM.INV(RAND(),$M$7,$M$8)</f>
        <v>2.4755151072018259E-2</v>
      </c>
    </row>
    <row r="5172" spans="6:7" x14ac:dyDescent="0.25">
      <c r="F5172">
        <v>5169</v>
      </c>
      <c r="G5172">
        <f ca="1">_xlfn.NORM.INV(RAND(),$M$7,$M$8)</f>
        <v>1.4113722736404145E-2</v>
      </c>
    </row>
    <row r="5173" spans="6:7" x14ac:dyDescent="0.25">
      <c r="F5173">
        <v>5170</v>
      </c>
      <c r="G5173">
        <f ca="1">_xlfn.NORM.INV(RAND(),$M$7,$M$8)</f>
        <v>9.4416914998005207E-3</v>
      </c>
    </row>
    <row r="5174" spans="6:7" x14ac:dyDescent="0.25">
      <c r="F5174">
        <v>5171</v>
      </c>
      <c r="G5174">
        <f ca="1">_xlfn.NORM.INV(RAND(),$M$7,$M$8)</f>
        <v>9.7542849361551681E-4</v>
      </c>
    </row>
    <row r="5175" spans="6:7" x14ac:dyDescent="0.25">
      <c r="F5175">
        <v>5172</v>
      </c>
      <c r="G5175">
        <f ca="1">_xlfn.NORM.INV(RAND(),$M$7,$M$8)</f>
        <v>4.2004938243841272E-2</v>
      </c>
    </row>
    <row r="5176" spans="6:7" x14ac:dyDescent="0.25">
      <c r="F5176">
        <v>5173</v>
      </c>
      <c r="G5176">
        <f ca="1">_xlfn.NORM.INV(RAND(),$M$7,$M$8)</f>
        <v>3.5522801497455572E-3</v>
      </c>
    </row>
    <row r="5177" spans="6:7" x14ac:dyDescent="0.25">
      <c r="F5177">
        <v>5174</v>
      </c>
      <c r="G5177">
        <f ca="1">_xlfn.NORM.INV(RAND(),$M$7,$M$8)</f>
        <v>1.5915592432785151E-2</v>
      </c>
    </row>
    <row r="5178" spans="6:7" x14ac:dyDescent="0.25">
      <c r="F5178">
        <v>5175</v>
      </c>
      <c r="G5178">
        <f ca="1">_xlfn.NORM.INV(RAND(),$M$7,$M$8)</f>
        <v>-2.0335279156517429E-2</v>
      </c>
    </row>
    <row r="5179" spans="6:7" x14ac:dyDescent="0.25">
      <c r="F5179">
        <v>5176</v>
      </c>
      <c r="G5179">
        <f ca="1">_xlfn.NORM.INV(RAND(),$M$7,$M$8)</f>
        <v>-4.9194529143607689E-3</v>
      </c>
    </row>
    <row r="5180" spans="6:7" x14ac:dyDescent="0.25">
      <c r="F5180">
        <v>5177</v>
      </c>
      <c r="G5180">
        <f ca="1">_xlfn.NORM.INV(RAND(),$M$7,$M$8)</f>
        <v>-9.4179223881456185E-3</v>
      </c>
    </row>
    <row r="5181" spans="6:7" x14ac:dyDescent="0.25">
      <c r="F5181">
        <v>5178</v>
      </c>
      <c r="G5181">
        <f ca="1">_xlfn.NORM.INV(RAND(),$M$7,$M$8)</f>
        <v>4.8772871135094452E-2</v>
      </c>
    </row>
    <row r="5182" spans="6:7" x14ac:dyDescent="0.25">
      <c r="F5182">
        <v>5179</v>
      </c>
      <c r="G5182">
        <f ca="1">_xlfn.NORM.INV(RAND(),$M$7,$M$8)</f>
        <v>-1.704475975058764E-2</v>
      </c>
    </row>
    <row r="5183" spans="6:7" x14ac:dyDescent="0.25">
      <c r="F5183">
        <v>5180</v>
      </c>
      <c r="G5183">
        <f ca="1">_xlfn.NORM.INV(RAND(),$M$7,$M$8)</f>
        <v>-5.3794668535493868E-3</v>
      </c>
    </row>
    <row r="5184" spans="6:7" x14ac:dyDescent="0.25">
      <c r="F5184">
        <v>5181</v>
      </c>
      <c r="G5184">
        <f ca="1">_xlfn.NORM.INV(RAND(),$M$7,$M$8)</f>
        <v>2.9917946999587219E-5</v>
      </c>
    </row>
    <row r="5185" spans="6:7" x14ac:dyDescent="0.25">
      <c r="F5185">
        <v>5182</v>
      </c>
      <c r="G5185">
        <f ca="1">_xlfn.NORM.INV(RAND(),$M$7,$M$8)</f>
        <v>-2.1401079486351436E-3</v>
      </c>
    </row>
    <row r="5186" spans="6:7" x14ac:dyDescent="0.25">
      <c r="F5186">
        <v>5183</v>
      </c>
      <c r="G5186">
        <f ca="1">_xlfn.NORM.INV(RAND(),$M$7,$M$8)</f>
        <v>8.7855697510398467E-3</v>
      </c>
    </row>
    <row r="5187" spans="6:7" x14ac:dyDescent="0.25">
      <c r="F5187">
        <v>5184</v>
      </c>
      <c r="G5187">
        <f ca="1">_xlfn.NORM.INV(RAND(),$M$7,$M$8)</f>
        <v>1.5382387343184568E-2</v>
      </c>
    </row>
    <row r="5188" spans="6:7" x14ac:dyDescent="0.25">
      <c r="F5188">
        <v>5185</v>
      </c>
      <c r="G5188">
        <f ca="1">_xlfn.NORM.INV(RAND(),$M$7,$M$8)</f>
        <v>-2.4408692575703324E-2</v>
      </c>
    </row>
    <row r="5189" spans="6:7" x14ac:dyDescent="0.25">
      <c r="F5189">
        <v>5186</v>
      </c>
      <c r="G5189">
        <f ca="1">_xlfn.NORM.INV(RAND(),$M$7,$M$8)</f>
        <v>-1.2911518812410209E-2</v>
      </c>
    </row>
    <row r="5190" spans="6:7" x14ac:dyDescent="0.25">
      <c r="F5190">
        <v>5187</v>
      </c>
      <c r="G5190">
        <f ca="1">_xlfn.NORM.INV(RAND(),$M$7,$M$8)</f>
        <v>-5.2762840962523073E-3</v>
      </c>
    </row>
    <row r="5191" spans="6:7" x14ac:dyDescent="0.25">
      <c r="F5191">
        <v>5188</v>
      </c>
      <c r="G5191">
        <f ca="1">_xlfn.NORM.INV(RAND(),$M$7,$M$8)</f>
        <v>1.185557705049106E-2</v>
      </c>
    </row>
    <row r="5192" spans="6:7" x14ac:dyDescent="0.25">
      <c r="F5192">
        <v>5189</v>
      </c>
      <c r="G5192">
        <f ca="1">_xlfn.NORM.INV(RAND(),$M$7,$M$8)</f>
        <v>1.6926475822803461E-2</v>
      </c>
    </row>
    <row r="5193" spans="6:7" x14ac:dyDescent="0.25">
      <c r="F5193">
        <v>5190</v>
      </c>
      <c r="G5193">
        <f ca="1">_xlfn.NORM.INV(RAND(),$M$7,$M$8)</f>
        <v>5.5227352626449119E-3</v>
      </c>
    </row>
    <row r="5194" spans="6:7" x14ac:dyDescent="0.25">
      <c r="F5194">
        <v>5191</v>
      </c>
      <c r="G5194">
        <f ca="1">_xlfn.NORM.INV(RAND(),$M$7,$M$8)</f>
        <v>-1.6795407845563205E-2</v>
      </c>
    </row>
    <row r="5195" spans="6:7" x14ac:dyDescent="0.25">
      <c r="F5195">
        <v>5192</v>
      </c>
      <c r="G5195">
        <f ca="1">_xlfn.NORM.INV(RAND(),$M$7,$M$8)</f>
        <v>-3.0947938331214463E-2</v>
      </c>
    </row>
    <row r="5196" spans="6:7" x14ac:dyDescent="0.25">
      <c r="F5196">
        <v>5193</v>
      </c>
      <c r="G5196">
        <f ca="1">_xlfn.NORM.INV(RAND(),$M$7,$M$8)</f>
        <v>1.3286967390652547E-2</v>
      </c>
    </row>
    <row r="5197" spans="6:7" x14ac:dyDescent="0.25">
      <c r="F5197">
        <v>5194</v>
      </c>
      <c r="G5197">
        <f ca="1">_xlfn.NORM.INV(RAND(),$M$7,$M$8)</f>
        <v>3.6710082946868297E-2</v>
      </c>
    </row>
    <row r="5198" spans="6:7" x14ac:dyDescent="0.25">
      <c r="F5198">
        <v>5195</v>
      </c>
      <c r="G5198">
        <f ca="1">_xlfn.NORM.INV(RAND(),$M$7,$M$8)</f>
        <v>2.9370284387760279E-2</v>
      </c>
    </row>
    <row r="5199" spans="6:7" x14ac:dyDescent="0.25">
      <c r="F5199">
        <v>5196</v>
      </c>
      <c r="G5199">
        <f ca="1">_xlfn.NORM.INV(RAND(),$M$7,$M$8)</f>
        <v>1.9484208557370743E-2</v>
      </c>
    </row>
    <row r="5200" spans="6:7" x14ac:dyDescent="0.25">
      <c r="F5200">
        <v>5197</v>
      </c>
      <c r="G5200">
        <f ca="1">_xlfn.NORM.INV(RAND(),$M$7,$M$8)</f>
        <v>1.5064852776996129E-2</v>
      </c>
    </row>
    <row r="5201" spans="6:7" x14ac:dyDescent="0.25">
      <c r="F5201">
        <v>5198</v>
      </c>
      <c r="G5201">
        <f ca="1">_xlfn.NORM.INV(RAND(),$M$7,$M$8)</f>
        <v>-7.0095831273447699E-3</v>
      </c>
    </row>
    <row r="5202" spans="6:7" x14ac:dyDescent="0.25">
      <c r="F5202">
        <v>5199</v>
      </c>
      <c r="G5202">
        <f ca="1">_xlfn.NORM.INV(RAND(),$M$7,$M$8)</f>
        <v>3.528097763239596E-2</v>
      </c>
    </row>
    <row r="5203" spans="6:7" x14ac:dyDescent="0.25">
      <c r="F5203">
        <v>5200</v>
      </c>
      <c r="G5203">
        <f ca="1">_xlfn.NORM.INV(RAND(),$M$7,$M$8)</f>
        <v>2.6345280789198303E-2</v>
      </c>
    </row>
    <row r="5204" spans="6:7" x14ac:dyDescent="0.25">
      <c r="F5204">
        <v>5201</v>
      </c>
      <c r="G5204">
        <f ca="1">_xlfn.NORM.INV(RAND(),$M$7,$M$8)</f>
        <v>-4.5055519195605059E-3</v>
      </c>
    </row>
    <row r="5205" spans="6:7" x14ac:dyDescent="0.25">
      <c r="F5205">
        <v>5202</v>
      </c>
      <c r="G5205">
        <f ca="1">_xlfn.NORM.INV(RAND(),$M$7,$M$8)</f>
        <v>-2.2919511984063477E-2</v>
      </c>
    </row>
    <row r="5206" spans="6:7" x14ac:dyDescent="0.25">
      <c r="F5206">
        <v>5203</v>
      </c>
      <c r="G5206">
        <f ca="1">_xlfn.NORM.INV(RAND(),$M$7,$M$8)</f>
        <v>-3.0978069722835368E-2</v>
      </c>
    </row>
    <row r="5207" spans="6:7" x14ac:dyDescent="0.25">
      <c r="F5207">
        <v>5204</v>
      </c>
      <c r="G5207">
        <f ca="1">_xlfn.NORM.INV(RAND(),$M$7,$M$8)</f>
        <v>-3.040149584952578E-2</v>
      </c>
    </row>
    <row r="5208" spans="6:7" x14ac:dyDescent="0.25">
      <c r="F5208">
        <v>5205</v>
      </c>
      <c r="G5208">
        <f ca="1">_xlfn.NORM.INV(RAND(),$M$7,$M$8)</f>
        <v>1.503097157293583E-2</v>
      </c>
    </row>
    <row r="5209" spans="6:7" x14ac:dyDescent="0.25">
      <c r="F5209">
        <v>5206</v>
      </c>
      <c r="G5209">
        <f ca="1">_xlfn.NORM.INV(RAND(),$M$7,$M$8)</f>
        <v>1.8683338445424146E-2</v>
      </c>
    </row>
    <row r="5210" spans="6:7" x14ac:dyDescent="0.25">
      <c r="F5210">
        <v>5207</v>
      </c>
      <c r="G5210">
        <f ca="1">_xlfn.NORM.INV(RAND(),$M$7,$M$8)</f>
        <v>3.5959393075811002E-3</v>
      </c>
    </row>
    <row r="5211" spans="6:7" x14ac:dyDescent="0.25">
      <c r="F5211">
        <v>5208</v>
      </c>
      <c r="G5211">
        <f ca="1">_xlfn.NORM.INV(RAND(),$M$7,$M$8)</f>
        <v>6.5728570024263227E-3</v>
      </c>
    </row>
    <row r="5212" spans="6:7" x14ac:dyDescent="0.25">
      <c r="F5212">
        <v>5209</v>
      </c>
      <c r="G5212">
        <f ca="1">_xlfn.NORM.INV(RAND(),$M$7,$M$8)</f>
        <v>-3.8760294607041515E-2</v>
      </c>
    </row>
    <row r="5213" spans="6:7" x14ac:dyDescent="0.25">
      <c r="F5213">
        <v>5210</v>
      </c>
      <c r="G5213">
        <f ca="1">_xlfn.NORM.INV(RAND(),$M$7,$M$8)</f>
        <v>-2.4311355907064319E-2</v>
      </c>
    </row>
    <row r="5214" spans="6:7" x14ac:dyDescent="0.25">
      <c r="F5214">
        <v>5211</v>
      </c>
      <c r="G5214">
        <f ca="1">_xlfn.NORM.INV(RAND(),$M$7,$M$8)</f>
        <v>1.1394407353029894E-2</v>
      </c>
    </row>
    <row r="5215" spans="6:7" x14ac:dyDescent="0.25">
      <c r="F5215">
        <v>5212</v>
      </c>
      <c r="G5215">
        <f ca="1">_xlfn.NORM.INV(RAND(),$M$7,$M$8)</f>
        <v>2.2257614599375385E-2</v>
      </c>
    </row>
    <row r="5216" spans="6:7" x14ac:dyDescent="0.25">
      <c r="F5216">
        <v>5213</v>
      </c>
      <c r="G5216">
        <f ca="1">_xlfn.NORM.INV(RAND(),$M$7,$M$8)</f>
        <v>-8.4104886011312496E-3</v>
      </c>
    </row>
    <row r="5217" spans="6:7" x14ac:dyDescent="0.25">
      <c r="F5217">
        <v>5214</v>
      </c>
      <c r="G5217">
        <f ca="1">_xlfn.NORM.INV(RAND(),$M$7,$M$8)</f>
        <v>-1.7071642490104656E-2</v>
      </c>
    </row>
    <row r="5218" spans="6:7" x14ac:dyDescent="0.25">
      <c r="F5218">
        <v>5215</v>
      </c>
      <c r="G5218">
        <f ca="1">_xlfn.NORM.INV(RAND(),$M$7,$M$8)</f>
        <v>-1.7368313525253618E-2</v>
      </c>
    </row>
    <row r="5219" spans="6:7" x14ac:dyDescent="0.25">
      <c r="F5219">
        <v>5216</v>
      </c>
      <c r="G5219">
        <f ca="1">_xlfn.NORM.INV(RAND(),$M$7,$M$8)</f>
        <v>2.2922014775303975E-2</v>
      </c>
    </row>
    <row r="5220" spans="6:7" x14ac:dyDescent="0.25">
      <c r="F5220">
        <v>5217</v>
      </c>
      <c r="G5220">
        <f ca="1">_xlfn.NORM.INV(RAND(),$M$7,$M$8)</f>
        <v>-1.439906568461595E-2</v>
      </c>
    </row>
    <row r="5221" spans="6:7" x14ac:dyDescent="0.25">
      <c r="F5221">
        <v>5218</v>
      </c>
      <c r="G5221">
        <f ca="1">_xlfn.NORM.INV(RAND(),$M$7,$M$8)</f>
        <v>-1.483934449109315E-2</v>
      </c>
    </row>
    <row r="5222" spans="6:7" x14ac:dyDescent="0.25">
      <c r="F5222">
        <v>5219</v>
      </c>
      <c r="G5222">
        <f ca="1">_xlfn.NORM.INV(RAND(),$M$7,$M$8)</f>
        <v>3.3397268251663653E-3</v>
      </c>
    </row>
    <row r="5223" spans="6:7" x14ac:dyDescent="0.25">
      <c r="F5223">
        <v>5220</v>
      </c>
      <c r="G5223">
        <f ca="1">_xlfn.NORM.INV(RAND(),$M$7,$M$8)</f>
        <v>-2.7904063531120703E-2</v>
      </c>
    </row>
    <row r="5224" spans="6:7" x14ac:dyDescent="0.25">
      <c r="F5224">
        <v>5221</v>
      </c>
      <c r="G5224">
        <f ca="1">_xlfn.NORM.INV(RAND(),$M$7,$M$8)</f>
        <v>2.7466070494640876E-2</v>
      </c>
    </row>
    <row r="5225" spans="6:7" x14ac:dyDescent="0.25">
      <c r="F5225">
        <v>5222</v>
      </c>
      <c r="G5225">
        <f ca="1">_xlfn.NORM.INV(RAND(),$M$7,$M$8)</f>
        <v>6.3276963834691408E-3</v>
      </c>
    </row>
    <row r="5226" spans="6:7" x14ac:dyDescent="0.25">
      <c r="F5226">
        <v>5223</v>
      </c>
      <c r="G5226">
        <f ca="1">_xlfn.NORM.INV(RAND(),$M$7,$M$8)</f>
        <v>3.4014258860062298E-2</v>
      </c>
    </row>
    <row r="5227" spans="6:7" x14ac:dyDescent="0.25">
      <c r="F5227">
        <v>5224</v>
      </c>
      <c r="G5227">
        <f ca="1">_xlfn.NORM.INV(RAND(),$M$7,$M$8)</f>
        <v>2.4119375531136016E-2</v>
      </c>
    </row>
    <row r="5228" spans="6:7" x14ac:dyDescent="0.25">
      <c r="F5228">
        <v>5225</v>
      </c>
      <c r="G5228">
        <f ca="1">_xlfn.NORM.INV(RAND(),$M$7,$M$8)</f>
        <v>3.4038003524829087E-2</v>
      </c>
    </row>
    <row r="5229" spans="6:7" x14ac:dyDescent="0.25">
      <c r="F5229">
        <v>5226</v>
      </c>
      <c r="G5229">
        <f ca="1">_xlfn.NORM.INV(RAND(),$M$7,$M$8)</f>
        <v>-8.3954658374361269E-3</v>
      </c>
    </row>
    <row r="5230" spans="6:7" x14ac:dyDescent="0.25">
      <c r="F5230">
        <v>5227</v>
      </c>
      <c r="G5230">
        <f ca="1">_xlfn.NORM.INV(RAND(),$M$7,$M$8)</f>
        <v>2.351901971866562E-3</v>
      </c>
    </row>
    <row r="5231" spans="6:7" x14ac:dyDescent="0.25">
      <c r="F5231">
        <v>5228</v>
      </c>
      <c r="G5231">
        <f ca="1">_xlfn.NORM.INV(RAND(),$M$7,$M$8)</f>
        <v>-1.5116182328072627E-2</v>
      </c>
    </row>
    <row r="5232" spans="6:7" x14ac:dyDescent="0.25">
      <c r="F5232">
        <v>5229</v>
      </c>
      <c r="G5232">
        <f ca="1">_xlfn.NORM.INV(RAND(),$M$7,$M$8)</f>
        <v>2.0725023846557944E-2</v>
      </c>
    </row>
    <row r="5233" spans="6:7" x14ac:dyDescent="0.25">
      <c r="F5233">
        <v>5230</v>
      </c>
      <c r="G5233">
        <f ca="1">_xlfn.NORM.INV(RAND(),$M$7,$M$8)</f>
        <v>7.1027259225229043E-3</v>
      </c>
    </row>
    <row r="5234" spans="6:7" x14ac:dyDescent="0.25">
      <c r="F5234">
        <v>5231</v>
      </c>
      <c r="G5234">
        <f ca="1">_xlfn.NORM.INV(RAND(),$M$7,$M$8)</f>
        <v>-1.2397978606913593E-3</v>
      </c>
    </row>
    <row r="5235" spans="6:7" x14ac:dyDescent="0.25">
      <c r="F5235">
        <v>5232</v>
      </c>
      <c r="G5235">
        <f ca="1">_xlfn.NORM.INV(RAND(),$M$7,$M$8)</f>
        <v>8.2999228069311447E-3</v>
      </c>
    </row>
    <row r="5236" spans="6:7" x14ac:dyDescent="0.25">
      <c r="F5236">
        <v>5233</v>
      </c>
      <c r="G5236">
        <f ca="1">_xlfn.NORM.INV(RAND(),$M$7,$M$8)</f>
        <v>-1.6032703305588303E-3</v>
      </c>
    </row>
    <row r="5237" spans="6:7" x14ac:dyDescent="0.25">
      <c r="F5237">
        <v>5234</v>
      </c>
      <c r="G5237">
        <f ca="1">_xlfn.NORM.INV(RAND(),$M$7,$M$8)</f>
        <v>1.1501203802375307E-2</v>
      </c>
    </row>
    <row r="5238" spans="6:7" x14ac:dyDescent="0.25">
      <c r="F5238">
        <v>5235</v>
      </c>
      <c r="G5238">
        <f ca="1">_xlfn.NORM.INV(RAND(),$M$7,$M$8)</f>
        <v>-5.6528850911858497E-2</v>
      </c>
    </row>
    <row r="5239" spans="6:7" x14ac:dyDescent="0.25">
      <c r="F5239">
        <v>5236</v>
      </c>
      <c r="G5239">
        <f ca="1">_xlfn.NORM.INV(RAND(),$M$7,$M$8)</f>
        <v>-7.1284187139854134E-3</v>
      </c>
    </row>
    <row r="5240" spans="6:7" x14ac:dyDescent="0.25">
      <c r="F5240">
        <v>5237</v>
      </c>
      <c r="G5240">
        <f ca="1">_xlfn.NORM.INV(RAND(),$M$7,$M$8)</f>
        <v>-7.005426705264781E-3</v>
      </c>
    </row>
    <row r="5241" spans="6:7" x14ac:dyDescent="0.25">
      <c r="F5241">
        <v>5238</v>
      </c>
      <c r="G5241">
        <f ca="1">_xlfn.NORM.INV(RAND(),$M$7,$M$8)</f>
        <v>2.2755956340815047E-2</v>
      </c>
    </row>
    <row r="5242" spans="6:7" x14ac:dyDescent="0.25">
      <c r="F5242">
        <v>5239</v>
      </c>
      <c r="G5242">
        <f ca="1">_xlfn.NORM.INV(RAND(),$M$7,$M$8)</f>
        <v>-1.2479190805700816E-2</v>
      </c>
    </row>
    <row r="5243" spans="6:7" x14ac:dyDescent="0.25">
      <c r="F5243">
        <v>5240</v>
      </c>
      <c r="G5243">
        <f ca="1">_xlfn.NORM.INV(RAND(),$M$7,$M$8)</f>
        <v>-4.1892235722521425E-2</v>
      </c>
    </row>
    <row r="5244" spans="6:7" x14ac:dyDescent="0.25">
      <c r="F5244">
        <v>5241</v>
      </c>
      <c r="G5244">
        <f ca="1">_xlfn.NORM.INV(RAND(),$M$7,$M$8)</f>
        <v>4.3721483161816094E-2</v>
      </c>
    </row>
    <row r="5245" spans="6:7" x14ac:dyDescent="0.25">
      <c r="F5245">
        <v>5242</v>
      </c>
      <c r="G5245">
        <f ca="1">_xlfn.NORM.INV(RAND(),$M$7,$M$8)</f>
        <v>-2.7691092734630201E-2</v>
      </c>
    </row>
    <row r="5246" spans="6:7" x14ac:dyDescent="0.25">
      <c r="F5246">
        <v>5243</v>
      </c>
      <c r="G5246">
        <f ca="1">_xlfn.NORM.INV(RAND(),$M$7,$M$8)</f>
        <v>4.7611308385281555E-3</v>
      </c>
    </row>
    <row r="5247" spans="6:7" x14ac:dyDescent="0.25">
      <c r="F5247">
        <v>5244</v>
      </c>
      <c r="G5247">
        <f ca="1">_xlfn.NORM.INV(RAND(),$M$7,$M$8)</f>
        <v>-6.1117511017287646E-3</v>
      </c>
    </row>
    <row r="5248" spans="6:7" x14ac:dyDescent="0.25">
      <c r="F5248">
        <v>5245</v>
      </c>
      <c r="G5248">
        <f ca="1">_xlfn.NORM.INV(RAND(),$M$7,$M$8)</f>
        <v>5.715073477403949E-3</v>
      </c>
    </row>
    <row r="5249" spans="6:7" x14ac:dyDescent="0.25">
      <c r="F5249">
        <v>5246</v>
      </c>
      <c r="G5249">
        <f ca="1">_xlfn.NORM.INV(RAND(),$M$7,$M$8)</f>
        <v>-5.7254331399188708E-2</v>
      </c>
    </row>
    <row r="5250" spans="6:7" x14ac:dyDescent="0.25">
      <c r="F5250">
        <v>5247</v>
      </c>
      <c r="G5250">
        <f ca="1">_xlfn.NORM.INV(RAND(),$M$7,$M$8)</f>
        <v>9.1334112957408772E-3</v>
      </c>
    </row>
    <row r="5251" spans="6:7" x14ac:dyDescent="0.25">
      <c r="F5251">
        <v>5248</v>
      </c>
      <c r="G5251">
        <f ca="1">_xlfn.NORM.INV(RAND(),$M$7,$M$8)</f>
        <v>1.8887619761276358E-3</v>
      </c>
    </row>
    <row r="5252" spans="6:7" x14ac:dyDescent="0.25">
      <c r="F5252">
        <v>5249</v>
      </c>
      <c r="G5252">
        <f ca="1">_xlfn.NORM.INV(RAND(),$M$7,$M$8)</f>
        <v>6.0751236731654917E-2</v>
      </c>
    </row>
    <row r="5253" spans="6:7" x14ac:dyDescent="0.25">
      <c r="F5253">
        <v>5250</v>
      </c>
      <c r="G5253">
        <f ca="1">_xlfn.NORM.INV(RAND(),$M$7,$M$8)</f>
        <v>-4.0322491645955742E-2</v>
      </c>
    </row>
    <row r="5254" spans="6:7" x14ac:dyDescent="0.25">
      <c r="F5254">
        <v>5251</v>
      </c>
      <c r="G5254">
        <f ca="1">_xlfn.NORM.INV(RAND(),$M$7,$M$8)</f>
        <v>1.3051966610251311E-2</v>
      </c>
    </row>
    <row r="5255" spans="6:7" x14ac:dyDescent="0.25">
      <c r="F5255">
        <v>5252</v>
      </c>
      <c r="G5255">
        <f ca="1">_xlfn.NORM.INV(RAND(),$M$7,$M$8)</f>
        <v>2.5488759243329703E-2</v>
      </c>
    </row>
    <row r="5256" spans="6:7" x14ac:dyDescent="0.25">
      <c r="F5256">
        <v>5253</v>
      </c>
      <c r="G5256">
        <f ca="1">_xlfn.NORM.INV(RAND(),$M$7,$M$8)</f>
        <v>-1.6707338199461602E-2</v>
      </c>
    </row>
    <row r="5257" spans="6:7" x14ac:dyDescent="0.25">
      <c r="F5257">
        <v>5254</v>
      </c>
      <c r="G5257">
        <f ca="1">_xlfn.NORM.INV(RAND(),$M$7,$M$8)</f>
        <v>-2.0690746704123415E-2</v>
      </c>
    </row>
    <row r="5258" spans="6:7" x14ac:dyDescent="0.25">
      <c r="F5258">
        <v>5255</v>
      </c>
      <c r="G5258">
        <f ca="1">_xlfn.NORM.INV(RAND(),$M$7,$M$8)</f>
        <v>2.7865254408682497E-4</v>
      </c>
    </row>
    <row r="5259" spans="6:7" x14ac:dyDescent="0.25">
      <c r="F5259">
        <v>5256</v>
      </c>
      <c r="G5259">
        <f ca="1">_xlfn.NORM.INV(RAND(),$M$7,$M$8)</f>
        <v>9.3387659567988075E-3</v>
      </c>
    </row>
    <row r="5260" spans="6:7" x14ac:dyDescent="0.25">
      <c r="F5260">
        <v>5257</v>
      </c>
      <c r="G5260">
        <f ca="1">_xlfn.NORM.INV(RAND(),$M$7,$M$8)</f>
        <v>-1.793353039855412E-2</v>
      </c>
    </row>
    <row r="5261" spans="6:7" x14ac:dyDescent="0.25">
      <c r="F5261">
        <v>5258</v>
      </c>
      <c r="G5261">
        <f ca="1">_xlfn.NORM.INV(RAND(),$M$7,$M$8)</f>
        <v>-3.4059794197088128E-4</v>
      </c>
    </row>
    <row r="5262" spans="6:7" x14ac:dyDescent="0.25">
      <c r="F5262">
        <v>5259</v>
      </c>
      <c r="G5262">
        <f ca="1">_xlfn.NORM.INV(RAND(),$M$7,$M$8)</f>
        <v>-1.9768237501077354E-2</v>
      </c>
    </row>
    <row r="5263" spans="6:7" x14ac:dyDescent="0.25">
      <c r="F5263">
        <v>5260</v>
      </c>
      <c r="G5263">
        <f ca="1">_xlfn.NORM.INV(RAND(),$M$7,$M$8)</f>
        <v>1.419637070733318E-2</v>
      </c>
    </row>
    <row r="5264" spans="6:7" x14ac:dyDescent="0.25">
      <c r="F5264">
        <v>5261</v>
      </c>
      <c r="G5264">
        <f ca="1">_xlfn.NORM.INV(RAND(),$M$7,$M$8)</f>
        <v>5.5085799256617569E-3</v>
      </c>
    </row>
    <row r="5265" spans="6:7" x14ac:dyDescent="0.25">
      <c r="F5265">
        <v>5262</v>
      </c>
      <c r="G5265">
        <f ca="1">_xlfn.NORM.INV(RAND(),$M$7,$M$8)</f>
        <v>-9.9384421358456373E-3</v>
      </c>
    </row>
    <row r="5266" spans="6:7" x14ac:dyDescent="0.25">
      <c r="F5266">
        <v>5263</v>
      </c>
      <c r="G5266">
        <f ca="1">_xlfn.NORM.INV(RAND(),$M$7,$M$8)</f>
        <v>-4.9675783957645547E-2</v>
      </c>
    </row>
    <row r="5267" spans="6:7" x14ac:dyDescent="0.25">
      <c r="F5267">
        <v>5264</v>
      </c>
      <c r="G5267">
        <f ca="1">_xlfn.NORM.INV(RAND(),$M$7,$M$8)</f>
        <v>1.0530889185292172E-2</v>
      </c>
    </row>
    <row r="5268" spans="6:7" x14ac:dyDescent="0.25">
      <c r="F5268">
        <v>5265</v>
      </c>
      <c r="G5268">
        <f ca="1">_xlfn.NORM.INV(RAND(),$M$7,$M$8)</f>
        <v>1.8052631827706597E-2</v>
      </c>
    </row>
    <row r="5269" spans="6:7" x14ac:dyDescent="0.25">
      <c r="F5269">
        <v>5266</v>
      </c>
      <c r="G5269">
        <f ca="1">_xlfn.NORM.INV(RAND(),$M$7,$M$8)</f>
        <v>-3.0289427797849662E-2</v>
      </c>
    </row>
    <row r="5270" spans="6:7" x14ac:dyDescent="0.25">
      <c r="F5270">
        <v>5267</v>
      </c>
      <c r="G5270">
        <f ca="1">_xlfn.NORM.INV(RAND(),$M$7,$M$8)</f>
        <v>-1.1649457401920761E-2</v>
      </c>
    </row>
    <row r="5271" spans="6:7" x14ac:dyDescent="0.25">
      <c r="F5271">
        <v>5268</v>
      </c>
      <c r="G5271">
        <f ca="1">_xlfn.NORM.INV(RAND(),$M$7,$M$8)</f>
        <v>-2.7911311762088296E-2</v>
      </c>
    </row>
    <row r="5272" spans="6:7" x14ac:dyDescent="0.25">
      <c r="F5272">
        <v>5269</v>
      </c>
      <c r="G5272">
        <f ca="1">_xlfn.NORM.INV(RAND(),$M$7,$M$8)</f>
        <v>-3.1332282796826601E-2</v>
      </c>
    </row>
    <row r="5273" spans="6:7" x14ac:dyDescent="0.25">
      <c r="F5273">
        <v>5270</v>
      </c>
      <c r="G5273">
        <f ca="1">_xlfn.NORM.INV(RAND(),$M$7,$M$8)</f>
        <v>-7.1203253294340602E-3</v>
      </c>
    </row>
    <row r="5274" spans="6:7" x14ac:dyDescent="0.25">
      <c r="F5274">
        <v>5271</v>
      </c>
      <c r="G5274">
        <f ca="1">_xlfn.NORM.INV(RAND(),$M$7,$M$8)</f>
        <v>3.132550637982302E-3</v>
      </c>
    </row>
    <row r="5275" spans="6:7" x14ac:dyDescent="0.25">
      <c r="F5275">
        <v>5272</v>
      </c>
      <c r="G5275">
        <f ca="1">_xlfn.NORM.INV(RAND(),$M$7,$M$8)</f>
        <v>1.4336851429742956E-2</v>
      </c>
    </row>
    <row r="5276" spans="6:7" x14ac:dyDescent="0.25">
      <c r="F5276">
        <v>5273</v>
      </c>
      <c r="G5276">
        <f ca="1">_xlfn.NORM.INV(RAND(),$M$7,$M$8)</f>
        <v>4.9449088994824607E-2</v>
      </c>
    </row>
    <row r="5277" spans="6:7" x14ac:dyDescent="0.25">
      <c r="F5277">
        <v>5274</v>
      </c>
      <c r="G5277">
        <f ca="1">_xlfn.NORM.INV(RAND(),$M$7,$M$8)</f>
        <v>-6.0172580324166607E-3</v>
      </c>
    </row>
    <row r="5278" spans="6:7" x14ac:dyDescent="0.25">
      <c r="F5278">
        <v>5275</v>
      </c>
      <c r="G5278">
        <f ca="1">_xlfn.NORM.INV(RAND(),$M$7,$M$8)</f>
        <v>-2.4382521332182112E-2</v>
      </c>
    </row>
    <row r="5279" spans="6:7" x14ac:dyDescent="0.25">
      <c r="F5279">
        <v>5276</v>
      </c>
      <c r="G5279">
        <f ca="1">_xlfn.NORM.INV(RAND(),$M$7,$M$8)</f>
        <v>1.6474723224880746E-2</v>
      </c>
    </row>
    <row r="5280" spans="6:7" x14ac:dyDescent="0.25">
      <c r="F5280">
        <v>5277</v>
      </c>
      <c r="G5280">
        <f ca="1">_xlfn.NORM.INV(RAND(),$M$7,$M$8)</f>
        <v>-1.0773303168894633E-3</v>
      </c>
    </row>
    <row r="5281" spans="6:7" x14ac:dyDescent="0.25">
      <c r="F5281">
        <v>5278</v>
      </c>
      <c r="G5281">
        <f ca="1">_xlfn.NORM.INV(RAND(),$M$7,$M$8)</f>
        <v>-5.153627184299478E-2</v>
      </c>
    </row>
    <row r="5282" spans="6:7" x14ac:dyDescent="0.25">
      <c r="F5282">
        <v>5279</v>
      </c>
      <c r="G5282">
        <f ca="1">_xlfn.NORM.INV(RAND(),$M$7,$M$8)</f>
        <v>-4.8932957809047418E-2</v>
      </c>
    </row>
    <row r="5283" spans="6:7" x14ac:dyDescent="0.25">
      <c r="F5283">
        <v>5280</v>
      </c>
      <c r="G5283">
        <f ca="1">_xlfn.NORM.INV(RAND(),$M$7,$M$8)</f>
        <v>5.2928518862208E-2</v>
      </c>
    </row>
    <row r="5284" spans="6:7" x14ac:dyDescent="0.25">
      <c r="F5284">
        <v>5281</v>
      </c>
      <c r="G5284">
        <f ca="1">_xlfn.NORM.INV(RAND(),$M$7,$M$8)</f>
        <v>9.0297408190429737E-3</v>
      </c>
    </row>
    <row r="5285" spans="6:7" x14ac:dyDescent="0.25">
      <c r="F5285">
        <v>5282</v>
      </c>
      <c r="G5285">
        <f ca="1">_xlfn.NORM.INV(RAND(),$M$7,$M$8)</f>
        <v>-2.9876507824549911E-2</v>
      </c>
    </row>
    <row r="5286" spans="6:7" x14ac:dyDescent="0.25">
      <c r="F5286">
        <v>5283</v>
      </c>
      <c r="G5286">
        <f ca="1">_xlfn.NORM.INV(RAND(),$M$7,$M$8)</f>
        <v>4.5806496425423511E-2</v>
      </c>
    </row>
    <row r="5287" spans="6:7" x14ac:dyDescent="0.25">
      <c r="F5287">
        <v>5284</v>
      </c>
      <c r="G5287">
        <f ca="1">_xlfn.NORM.INV(RAND(),$M$7,$M$8)</f>
        <v>-2.4444113045965804E-2</v>
      </c>
    </row>
    <row r="5288" spans="6:7" x14ac:dyDescent="0.25">
      <c r="F5288">
        <v>5285</v>
      </c>
      <c r="G5288">
        <f ca="1">_xlfn.NORM.INV(RAND(),$M$7,$M$8)</f>
        <v>1.2438837635834938E-2</v>
      </c>
    </row>
    <row r="5289" spans="6:7" x14ac:dyDescent="0.25">
      <c r="F5289">
        <v>5286</v>
      </c>
      <c r="G5289">
        <f ca="1">_xlfn.NORM.INV(RAND(),$M$7,$M$8)</f>
        <v>3.0285415669586918E-3</v>
      </c>
    </row>
    <row r="5290" spans="6:7" x14ac:dyDescent="0.25">
      <c r="F5290">
        <v>5287</v>
      </c>
      <c r="G5290">
        <f ca="1">_xlfn.NORM.INV(RAND(),$M$7,$M$8)</f>
        <v>-1.3609337747168566E-2</v>
      </c>
    </row>
    <row r="5291" spans="6:7" x14ac:dyDescent="0.25">
      <c r="F5291">
        <v>5288</v>
      </c>
      <c r="G5291">
        <f ca="1">_xlfn.NORM.INV(RAND(),$M$7,$M$8)</f>
        <v>-1.2843328309817902E-2</v>
      </c>
    </row>
    <row r="5292" spans="6:7" x14ac:dyDescent="0.25">
      <c r="F5292">
        <v>5289</v>
      </c>
      <c r="G5292">
        <f ca="1">_xlfn.NORM.INV(RAND(),$M$7,$M$8)</f>
        <v>-2.5628060151419028E-2</v>
      </c>
    </row>
    <row r="5293" spans="6:7" x14ac:dyDescent="0.25">
      <c r="F5293">
        <v>5290</v>
      </c>
      <c r="G5293">
        <f ca="1">_xlfn.NORM.INV(RAND(),$M$7,$M$8)</f>
        <v>-2.0472455881638553E-3</v>
      </c>
    </row>
    <row r="5294" spans="6:7" x14ac:dyDescent="0.25">
      <c r="F5294">
        <v>5291</v>
      </c>
      <c r="G5294">
        <f ca="1">_xlfn.NORM.INV(RAND(),$M$7,$M$8)</f>
        <v>5.6847057050522769E-3</v>
      </c>
    </row>
    <row r="5295" spans="6:7" x14ac:dyDescent="0.25">
      <c r="F5295">
        <v>5292</v>
      </c>
      <c r="G5295">
        <f ca="1">_xlfn.NORM.INV(RAND(),$M$7,$M$8)</f>
        <v>1.4824179523878151E-2</v>
      </c>
    </row>
    <row r="5296" spans="6:7" x14ac:dyDescent="0.25">
      <c r="F5296">
        <v>5293</v>
      </c>
      <c r="G5296">
        <f ca="1">_xlfn.NORM.INV(RAND(),$M$7,$M$8)</f>
        <v>1.1156764623961772E-2</v>
      </c>
    </row>
    <row r="5297" spans="6:7" x14ac:dyDescent="0.25">
      <c r="F5297">
        <v>5294</v>
      </c>
      <c r="G5297">
        <f ca="1">_xlfn.NORM.INV(RAND(),$M$7,$M$8)</f>
        <v>-2.2909836756859179E-2</v>
      </c>
    </row>
    <row r="5298" spans="6:7" x14ac:dyDescent="0.25">
      <c r="F5298">
        <v>5295</v>
      </c>
      <c r="G5298">
        <f ca="1">_xlfn.NORM.INV(RAND(),$M$7,$M$8)</f>
        <v>-6.1569591433502831E-3</v>
      </c>
    </row>
    <row r="5299" spans="6:7" x14ac:dyDescent="0.25">
      <c r="F5299">
        <v>5296</v>
      </c>
      <c r="G5299">
        <f ca="1">_xlfn.NORM.INV(RAND(),$M$7,$M$8)</f>
        <v>2.7579624769861612E-2</v>
      </c>
    </row>
    <row r="5300" spans="6:7" x14ac:dyDescent="0.25">
      <c r="F5300">
        <v>5297</v>
      </c>
      <c r="G5300">
        <f ca="1">_xlfn.NORM.INV(RAND(),$M$7,$M$8)</f>
        <v>4.4563098022946071E-2</v>
      </c>
    </row>
    <row r="5301" spans="6:7" x14ac:dyDescent="0.25">
      <c r="F5301">
        <v>5298</v>
      </c>
      <c r="G5301">
        <f ca="1">_xlfn.NORM.INV(RAND(),$M$7,$M$8)</f>
        <v>-3.5230139845670895E-2</v>
      </c>
    </row>
    <row r="5302" spans="6:7" x14ac:dyDescent="0.25">
      <c r="F5302">
        <v>5299</v>
      </c>
      <c r="G5302">
        <f ca="1">_xlfn.NORM.INV(RAND(),$M$7,$M$8)</f>
        <v>-5.9537561795714716E-3</v>
      </c>
    </row>
    <row r="5303" spans="6:7" x14ac:dyDescent="0.25">
      <c r="F5303">
        <v>5300</v>
      </c>
      <c r="G5303">
        <f ca="1">_xlfn.NORM.INV(RAND(),$M$7,$M$8)</f>
        <v>-2.7303728512074674E-2</v>
      </c>
    </row>
    <row r="5304" spans="6:7" x14ac:dyDescent="0.25">
      <c r="F5304">
        <v>5301</v>
      </c>
      <c r="G5304">
        <f ca="1">_xlfn.NORM.INV(RAND(),$M$7,$M$8)</f>
        <v>5.6006378984367628E-3</v>
      </c>
    </row>
    <row r="5305" spans="6:7" x14ac:dyDescent="0.25">
      <c r="F5305">
        <v>5302</v>
      </c>
      <c r="G5305">
        <f ca="1">_xlfn.NORM.INV(RAND(),$M$7,$M$8)</f>
        <v>-1.8696293958843865E-2</v>
      </c>
    </row>
    <row r="5306" spans="6:7" x14ac:dyDescent="0.25">
      <c r="F5306">
        <v>5303</v>
      </c>
      <c r="G5306">
        <f ca="1">_xlfn.NORM.INV(RAND(),$M$7,$M$8)</f>
        <v>-8.8349359090069707E-3</v>
      </c>
    </row>
    <row r="5307" spans="6:7" x14ac:dyDescent="0.25">
      <c r="F5307">
        <v>5304</v>
      </c>
      <c r="G5307">
        <f ca="1">_xlfn.NORM.INV(RAND(),$M$7,$M$8)</f>
        <v>1.0224867036951434E-2</v>
      </c>
    </row>
    <row r="5308" spans="6:7" x14ac:dyDescent="0.25">
      <c r="F5308">
        <v>5305</v>
      </c>
      <c r="G5308">
        <f ca="1">_xlfn.NORM.INV(RAND(),$M$7,$M$8)</f>
        <v>-7.8585174393215728E-3</v>
      </c>
    </row>
    <row r="5309" spans="6:7" x14ac:dyDescent="0.25">
      <c r="F5309">
        <v>5306</v>
      </c>
      <c r="G5309">
        <f ca="1">_xlfn.NORM.INV(RAND(),$M$7,$M$8)</f>
        <v>2.092366950139625E-2</v>
      </c>
    </row>
    <row r="5310" spans="6:7" x14ac:dyDescent="0.25">
      <c r="F5310">
        <v>5307</v>
      </c>
      <c r="G5310">
        <f ca="1">_xlfn.NORM.INV(RAND(),$M$7,$M$8)</f>
        <v>-1.6956895010328033E-2</v>
      </c>
    </row>
    <row r="5311" spans="6:7" x14ac:dyDescent="0.25">
      <c r="F5311">
        <v>5308</v>
      </c>
      <c r="G5311">
        <f ca="1">_xlfn.NORM.INV(RAND(),$M$7,$M$8)</f>
        <v>1.6958176483127741E-2</v>
      </c>
    </row>
    <row r="5312" spans="6:7" x14ac:dyDescent="0.25">
      <c r="F5312">
        <v>5309</v>
      </c>
      <c r="G5312">
        <f ca="1">_xlfn.NORM.INV(RAND(),$M$7,$M$8)</f>
        <v>-8.2220988533763303E-3</v>
      </c>
    </row>
    <row r="5313" spans="6:7" x14ac:dyDescent="0.25">
      <c r="F5313">
        <v>5310</v>
      </c>
      <c r="G5313">
        <f ca="1">_xlfn.NORM.INV(RAND(),$M$7,$M$8)</f>
        <v>3.3114651102640472E-4</v>
      </c>
    </row>
    <row r="5314" spans="6:7" x14ac:dyDescent="0.25">
      <c r="F5314">
        <v>5311</v>
      </c>
      <c r="G5314">
        <f ca="1">_xlfn.NORM.INV(RAND(),$M$7,$M$8)</f>
        <v>-7.768338812483561E-3</v>
      </c>
    </row>
    <row r="5315" spans="6:7" x14ac:dyDescent="0.25">
      <c r="F5315">
        <v>5312</v>
      </c>
      <c r="G5315">
        <f ca="1">_xlfn.NORM.INV(RAND(),$M$7,$M$8)</f>
        <v>2.0484770038215611E-2</v>
      </c>
    </row>
    <row r="5316" spans="6:7" x14ac:dyDescent="0.25">
      <c r="F5316">
        <v>5313</v>
      </c>
      <c r="G5316">
        <f ca="1">_xlfn.NORM.INV(RAND(),$M$7,$M$8)</f>
        <v>-1.5589815645080739E-2</v>
      </c>
    </row>
    <row r="5317" spans="6:7" x14ac:dyDescent="0.25">
      <c r="F5317">
        <v>5314</v>
      </c>
      <c r="G5317">
        <f ca="1">_xlfn.NORM.INV(RAND(),$M$7,$M$8)</f>
        <v>-4.2123157943622362E-2</v>
      </c>
    </row>
    <row r="5318" spans="6:7" x14ac:dyDescent="0.25">
      <c r="F5318">
        <v>5315</v>
      </c>
      <c r="G5318">
        <f ca="1">_xlfn.NORM.INV(RAND(),$M$7,$M$8)</f>
        <v>2.2435401591451437E-2</v>
      </c>
    </row>
    <row r="5319" spans="6:7" x14ac:dyDescent="0.25">
      <c r="F5319">
        <v>5316</v>
      </c>
      <c r="G5319">
        <f ca="1">_xlfn.NORM.INV(RAND(),$M$7,$M$8)</f>
        <v>-1.0467495384350396E-2</v>
      </c>
    </row>
    <row r="5320" spans="6:7" x14ac:dyDescent="0.25">
      <c r="F5320">
        <v>5317</v>
      </c>
      <c r="G5320">
        <f ca="1">_xlfn.NORM.INV(RAND(),$M$7,$M$8)</f>
        <v>-6.4330004155964422E-3</v>
      </c>
    </row>
    <row r="5321" spans="6:7" x14ac:dyDescent="0.25">
      <c r="F5321">
        <v>5318</v>
      </c>
      <c r="G5321">
        <f ca="1">_xlfn.NORM.INV(RAND(),$M$7,$M$8)</f>
        <v>-3.485165948197242E-2</v>
      </c>
    </row>
    <row r="5322" spans="6:7" x14ac:dyDescent="0.25">
      <c r="F5322">
        <v>5319</v>
      </c>
      <c r="G5322">
        <f ca="1">_xlfn.NORM.INV(RAND(),$M$7,$M$8)</f>
        <v>3.2127824007718762E-2</v>
      </c>
    </row>
    <row r="5323" spans="6:7" x14ac:dyDescent="0.25">
      <c r="F5323">
        <v>5320</v>
      </c>
      <c r="G5323">
        <f ca="1">_xlfn.NORM.INV(RAND(),$M$7,$M$8)</f>
        <v>4.6263560695425615E-2</v>
      </c>
    </row>
    <row r="5324" spans="6:7" x14ac:dyDescent="0.25">
      <c r="F5324">
        <v>5321</v>
      </c>
      <c r="G5324">
        <f ca="1">_xlfn.NORM.INV(RAND(),$M$7,$M$8)</f>
        <v>2.769783926767613E-2</v>
      </c>
    </row>
    <row r="5325" spans="6:7" x14ac:dyDescent="0.25">
      <c r="F5325">
        <v>5322</v>
      </c>
      <c r="G5325">
        <f ca="1">_xlfn.NORM.INV(RAND(),$M$7,$M$8)</f>
        <v>-7.5389861254159651E-3</v>
      </c>
    </row>
    <row r="5326" spans="6:7" x14ac:dyDescent="0.25">
      <c r="F5326">
        <v>5323</v>
      </c>
      <c r="G5326">
        <f ca="1">_xlfn.NORM.INV(RAND(),$M$7,$M$8)</f>
        <v>-9.2480293297608103E-3</v>
      </c>
    </row>
    <row r="5327" spans="6:7" x14ac:dyDescent="0.25">
      <c r="F5327">
        <v>5324</v>
      </c>
      <c r="G5327">
        <f ca="1">_xlfn.NORM.INV(RAND(),$M$7,$M$8)</f>
        <v>2.2417715372195966E-2</v>
      </c>
    </row>
    <row r="5328" spans="6:7" x14ac:dyDescent="0.25">
      <c r="F5328">
        <v>5325</v>
      </c>
      <c r="G5328">
        <f ca="1">_xlfn.NORM.INV(RAND(),$M$7,$M$8)</f>
        <v>-1.2098171362242368E-2</v>
      </c>
    </row>
    <row r="5329" spans="6:7" x14ac:dyDescent="0.25">
      <c r="F5329">
        <v>5326</v>
      </c>
      <c r="G5329">
        <f ca="1">_xlfn.NORM.INV(RAND(),$M$7,$M$8)</f>
        <v>8.9901681101092409E-3</v>
      </c>
    </row>
    <row r="5330" spans="6:7" x14ac:dyDescent="0.25">
      <c r="F5330">
        <v>5327</v>
      </c>
      <c r="G5330">
        <f ca="1">_xlfn.NORM.INV(RAND(),$M$7,$M$8)</f>
        <v>2.2917470736353741E-3</v>
      </c>
    </row>
    <row r="5331" spans="6:7" x14ac:dyDescent="0.25">
      <c r="F5331">
        <v>5328</v>
      </c>
      <c r="G5331">
        <f ca="1">_xlfn.NORM.INV(RAND(),$M$7,$M$8)</f>
        <v>-2.3029175527137249E-2</v>
      </c>
    </row>
    <row r="5332" spans="6:7" x14ac:dyDescent="0.25">
      <c r="F5332">
        <v>5329</v>
      </c>
      <c r="G5332">
        <f ca="1">_xlfn.NORM.INV(RAND(),$M$7,$M$8)</f>
        <v>2.3640260916821445E-3</v>
      </c>
    </row>
    <row r="5333" spans="6:7" x14ac:dyDescent="0.25">
      <c r="F5333">
        <v>5330</v>
      </c>
      <c r="G5333">
        <f ca="1">_xlfn.NORM.INV(RAND(),$M$7,$M$8)</f>
        <v>6.2103238830236961E-3</v>
      </c>
    </row>
    <row r="5334" spans="6:7" x14ac:dyDescent="0.25">
      <c r="F5334">
        <v>5331</v>
      </c>
      <c r="G5334">
        <f ca="1">_xlfn.NORM.INV(RAND(),$M$7,$M$8)</f>
        <v>-1.541945716748435E-2</v>
      </c>
    </row>
    <row r="5335" spans="6:7" x14ac:dyDescent="0.25">
      <c r="F5335">
        <v>5332</v>
      </c>
      <c r="G5335">
        <f ca="1">_xlfn.NORM.INV(RAND(),$M$7,$M$8)</f>
        <v>1.0280438046086414E-2</v>
      </c>
    </row>
    <row r="5336" spans="6:7" x14ac:dyDescent="0.25">
      <c r="F5336">
        <v>5333</v>
      </c>
      <c r="G5336">
        <f ca="1">_xlfn.NORM.INV(RAND(),$M$7,$M$8)</f>
        <v>1.1397029230062476E-2</v>
      </c>
    </row>
    <row r="5337" spans="6:7" x14ac:dyDescent="0.25">
      <c r="F5337">
        <v>5334</v>
      </c>
      <c r="G5337">
        <f ca="1">_xlfn.NORM.INV(RAND(),$M$7,$M$8)</f>
        <v>-1.6129927242033246E-2</v>
      </c>
    </row>
    <row r="5338" spans="6:7" x14ac:dyDescent="0.25">
      <c r="F5338">
        <v>5335</v>
      </c>
      <c r="G5338">
        <f ca="1">_xlfn.NORM.INV(RAND(),$M$7,$M$8)</f>
        <v>-3.6870502510427304E-2</v>
      </c>
    </row>
    <row r="5339" spans="6:7" x14ac:dyDescent="0.25">
      <c r="F5339">
        <v>5336</v>
      </c>
      <c r="G5339">
        <f ca="1">_xlfn.NORM.INV(RAND(),$M$7,$M$8)</f>
        <v>-1.1764197434852363E-2</v>
      </c>
    </row>
    <row r="5340" spans="6:7" x14ac:dyDescent="0.25">
      <c r="F5340">
        <v>5337</v>
      </c>
      <c r="G5340">
        <f ca="1">_xlfn.NORM.INV(RAND(),$M$7,$M$8)</f>
        <v>1.0764811153158237E-2</v>
      </c>
    </row>
    <row r="5341" spans="6:7" x14ac:dyDescent="0.25">
      <c r="F5341">
        <v>5338</v>
      </c>
      <c r="G5341">
        <f ca="1">_xlfn.NORM.INV(RAND(),$M$7,$M$8)</f>
        <v>1.649025951477778E-2</v>
      </c>
    </row>
    <row r="5342" spans="6:7" x14ac:dyDescent="0.25">
      <c r="F5342">
        <v>5339</v>
      </c>
      <c r="G5342">
        <f ca="1">_xlfn.NORM.INV(RAND(),$M$7,$M$8)</f>
        <v>1.3296004329847294E-2</v>
      </c>
    </row>
    <row r="5343" spans="6:7" x14ac:dyDescent="0.25">
      <c r="F5343">
        <v>5340</v>
      </c>
      <c r="G5343">
        <f ca="1">_xlfn.NORM.INV(RAND(),$M$7,$M$8)</f>
        <v>-6.5003497022576916E-4</v>
      </c>
    </row>
    <row r="5344" spans="6:7" x14ac:dyDescent="0.25">
      <c r="F5344">
        <v>5341</v>
      </c>
      <c r="G5344">
        <f ca="1">_xlfn.NORM.INV(RAND(),$M$7,$M$8)</f>
        <v>-1.2165039512030311E-2</v>
      </c>
    </row>
    <row r="5345" spans="6:7" x14ac:dyDescent="0.25">
      <c r="F5345">
        <v>5342</v>
      </c>
      <c r="G5345">
        <f ca="1">_xlfn.NORM.INV(RAND(),$M$7,$M$8)</f>
        <v>1.5673003479024213E-3</v>
      </c>
    </row>
    <row r="5346" spans="6:7" x14ac:dyDescent="0.25">
      <c r="F5346">
        <v>5343</v>
      </c>
      <c r="G5346">
        <f ca="1">_xlfn.NORM.INV(RAND(),$M$7,$M$8)</f>
        <v>2.5326753667370118E-2</v>
      </c>
    </row>
    <row r="5347" spans="6:7" x14ac:dyDescent="0.25">
      <c r="F5347">
        <v>5344</v>
      </c>
      <c r="G5347">
        <f ca="1">_xlfn.NORM.INV(RAND(),$M$7,$M$8)</f>
        <v>1.5698921695650403E-2</v>
      </c>
    </row>
    <row r="5348" spans="6:7" x14ac:dyDescent="0.25">
      <c r="F5348">
        <v>5345</v>
      </c>
      <c r="G5348">
        <f ca="1">_xlfn.NORM.INV(RAND(),$M$7,$M$8)</f>
        <v>-4.2124636214639646E-2</v>
      </c>
    </row>
    <row r="5349" spans="6:7" x14ac:dyDescent="0.25">
      <c r="F5349">
        <v>5346</v>
      </c>
      <c r="G5349">
        <f ca="1">_xlfn.NORM.INV(RAND(),$M$7,$M$8)</f>
        <v>-1.1574014937397214E-2</v>
      </c>
    </row>
    <row r="5350" spans="6:7" x14ac:dyDescent="0.25">
      <c r="F5350">
        <v>5347</v>
      </c>
      <c r="G5350">
        <f ca="1">_xlfn.NORM.INV(RAND(),$M$7,$M$8)</f>
        <v>-7.9596417730464679E-4</v>
      </c>
    </row>
    <row r="5351" spans="6:7" x14ac:dyDescent="0.25">
      <c r="F5351">
        <v>5348</v>
      </c>
      <c r="G5351">
        <f ca="1">_xlfn.NORM.INV(RAND(),$M$7,$M$8)</f>
        <v>-1.5336276948450921E-2</v>
      </c>
    </row>
    <row r="5352" spans="6:7" x14ac:dyDescent="0.25">
      <c r="F5352">
        <v>5349</v>
      </c>
      <c r="G5352">
        <f ca="1">_xlfn.NORM.INV(RAND(),$M$7,$M$8)</f>
        <v>3.9760229601262298E-2</v>
      </c>
    </row>
    <row r="5353" spans="6:7" x14ac:dyDescent="0.25">
      <c r="F5353">
        <v>5350</v>
      </c>
      <c r="G5353">
        <f ca="1">_xlfn.NORM.INV(RAND(),$M$7,$M$8)</f>
        <v>1.1292977966639781E-2</v>
      </c>
    </row>
    <row r="5354" spans="6:7" x14ac:dyDescent="0.25">
      <c r="F5354">
        <v>5351</v>
      </c>
      <c r="G5354">
        <f ca="1">_xlfn.NORM.INV(RAND(),$M$7,$M$8)</f>
        <v>3.7809636468897991E-2</v>
      </c>
    </row>
    <row r="5355" spans="6:7" x14ac:dyDescent="0.25">
      <c r="F5355">
        <v>5352</v>
      </c>
      <c r="G5355">
        <f ca="1">_xlfn.NORM.INV(RAND(),$M$7,$M$8)</f>
        <v>6.2104782143450471E-3</v>
      </c>
    </row>
    <row r="5356" spans="6:7" x14ac:dyDescent="0.25">
      <c r="F5356">
        <v>5353</v>
      </c>
      <c r="G5356">
        <f ca="1">_xlfn.NORM.INV(RAND(),$M$7,$M$8)</f>
        <v>1.3212352287563959E-2</v>
      </c>
    </row>
    <row r="5357" spans="6:7" x14ac:dyDescent="0.25">
      <c r="F5357">
        <v>5354</v>
      </c>
      <c r="G5357">
        <f ca="1">_xlfn.NORM.INV(RAND(),$M$7,$M$8)</f>
        <v>-4.510924348268211E-2</v>
      </c>
    </row>
    <row r="5358" spans="6:7" x14ac:dyDescent="0.25">
      <c r="F5358">
        <v>5355</v>
      </c>
      <c r="G5358">
        <f ca="1">_xlfn.NORM.INV(RAND(),$M$7,$M$8)</f>
        <v>4.2965989077077694E-2</v>
      </c>
    </row>
    <row r="5359" spans="6:7" x14ac:dyDescent="0.25">
      <c r="F5359">
        <v>5356</v>
      </c>
      <c r="G5359">
        <f ca="1">_xlfn.NORM.INV(RAND(),$M$7,$M$8)</f>
        <v>-1.8774181290712208E-3</v>
      </c>
    </row>
    <row r="5360" spans="6:7" x14ac:dyDescent="0.25">
      <c r="F5360">
        <v>5357</v>
      </c>
      <c r="G5360">
        <f ca="1">_xlfn.NORM.INV(RAND(),$M$7,$M$8)</f>
        <v>-8.7687031391299377E-3</v>
      </c>
    </row>
    <row r="5361" spans="6:7" x14ac:dyDescent="0.25">
      <c r="F5361">
        <v>5358</v>
      </c>
      <c r="G5361">
        <f ca="1">_xlfn.NORM.INV(RAND(),$M$7,$M$8)</f>
        <v>-3.0843727509407035E-2</v>
      </c>
    </row>
    <row r="5362" spans="6:7" x14ac:dyDescent="0.25">
      <c r="F5362">
        <v>5359</v>
      </c>
      <c r="G5362">
        <f ca="1">_xlfn.NORM.INV(RAND(),$M$7,$M$8)</f>
        <v>3.2133849318060031E-3</v>
      </c>
    </row>
    <row r="5363" spans="6:7" x14ac:dyDescent="0.25">
      <c r="F5363">
        <v>5360</v>
      </c>
      <c r="G5363">
        <f ca="1">_xlfn.NORM.INV(RAND(),$M$7,$M$8)</f>
        <v>1.8806124111234994E-2</v>
      </c>
    </row>
    <row r="5364" spans="6:7" x14ac:dyDescent="0.25">
      <c r="F5364">
        <v>5361</v>
      </c>
      <c r="G5364">
        <f ca="1">_xlfn.NORM.INV(RAND(),$M$7,$M$8)</f>
        <v>3.2856097560291259E-2</v>
      </c>
    </row>
    <row r="5365" spans="6:7" x14ac:dyDescent="0.25">
      <c r="F5365">
        <v>5362</v>
      </c>
      <c r="G5365">
        <f ca="1">_xlfn.NORM.INV(RAND(),$M$7,$M$8)</f>
        <v>2.2139320213299583E-2</v>
      </c>
    </row>
    <row r="5366" spans="6:7" x14ac:dyDescent="0.25">
      <c r="F5366">
        <v>5363</v>
      </c>
      <c r="G5366">
        <f ca="1">_xlfn.NORM.INV(RAND(),$M$7,$M$8)</f>
        <v>1.1835884818068871E-3</v>
      </c>
    </row>
    <row r="5367" spans="6:7" x14ac:dyDescent="0.25">
      <c r="F5367">
        <v>5364</v>
      </c>
      <c r="G5367">
        <f ca="1">_xlfn.NORM.INV(RAND(),$M$7,$M$8)</f>
        <v>4.0662512141465476E-2</v>
      </c>
    </row>
    <row r="5368" spans="6:7" x14ac:dyDescent="0.25">
      <c r="F5368">
        <v>5365</v>
      </c>
      <c r="G5368">
        <f ca="1">_xlfn.NORM.INV(RAND(),$M$7,$M$8)</f>
        <v>1.7061790042028152E-2</v>
      </c>
    </row>
    <row r="5369" spans="6:7" x14ac:dyDescent="0.25">
      <c r="F5369">
        <v>5366</v>
      </c>
      <c r="G5369">
        <f ca="1">_xlfn.NORM.INV(RAND(),$M$7,$M$8)</f>
        <v>-2.0402165040450389E-3</v>
      </c>
    </row>
    <row r="5370" spans="6:7" x14ac:dyDescent="0.25">
      <c r="F5370">
        <v>5367</v>
      </c>
      <c r="G5370">
        <f ca="1">_xlfn.NORM.INV(RAND(),$M$7,$M$8)</f>
        <v>2.9347347922879373E-2</v>
      </c>
    </row>
    <row r="5371" spans="6:7" x14ac:dyDescent="0.25">
      <c r="F5371">
        <v>5368</v>
      </c>
      <c r="G5371">
        <f ca="1">_xlfn.NORM.INV(RAND(),$M$7,$M$8)</f>
        <v>6.0673544579385195E-2</v>
      </c>
    </row>
    <row r="5372" spans="6:7" x14ac:dyDescent="0.25">
      <c r="F5372">
        <v>5369</v>
      </c>
      <c r="G5372">
        <f ca="1">_xlfn.NORM.INV(RAND(),$M$7,$M$8)</f>
        <v>2.3400823479229706E-2</v>
      </c>
    </row>
    <row r="5373" spans="6:7" x14ac:dyDescent="0.25">
      <c r="F5373">
        <v>5370</v>
      </c>
      <c r="G5373">
        <f ca="1">_xlfn.NORM.INV(RAND(),$M$7,$M$8)</f>
        <v>2.5390782092183362E-2</v>
      </c>
    </row>
    <row r="5374" spans="6:7" x14ac:dyDescent="0.25">
      <c r="F5374">
        <v>5371</v>
      </c>
      <c r="G5374">
        <f ca="1">_xlfn.NORM.INV(RAND(),$M$7,$M$8)</f>
        <v>9.0015478795698357E-3</v>
      </c>
    </row>
    <row r="5375" spans="6:7" x14ac:dyDescent="0.25">
      <c r="F5375">
        <v>5372</v>
      </c>
      <c r="G5375">
        <f ca="1">_xlfn.NORM.INV(RAND(),$M$7,$M$8)</f>
        <v>-1.0055057204353006E-2</v>
      </c>
    </row>
    <row r="5376" spans="6:7" x14ac:dyDescent="0.25">
      <c r="F5376">
        <v>5373</v>
      </c>
      <c r="G5376">
        <f ca="1">_xlfn.NORM.INV(RAND(),$M$7,$M$8)</f>
        <v>1.7465025050557071E-2</v>
      </c>
    </row>
    <row r="5377" spans="6:7" x14ac:dyDescent="0.25">
      <c r="F5377">
        <v>5374</v>
      </c>
      <c r="G5377">
        <f ca="1">_xlfn.NORM.INV(RAND(),$M$7,$M$8)</f>
        <v>-1.9422864209255954E-2</v>
      </c>
    </row>
    <row r="5378" spans="6:7" x14ac:dyDescent="0.25">
      <c r="F5378">
        <v>5375</v>
      </c>
      <c r="G5378">
        <f ca="1">_xlfn.NORM.INV(RAND(),$M$7,$M$8)</f>
        <v>-1.7676527025890322E-2</v>
      </c>
    </row>
    <row r="5379" spans="6:7" x14ac:dyDescent="0.25">
      <c r="F5379">
        <v>5376</v>
      </c>
      <c r="G5379">
        <f ca="1">_xlfn.NORM.INV(RAND(),$M$7,$M$8)</f>
        <v>-9.6646177262641082E-3</v>
      </c>
    </row>
    <row r="5380" spans="6:7" x14ac:dyDescent="0.25">
      <c r="F5380">
        <v>5377</v>
      </c>
      <c r="G5380">
        <f ca="1">_xlfn.NORM.INV(RAND(),$M$7,$M$8)</f>
        <v>4.2477218150795595E-2</v>
      </c>
    </row>
    <row r="5381" spans="6:7" x14ac:dyDescent="0.25">
      <c r="F5381">
        <v>5378</v>
      </c>
      <c r="G5381">
        <f ca="1">_xlfn.NORM.INV(RAND(),$M$7,$M$8)</f>
        <v>2.8653938896118607E-2</v>
      </c>
    </row>
    <row r="5382" spans="6:7" x14ac:dyDescent="0.25">
      <c r="F5382">
        <v>5379</v>
      </c>
      <c r="G5382">
        <f ca="1">_xlfn.NORM.INV(RAND(),$M$7,$M$8)</f>
        <v>1.0156444173991662E-2</v>
      </c>
    </row>
    <row r="5383" spans="6:7" x14ac:dyDescent="0.25">
      <c r="F5383">
        <v>5380</v>
      </c>
      <c r="G5383">
        <f ca="1">_xlfn.NORM.INV(RAND(),$M$7,$M$8)</f>
        <v>4.1219909495917757E-2</v>
      </c>
    </row>
    <row r="5384" spans="6:7" x14ac:dyDescent="0.25">
      <c r="F5384">
        <v>5381</v>
      </c>
      <c r="G5384">
        <f ca="1">_xlfn.NORM.INV(RAND(),$M$7,$M$8)</f>
        <v>1.8614271947567946E-2</v>
      </c>
    </row>
    <row r="5385" spans="6:7" x14ac:dyDescent="0.25">
      <c r="F5385">
        <v>5382</v>
      </c>
      <c r="G5385">
        <f ca="1">_xlfn.NORM.INV(RAND(),$M$7,$M$8)</f>
        <v>1.4588054003491094E-3</v>
      </c>
    </row>
    <row r="5386" spans="6:7" x14ac:dyDescent="0.25">
      <c r="F5386">
        <v>5383</v>
      </c>
      <c r="G5386">
        <f ca="1">_xlfn.NORM.INV(RAND(),$M$7,$M$8)</f>
        <v>5.0415914698658405E-3</v>
      </c>
    </row>
    <row r="5387" spans="6:7" x14ac:dyDescent="0.25">
      <c r="F5387">
        <v>5384</v>
      </c>
      <c r="G5387">
        <f ca="1">_xlfn.NORM.INV(RAND(),$M$7,$M$8)</f>
        <v>1.1506530720996526E-2</v>
      </c>
    </row>
    <row r="5388" spans="6:7" x14ac:dyDescent="0.25">
      <c r="F5388">
        <v>5385</v>
      </c>
      <c r="G5388">
        <f ca="1">_xlfn.NORM.INV(RAND(),$M$7,$M$8)</f>
        <v>4.8511422207081038E-2</v>
      </c>
    </row>
    <row r="5389" spans="6:7" x14ac:dyDescent="0.25">
      <c r="F5389">
        <v>5386</v>
      </c>
      <c r="G5389">
        <f ca="1">_xlfn.NORM.INV(RAND(),$M$7,$M$8)</f>
        <v>1.5509428203136931E-2</v>
      </c>
    </row>
    <row r="5390" spans="6:7" x14ac:dyDescent="0.25">
      <c r="F5390">
        <v>5387</v>
      </c>
      <c r="G5390">
        <f ca="1">_xlfn.NORM.INV(RAND(),$M$7,$M$8)</f>
        <v>-8.8988473517151636E-3</v>
      </c>
    </row>
    <row r="5391" spans="6:7" x14ac:dyDescent="0.25">
      <c r="F5391">
        <v>5388</v>
      </c>
      <c r="G5391">
        <f ca="1">_xlfn.NORM.INV(RAND(),$M$7,$M$8)</f>
        <v>3.710989252079354E-3</v>
      </c>
    </row>
    <row r="5392" spans="6:7" x14ac:dyDescent="0.25">
      <c r="F5392">
        <v>5389</v>
      </c>
      <c r="G5392">
        <f ca="1">_xlfn.NORM.INV(RAND(),$M$7,$M$8)</f>
        <v>-1.5114516237369024E-3</v>
      </c>
    </row>
    <row r="5393" spans="6:7" x14ac:dyDescent="0.25">
      <c r="F5393">
        <v>5390</v>
      </c>
      <c r="G5393">
        <f ca="1">_xlfn.NORM.INV(RAND(),$M$7,$M$8)</f>
        <v>1.0477618746689718E-2</v>
      </c>
    </row>
    <row r="5394" spans="6:7" x14ac:dyDescent="0.25">
      <c r="F5394">
        <v>5391</v>
      </c>
      <c r="G5394">
        <f ca="1">_xlfn.NORM.INV(RAND(),$M$7,$M$8)</f>
        <v>2.2751277615231148E-2</v>
      </c>
    </row>
    <row r="5395" spans="6:7" x14ac:dyDescent="0.25">
      <c r="F5395">
        <v>5392</v>
      </c>
      <c r="G5395">
        <f ca="1">_xlfn.NORM.INV(RAND(),$M$7,$M$8)</f>
        <v>1.4127513127568487E-2</v>
      </c>
    </row>
    <row r="5396" spans="6:7" x14ac:dyDescent="0.25">
      <c r="F5396">
        <v>5393</v>
      </c>
      <c r="G5396">
        <f ca="1">_xlfn.NORM.INV(RAND(),$M$7,$M$8)</f>
        <v>-8.8746554216004286E-3</v>
      </c>
    </row>
    <row r="5397" spans="6:7" x14ac:dyDescent="0.25">
      <c r="F5397">
        <v>5394</v>
      </c>
      <c r="G5397">
        <f ca="1">_xlfn.NORM.INV(RAND(),$M$7,$M$8)</f>
        <v>-7.5685453893118114E-3</v>
      </c>
    </row>
    <row r="5398" spans="6:7" x14ac:dyDescent="0.25">
      <c r="F5398">
        <v>5395</v>
      </c>
      <c r="G5398">
        <f ca="1">_xlfn.NORM.INV(RAND(),$M$7,$M$8)</f>
        <v>-8.2801151623751214E-3</v>
      </c>
    </row>
    <row r="5399" spans="6:7" x14ac:dyDescent="0.25">
      <c r="F5399">
        <v>5396</v>
      </c>
      <c r="G5399">
        <f ca="1">_xlfn.NORM.INV(RAND(),$M$7,$M$8)</f>
        <v>1.1173771095385232E-2</v>
      </c>
    </row>
    <row r="5400" spans="6:7" x14ac:dyDescent="0.25">
      <c r="F5400">
        <v>5397</v>
      </c>
      <c r="G5400">
        <f ca="1">_xlfn.NORM.INV(RAND(),$M$7,$M$8)</f>
        <v>9.7586315487176514E-3</v>
      </c>
    </row>
    <row r="5401" spans="6:7" x14ac:dyDescent="0.25">
      <c r="F5401">
        <v>5398</v>
      </c>
      <c r="G5401">
        <f ca="1">_xlfn.NORM.INV(RAND(),$M$7,$M$8)</f>
        <v>-1.9676002299489829E-3</v>
      </c>
    </row>
    <row r="5402" spans="6:7" x14ac:dyDescent="0.25">
      <c r="F5402">
        <v>5399</v>
      </c>
      <c r="G5402">
        <f ca="1">_xlfn.NORM.INV(RAND(),$M$7,$M$8)</f>
        <v>-4.2735870451890826E-2</v>
      </c>
    </row>
    <row r="5403" spans="6:7" x14ac:dyDescent="0.25">
      <c r="F5403">
        <v>5400</v>
      </c>
      <c r="G5403">
        <f ca="1">_xlfn.NORM.INV(RAND(),$M$7,$M$8)</f>
        <v>-1.6539266509123175E-3</v>
      </c>
    </row>
    <row r="5404" spans="6:7" x14ac:dyDescent="0.25">
      <c r="F5404">
        <v>5401</v>
      </c>
      <c r="G5404">
        <f ca="1">_xlfn.NORM.INV(RAND(),$M$7,$M$8)</f>
        <v>4.4980622314292742E-2</v>
      </c>
    </row>
    <row r="5405" spans="6:7" x14ac:dyDescent="0.25">
      <c r="F5405">
        <v>5402</v>
      </c>
      <c r="G5405">
        <f ca="1">_xlfn.NORM.INV(RAND(),$M$7,$M$8)</f>
        <v>1.1304970799542581E-2</v>
      </c>
    </row>
    <row r="5406" spans="6:7" x14ac:dyDescent="0.25">
      <c r="F5406">
        <v>5403</v>
      </c>
      <c r="G5406">
        <f ca="1">_xlfn.NORM.INV(RAND(),$M$7,$M$8)</f>
        <v>8.7066060720024079E-3</v>
      </c>
    </row>
    <row r="5407" spans="6:7" x14ac:dyDescent="0.25">
      <c r="F5407">
        <v>5404</v>
      </c>
      <c r="G5407">
        <f ca="1">_xlfn.NORM.INV(RAND(),$M$7,$M$8)</f>
        <v>2.1119477443237823E-2</v>
      </c>
    </row>
    <row r="5408" spans="6:7" x14ac:dyDescent="0.25">
      <c r="F5408">
        <v>5405</v>
      </c>
      <c r="G5408">
        <f ca="1">_xlfn.NORM.INV(RAND(),$M$7,$M$8)</f>
        <v>-4.9658872195582814E-2</v>
      </c>
    </row>
    <row r="5409" spans="6:7" x14ac:dyDescent="0.25">
      <c r="F5409">
        <v>5406</v>
      </c>
      <c r="G5409">
        <f ca="1">_xlfn.NORM.INV(RAND(),$M$7,$M$8)</f>
        <v>1.228615319138272E-2</v>
      </c>
    </row>
    <row r="5410" spans="6:7" x14ac:dyDescent="0.25">
      <c r="F5410">
        <v>5407</v>
      </c>
      <c r="G5410">
        <f ca="1">_xlfn.NORM.INV(RAND(),$M$7,$M$8)</f>
        <v>-3.4688123927347561E-2</v>
      </c>
    </row>
    <row r="5411" spans="6:7" x14ac:dyDescent="0.25">
      <c r="F5411">
        <v>5408</v>
      </c>
      <c r="G5411">
        <f ca="1">_xlfn.NORM.INV(RAND(),$M$7,$M$8)</f>
        <v>-2.0528348582132326E-3</v>
      </c>
    </row>
    <row r="5412" spans="6:7" x14ac:dyDescent="0.25">
      <c r="F5412">
        <v>5409</v>
      </c>
      <c r="G5412">
        <f ca="1">_xlfn.NORM.INV(RAND(),$M$7,$M$8)</f>
        <v>2.6504432260912258E-2</v>
      </c>
    </row>
    <row r="5413" spans="6:7" x14ac:dyDescent="0.25">
      <c r="F5413">
        <v>5410</v>
      </c>
      <c r="G5413">
        <f ca="1">_xlfn.NORM.INV(RAND(),$M$7,$M$8)</f>
        <v>1.4711893697398944E-2</v>
      </c>
    </row>
    <row r="5414" spans="6:7" x14ac:dyDescent="0.25">
      <c r="F5414">
        <v>5411</v>
      </c>
      <c r="G5414">
        <f ca="1">_xlfn.NORM.INV(RAND(),$M$7,$M$8)</f>
        <v>1.7569996359612832E-3</v>
      </c>
    </row>
    <row r="5415" spans="6:7" x14ac:dyDescent="0.25">
      <c r="F5415">
        <v>5412</v>
      </c>
      <c r="G5415">
        <f ca="1">_xlfn.NORM.INV(RAND(),$M$7,$M$8)</f>
        <v>-4.5630289812536418E-2</v>
      </c>
    </row>
    <row r="5416" spans="6:7" x14ac:dyDescent="0.25">
      <c r="F5416">
        <v>5413</v>
      </c>
      <c r="G5416">
        <f ca="1">_xlfn.NORM.INV(RAND(),$M$7,$M$8)</f>
        <v>-1.847046050730513E-2</v>
      </c>
    </row>
    <row r="5417" spans="6:7" x14ac:dyDescent="0.25">
      <c r="F5417">
        <v>5414</v>
      </c>
      <c r="G5417">
        <f ca="1">_xlfn.NORM.INV(RAND(),$M$7,$M$8)</f>
        <v>-2.3711294586290982E-2</v>
      </c>
    </row>
    <row r="5418" spans="6:7" x14ac:dyDescent="0.25">
      <c r="F5418">
        <v>5415</v>
      </c>
      <c r="G5418">
        <f ca="1">_xlfn.NORM.INV(RAND(),$M$7,$M$8)</f>
        <v>-3.6086460749670111E-2</v>
      </c>
    </row>
    <row r="5419" spans="6:7" x14ac:dyDescent="0.25">
      <c r="F5419">
        <v>5416</v>
      </c>
      <c r="G5419">
        <f ca="1">_xlfn.NORM.INV(RAND(),$M$7,$M$8)</f>
        <v>1.3432370150877296E-2</v>
      </c>
    </row>
    <row r="5420" spans="6:7" x14ac:dyDescent="0.25">
      <c r="F5420">
        <v>5417</v>
      </c>
      <c r="G5420">
        <f ca="1">_xlfn.NORM.INV(RAND(),$M$7,$M$8)</f>
        <v>-1.3909550099560871E-2</v>
      </c>
    </row>
    <row r="5421" spans="6:7" x14ac:dyDescent="0.25">
      <c r="F5421">
        <v>5418</v>
      </c>
      <c r="G5421">
        <f ca="1">_xlfn.NORM.INV(RAND(),$M$7,$M$8)</f>
        <v>6.0245598752262652E-2</v>
      </c>
    </row>
    <row r="5422" spans="6:7" x14ac:dyDescent="0.25">
      <c r="F5422">
        <v>5419</v>
      </c>
      <c r="G5422">
        <f ca="1">_xlfn.NORM.INV(RAND(),$M$7,$M$8)</f>
        <v>-1.6052648519241188E-3</v>
      </c>
    </row>
    <row r="5423" spans="6:7" x14ac:dyDescent="0.25">
      <c r="F5423">
        <v>5420</v>
      </c>
      <c r="G5423">
        <f ca="1">_xlfn.NORM.INV(RAND(),$M$7,$M$8)</f>
        <v>-4.3340423997436914E-2</v>
      </c>
    </row>
    <row r="5424" spans="6:7" x14ac:dyDescent="0.25">
      <c r="F5424">
        <v>5421</v>
      </c>
      <c r="G5424">
        <f ca="1">_xlfn.NORM.INV(RAND(),$M$7,$M$8)</f>
        <v>4.5234282262859018E-3</v>
      </c>
    </row>
    <row r="5425" spans="6:7" x14ac:dyDescent="0.25">
      <c r="F5425">
        <v>5422</v>
      </c>
      <c r="G5425">
        <f ca="1">_xlfn.NORM.INV(RAND(),$M$7,$M$8)</f>
        <v>1.3643349360166588E-2</v>
      </c>
    </row>
    <row r="5426" spans="6:7" x14ac:dyDescent="0.25">
      <c r="F5426">
        <v>5423</v>
      </c>
      <c r="G5426">
        <f ca="1">_xlfn.NORM.INV(RAND(),$M$7,$M$8)</f>
        <v>2.4008844692773285E-2</v>
      </c>
    </row>
    <row r="5427" spans="6:7" x14ac:dyDescent="0.25">
      <c r="F5427">
        <v>5424</v>
      </c>
      <c r="G5427">
        <f ca="1">_xlfn.NORM.INV(RAND(),$M$7,$M$8)</f>
        <v>-6.448361290574434E-3</v>
      </c>
    </row>
    <row r="5428" spans="6:7" x14ac:dyDescent="0.25">
      <c r="F5428">
        <v>5425</v>
      </c>
      <c r="G5428">
        <f ca="1">_xlfn.NORM.INV(RAND(),$M$7,$M$8)</f>
        <v>4.2467269368239302E-2</v>
      </c>
    </row>
    <row r="5429" spans="6:7" x14ac:dyDescent="0.25">
      <c r="F5429">
        <v>5426</v>
      </c>
      <c r="G5429">
        <f ca="1">_xlfn.NORM.INV(RAND(),$M$7,$M$8)</f>
        <v>3.695215170720885E-2</v>
      </c>
    </row>
    <row r="5430" spans="6:7" x14ac:dyDescent="0.25">
      <c r="F5430">
        <v>5427</v>
      </c>
      <c r="G5430">
        <f ca="1">_xlfn.NORM.INV(RAND(),$M$7,$M$8)</f>
        <v>-1.2887797601515543E-2</v>
      </c>
    </row>
    <row r="5431" spans="6:7" x14ac:dyDescent="0.25">
      <c r="F5431">
        <v>5428</v>
      </c>
      <c r="G5431">
        <f ca="1">_xlfn.NORM.INV(RAND(),$M$7,$M$8)</f>
        <v>1.5921533060981142E-2</v>
      </c>
    </row>
    <row r="5432" spans="6:7" x14ac:dyDescent="0.25">
      <c r="F5432">
        <v>5429</v>
      </c>
      <c r="G5432">
        <f ca="1">_xlfn.NORM.INV(RAND(),$M$7,$M$8)</f>
        <v>3.2843815194060263E-3</v>
      </c>
    </row>
    <row r="5433" spans="6:7" x14ac:dyDescent="0.25">
      <c r="F5433">
        <v>5430</v>
      </c>
      <c r="G5433">
        <f ca="1">_xlfn.NORM.INV(RAND(),$M$7,$M$8)</f>
        <v>-2.3677267455135147E-2</v>
      </c>
    </row>
    <row r="5434" spans="6:7" x14ac:dyDescent="0.25">
      <c r="F5434">
        <v>5431</v>
      </c>
      <c r="G5434">
        <f ca="1">_xlfn.NORM.INV(RAND(),$M$7,$M$8)</f>
        <v>-1.2657392242254378E-3</v>
      </c>
    </row>
    <row r="5435" spans="6:7" x14ac:dyDescent="0.25">
      <c r="F5435">
        <v>5432</v>
      </c>
      <c r="G5435">
        <f ca="1">_xlfn.NORM.INV(RAND(),$M$7,$M$8)</f>
        <v>4.1575072392202759E-3</v>
      </c>
    </row>
    <row r="5436" spans="6:7" x14ac:dyDescent="0.25">
      <c r="F5436">
        <v>5433</v>
      </c>
      <c r="G5436">
        <f ca="1">_xlfn.NORM.INV(RAND(),$M$7,$M$8)</f>
        <v>-1.4038370660677124E-2</v>
      </c>
    </row>
    <row r="5437" spans="6:7" x14ac:dyDescent="0.25">
      <c r="F5437">
        <v>5434</v>
      </c>
      <c r="G5437">
        <f ca="1">_xlfn.NORM.INV(RAND(),$M$7,$M$8)</f>
        <v>4.5489935483064244E-2</v>
      </c>
    </row>
    <row r="5438" spans="6:7" x14ac:dyDescent="0.25">
      <c r="F5438">
        <v>5435</v>
      </c>
      <c r="G5438">
        <f ca="1">_xlfn.NORM.INV(RAND(),$M$7,$M$8)</f>
        <v>-3.4774357553253245E-3</v>
      </c>
    </row>
    <row r="5439" spans="6:7" x14ac:dyDescent="0.25">
      <c r="F5439">
        <v>5436</v>
      </c>
      <c r="G5439">
        <f ca="1">_xlfn.NORM.INV(RAND(),$M$7,$M$8)</f>
        <v>-1.0872145284009014E-2</v>
      </c>
    </row>
    <row r="5440" spans="6:7" x14ac:dyDescent="0.25">
      <c r="F5440">
        <v>5437</v>
      </c>
      <c r="G5440">
        <f ca="1">_xlfn.NORM.INV(RAND(),$M$7,$M$8)</f>
        <v>-7.709091489303533E-3</v>
      </c>
    </row>
    <row r="5441" spans="6:7" x14ac:dyDescent="0.25">
      <c r="F5441">
        <v>5438</v>
      </c>
      <c r="G5441">
        <f ca="1">_xlfn.NORM.INV(RAND(),$M$7,$M$8)</f>
        <v>3.1446864343242877E-2</v>
      </c>
    </row>
    <row r="5442" spans="6:7" x14ac:dyDescent="0.25">
      <c r="F5442">
        <v>5439</v>
      </c>
      <c r="G5442">
        <f ca="1">_xlfn.NORM.INV(RAND(),$M$7,$M$8)</f>
        <v>-2.1762085419546356E-2</v>
      </c>
    </row>
    <row r="5443" spans="6:7" x14ac:dyDescent="0.25">
      <c r="F5443">
        <v>5440</v>
      </c>
      <c r="G5443">
        <f ca="1">_xlfn.NORM.INV(RAND(),$M$7,$M$8)</f>
        <v>-3.8852231993481332E-4</v>
      </c>
    </row>
    <row r="5444" spans="6:7" x14ac:dyDescent="0.25">
      <c r="F5444">
        <v>5441</v>
      </c>
      <c r="G5444">
        <f ca="1">_xlfn.NORM.INV(RAND(),$M$7,$M$8)</f>
        <v>-1.4691143695804336E-3</v>
      </c>
    </row>
    <row r="5445" spans="6:7" x14ac:dyDescent="0.25">
      <c r="F5445">
        <v>5442</v>
      </c>
      <c r="G5445">
        <f ca="1">_xlfn.NORM.INV(RAND(),$M$7,$M$8)</f>
        <v>1.6239144869655074E-2</v>
      </c>
    </row>
    <row r="5446" spans="6:7" x14ac:dyDescent="0.25">
      <c r="F5446">
        <v>5443</v>
      </c>
      <c r="G5446">
        <f ca="1">_xlfn.NORM.INV(RAND(),$M$7,$M$8)</f>
        <v>4.6872789122506617E-3</v>
      </c>
    </row>
    <row r="5447" spans="6:7" x14ac:dyDescent="0.25">
      <c r="F5447">
        <v>5444</v>
      </c>
      <c r="G5447">
        <f ca="1">_xlfn.NORM.INV(RAND(),$M$7,$M$8)</f>
        <v>-1.0413136667206823E-2</v>
      </c>
    </row>
    <row r="5448" spans="6:7" x14ac:dyDescent="0.25">
      <c r="F5448">
        <v>5445</v>
      </c>
      <c r="G5448">
        <f ca="1">_xlfn.NORM.INV(RAND(),$M$7,$M$8)</f>
        <v>-2.7703534739535518E-2</v>
      </c>
    </row>
    <row r="5449" spans="6:7" x14ac:dyDescent="0.25">
      <c r="F5449">
        <v>5446</v>
      </c>
      <c r="G5449">
        <f ca="1">_xlfn.NORM.INV(RAND(),$M$7,$M$8)</f>
        <v>-5.4985141578359528E-2</v>
      </c>
    </row>
    <row r="5450" spans="6:7" x14ac:dyDescent="0.25">
      <c r="F5450">
        <v>5447</v>
      </c>
      <c r="G5450">
        <f ca="1">_xlfn.NORM.INV(RAND(),$M$7,$M$8)</f>
        <v>2.0650357514024366E-2</v>
      </c>
    </row>
    <row r="5451" spans="6:7" x14ac:dyDescent="0.25">
      <c r="F5451">
        <v>5448</v>
      </c>
      <c r="G5451">
        <f ca="1">_xlfn.NORM.INV(RAND(),$M$7,$M$8)</f>
        <v>8.8087444528946266E-3</v>
      </c>
    </row>
    <row r="5452" spans="6:7" x14ac:dyDescent="0.25">
      <c r="F5452">
        <v>5449</v>
      </c>
      <c r="G5452">
        <f ca="1">_xlfn.NORM.INV(RAND(),$M$7,$M$8)</f>
        <v>1.6790142962406336E-2</v>
      </c>
    </row>
    <row r="5453" spans="6:7" x14ac:dyDescent="0.25">
      <c r="F5453">
        <v>5450</v>
      </c>
      <c r="G5453">
        <f ca="1">_xlfn.NORM.INV(RAND(),$M$7,$M$8)</f>
        <v>-3.0299095901341428E-3</v>
      </c>
    </row>
    <row r="5454" spans="6:7" x14ac:dyDescent="0.25">
      <c r="F5454">
        <v>5451</v>
      </c>
      <c r="G5454">
        <f ca="1">_xlfn.NORM.INV(RAND(),$M$7,$M$8)</f>
        <v>2.9113957353123936E-2</v>
      </c>
    </row>
    <row r="5455" spans="6:7" x14ac:dyDescent="0.25">
      <c r="F5455">
        <v>5452</v>
      </c>
      <c r="G5455">
        <f ca="1">_xlfn.NORM.INV(RAND(),$M$7,$M$8)</f>
        <v>-3.3051686305142304E-2</v>
      </c>
    </row>
    <row r="5456" spans="6:7" x14ac:dyDescent="0.25">
      <c r="F5456">
        <v>5453</v>
      </c>
      <c r="G5456">
        <f ca="1">_xlfn.NORM.INV(RAND(),$M$7,$M$8)</f>
        <v>1.3600698969405847E-2</v>
      </c>
    </row>
    <row r="5457" spans="6:7" x14ac:dyDescent="0.25">
      <c r="F5457">
        <v>5454</v>
      </c>
      <c r="G5457">
        <f ca="1">_xlfn.NORM.INV(RAND(),$M$7,$M$8)</f>
        <v>1.3146084291642454E-2</v>
      </c>
    </row>
    <row r="5458" spans="6:7" x14ac:dyDescent="0.25">
      <c r="F5458">
        <v>5455</v>
      </c>
      <c r="G5458">
        <f ca="1">_xlfn.NORM.INV(RAND(),$M$7,$M$8)</f>
        <v>-1.8550949809262963E-2</v>
      </c>
    </row>
    <row r="5459" spans="6:7" x14ac:dyDescent="0.25">
      <c r="F5459">
        <v>5456</v>
      </c>
      <c r="G5459">
        <f ca="1">_xlfn.NORM.INV(RAND(),$M$7,$M$8)</f>
        <v>-2.1647632481890326E-2</v>
      </c>
    </row>
    <row r="5460" spans="6:7" x14ac:dyDescent="0.25">
      <c r="F5460">
        <v>5457</v>
      </c>
      <c r="G5460">
        <f ca="1">_xlfn.NORM.INV(RAND(),$M$7,$M$8)</f>
        <v>8.5921779057346447E-3</v>
      </c>
    </row>
    <row r="5461" spans="6:7" x14ac:dyDescent="0.25">
      <c r="F5461">
        <v>5458</v>
      </c>
      <c r="G5461">
        <f ca="1">_xlfn.NORM.INV(RAND(),$M$7,$M$8)</f>
        <v>-8.2228570638573049E-3</v>
      </c>
    </row>
    <row r="5462" spans="6:7" x14ac:dyDescent="0.25">
      <c r="F5462">
        <v>5459</v>
      </c>
      <c r="G5462">
        <f ca="1">_xlfn.NORM.INV(RAND(),$M$7,$M$8)</f>
        <v>1.2047025051806305E-2</v>
      </c>
    </row>
    <row r="5463" spans="6:7" x14ac:dyDescent="0.25">
      <c r="F5463">
        <v>5460</v>
      </c>
      <c r="G5463">
        <f ca="1">_xlfn.NORM.INV(RAND(),$M$7,$M$8)</f>
        <v>-3.9930048497251236E-2</v>
      </c>
    </row>
    <row r="5464" spans="6:7" x14ac:dyDescent="0.25">
      <c r="F5464">
        <v>5461</v>
      </c>
      <c r="G5464">
        <f ca="1">_xlfn.NORM.INV(RAND(),$M$7,$M$8)</f>
        <v>3.2426107805987335E-2</v>
      </c>
    </row>
    <row r="5465" spans="6:7" x14ac:dyDescent="0.25">
      <c r="F5465">
        <v>5462</v>
      </c>
      <c r="G5465">
        <f ca="1">_xlfn.NORM.INV(RAND(),$M$7,$M$8)</f>
        <v>-4.2616532022284777E-2</v>
      </c>
    </row>
    <row r="5466" spans="6:7" x14ac:dyDescent="0.25">
      <c r="F5466">
        <v>5463</v>
      </c>
      <c r="G5466">
        <f ca="1">_xlfn.NORM.INV(RAND(),$M$7,$M$8)</f>
        <v>-1.4742094285809497E-2</v>
      </c>
    </row>
    <row r="5467" spans="6:7" x14ac:dyDescent="0.25">
      <c r="F5467">
        <v>5464</v>
      </c>
      <c r="G5467">
        <f ca="1">_xlfn.NORM.INV(RAND(),$M$7,$M$8)</f>
        <v>1.6012603927487979E-2</v>
      </c>
    </row>
    <row r="5468" spans="6:7" x14ac:dyDescent="0.25">
      <c r="F5468">
        <v>5465</v>
      </c>
      <c r="G5468">
        <f ca="1">_xlfn.NORM.INV(RAND(),$M$7,$M$8)</f>
        <v>1.8694848134573915E-2</v>
      </c>
    </row>
    <row r="5469" spans="6:7" x14ac:dyDescent="0.25">
      <c r="F5469">
        <v>5466</v>
      </c>
      <c r="G5469">
        <f ca="1">_xlfn.NORM.INV(RAND(),$M$7,$M$8)</f>
        <v>-1.5229997953580166E-3</v>
      </c>
    </row>
    <row r="5470" spans="6:7" x14ac:dyDescent="0.25">
      <c r="F5470">
        <v>5467</v>
      </c>
      <c r="G5470">
        <f ca="1">_xlfn.NORM.INV(RAND(),$M$7,$M$8)</f>
        <v>-1.8796073891558976E-2</v>
      </c>
    </row>
    <row r="5471" spans="6:7" x14ac:dyDescent="0.25">
      <c r="F5471">
        <v>5468</v>
      </c>
      <c r="G5471">
        <f ca="1">_xlfn.NORM.INV(RAND(),$M$7,$M$8)</f>
        <v>3.3465231230486003E-2</v>
      </c>
    </row>
    <row r="5472" spans="6:7" x14ac:dyDescent="0.25">
      <c r="F5472">
        <v>5469</v>
      </c>
      <c r="G5472">
        <f ca="1">_xlfn.NORM.INV(RAND(),$M$7,$M$8)</f>
        <v>1.7742640652114821E-2</v>
      </c>
    </row>
    <row r="5473" spans="6:7" x14ac:dyDescent="0.25">
      <c r="F5473">
        <v>5470</v>
      </c>
      <c r="G5473">
        <f ca="1">_xlfn.NORM.INV(RAND(),$M$7,$M$8)</f>
        <v>-1.7454026551366087E-3</v>
      </c>
    </row>
    <row r="5474" spans="6:7" x14ac:dyDescent="0.25">
      <c r="F5474">
        <v>5471</v>
      </c>
      <c r="G5474">
        <f ca="1">_xlfn.NORM.INV(RAND(),$M$7,$M$8)</f>
        <v>5.224417167824482E-2</v>
      </c>
    </row>
    <row r="5475" spans="6:7" x14ac:dyDescent="0.25">
      <c r="F5475">
        <v>5472</v>
      </c>
      <c r="G5475">
        <f ca="1">_xlfn.NORM.INV(RAND(),$M$7,$M$8)</f>
        <v>-1.1923132311925749E-2</v>
      </c>
    </row>
    <row r="5476" spans="6:7" x14ac:dyDescent="0.25">
      <c r="F5476">
        <v>5473</v>
      </c>
      <c r="G5476">
        <f ca="1">_xlfn.NORM.INV(RAND(),$M$7,$M$8)</f>
        <v>-3.683890598590082E-3</v>
      </c>
    </row>
    <row r="5477" spans="6:7" x14ac:dyDescent="0.25">
      <c r="F5477">
        <v>5474</v>
      </c>
      <c r="G5477">
        <f ca="1">_xlfn.NORM.INV(RAND(),$M$7,$M$8)</f>
        <v>-2.3501690207098219E-2</v>
      </c>
    </row>
    <row r="5478" spans="6:7" x14ac:dyDescent="0.25">
      <c r="F5478">
        <v>5475</v>
      </c>
      <c r="G5478">
        <f ca="1">_xlfn.NORM.INV(RAND(),$M$7,$M$8)</f>
        <v>-6.3927970971905279E-2</v>
      </c>
    </row>
    <row r="5479" spans="6:7" x14ac:dyDescent="0.25">
      <c r="F5479">
        <v>5476</v>
      </c>
      <c r="G5479">
        <f ca="1">_xlfn.NORM.INV(RAND(),$M$7,$M$8)</f>
        <v>-2.1311375044310251E-3</v>
      </c>
    </row>
    <row r="5480" spans="6:7" x14ac:dyDescent="0.25">
      <c r="F5480">
        <v>5477</v>
      </c>
      <c r="G5480">
        <f ca="1">_xlfn.NORM.INV(RAND(),$M$7,$M$8)</f>
        <v>3.1020219704332826E-2</v>
      </c>
    </row>
    <row r="5481" spans="6:7" x14ac:dyDescent="0.25">
      <c r="F5481">
        <v>5478</v>
      </c>
      <c r="G5481">
        <f ca="1">_xlfn.NORM.INV(RAND(),$M$7,$M$8)</f>
        <v>1.1259524573708601E-2</v>
      </c>
    </row>
    <row r="5482" spans="6:7" x14ac:dyDescent="0.25">
      <c r="F5482">
        <v>5479</v>
      </c>
      <c r="G5482">
        <f ca="1">_xlfn.NORM.INV(RAND(),$M$7,$M$8)</f>
        <v>-4.8172253172240071E-3</v>
      </c>
    </row>
    <row r="5483" spans="6:7" x14ac:dyDescent="0.25">
      <c r="F5483">
        <v>5480</v>
      </c>
      <c r="G5483">
        <f ca="1">_xlfn.NORM.INV(RAND(),$M$7,$M$8)</f>
        <v>-2.3581444959582414E-2</v>
      </c>
    </row>
    <row r="5484" spans="6:7" x14ac:dyDescent="0.25">
      <c r="F5484">
        <v>5481</v>
      </c>
      <c r="G5484">
        <f ca="1">_xlfn.NORM.INV(RAND(),$M$7,$M$8)</f>
        <v>-8.8325237957548701E-3</v>
      </c>
    </row>
    <row r="5485" spans="6:7" x14ac:dyDescent="0.25">
      <c r="F5485">
        <v>5482</v>
      </c>
      <c r="G5485">
        <f ca="1">_xlfn.NORM.INV(RAND(),$M$7,$M$8)</f>
        <v>3.0150526885295379E-2</v>
      </c>
    </row>
    <row r="5486" spans="6:7" x14ac:dyDescent="0.25">
      <c r="F5486">
        <v>5483</v>
      </c>
      <c r="G5486">
        <f ca="1">_xlfn.NORM.INV(RAND(),$M$7,$M$8)</f>
        <v>3.250270909623923E-3</v>
      </c>
    </row>
    <row r="5487" spans="6:7" x14ac:dyDescent="0.25">
      <c r="F5487">
        <v>5484</v>
      </c>
      <c r="G5487">
        <f ca="1">_xlfn.NORM.INV(RAND(),$M$7,$M$8)</f>
        <v>6.3469943086156642E-3</v>
      </c>
    </row>
    <row r="5488" spans="6:7" x14ac:dyDescent="0.25">
      <c r="F5488">
        <v>5485</v>
      </c>
      <c r="G5488">
        <f ca="1">_xlfn.NORM.INV(RAND(),$M$7,$M$8)</f>
        <v>1.172286181285797E-2</v>
      </c>
    </row>
    <row r="5489" spans="6:7" x14ac:dyDescent="0.25">
      <c r="F5489">
        <v>5486</v>
      </c>
      <c r="G5489">
        <f ca="1">_xlfn.NORM.INV(RAND(),$M$7,$M$8)</f>
        <v>1.8463117081416913E-2</v>
      </c>
    </row>
    <row r="5490" spans="6:7" x14ac:dyDescent="0.25">
      <c r="F5490">
        <v>5487</v>
      </c>
      <c r="G5490">
        <f ca="1">_xlfn.NORM.INV(RAND(),$M$7,$M$8)</f>
        <v>1.9885906152968248E-2</v>
      </c>
    </row>
    <row r="5491" spans="6:7" x14ac:dyDescent="0.25">
      <c r="F5491">
        <v>5488</v>
      </c>
      <c r="G5491">
        <f ca="1">_xlfn.NORM.INV(RAND(),$M$7,$M$8)</f>
        <v>-2.2121528849149714E-2</v>
      </c>
    </row>
    <row r="5492" spans="6:7" x14ac:dyDescent="0.25">
      <c r="F5492">
        <v>5489</v>
      </c>
      <c r="G5492">
        <f ca="1">_xlfn.NORM.INV(RAND(),$M$7,$M$8)</f>
        <v>3.0904244382442248E-3</v>
      </c>
    </row>
    <row r="5493" spans="6:7" x14ac:dyDescent="0.25">
      <c r="F5493">
        <v>5490</v>
      </c>
      <c r="G5493">
        <f ca="1">_xlfn.NORM.INV(RAND(),$M$7,$M$8)</f>
        <v>-8.1050746182531382E-3</v>
      </c>
    </row>
    <row r="5494" spans="6:7" x14ac:dyDescent="0.25">
      <c r="F5494">
        <v>5491</v>
      </c>
      <c r="G5494">
        <f ca="1">_xlfn.NORM.INV(RAND(),$M$7,$M$8)</f>
        <v>-1.9248220626046884E-2</v>
      </c>
    </row>
    <row r="5495" spans="6:7" x14ac:dyDescent="0.25">
      <c r="F5495">
        <v>5492</v>
      </c>
      <c r="G5495">
        <f ca="1">_xlfn.NORM.INV(RAND(),$M$7,$M$8)</f>
        <v>-4.6163103113029801E-3</v>
      </c>
    </row>
    <row r="5496" spans="6:7" x14ac:dyDescent="0.25">
      <c r="F5496">
        <v>5493</v>
      </c>
      <c r="G5496">
        <f ca="1">_xlfn.NORM.INV(RAND(),$M$7,$M$8)</f>
        <v>2.4864435249084952E-3</v>
      </c>
    </row>
    <row r="5497" spans="6:7" x14ac:dyDescent="0.25">
      <c r="F5497">
        <v>5494</v>
      </c>
      <c r="G5497">
        <f ca="1">_xlfn.NORM.INV(RAND(),$M$7,$M$8)</f>
        <v>-1.869173960935307E-2</v>
      </c>
    </row>
    <row r="5498" spans="6:7" x14ac:dyDescent="0.25">
      <c r="F5498">
        <v>5495</v>
      </c>
      <c r="G5498">
        <f ca="1">_xlfn.NORM.INV(RAND(),$M$7,$M$8)</f>
        <v>-1.2297698533291017E-2</v>
      </c>
    </row>
    <row r="5499" spans="6:7" x14ac:dyDescent="0.25">
      <c r="F5499">
        <v>5496</v>
      </c>
      <c r="G5499">
        <f ca="1">_xlfn.NORM.INV(RAND(),$M$7,$M$8)</f>
        <v>-2.9412393662926459E-2</v>
      </c>
    </row>
    <row r="5500" spans="6:7" x14ac:dyDescent="0.25">
      <c r="F5500">
        <v>5497</v>
      </c>
      <c r="G5500">
        <f ca="1">_xlfn.NORM.INV(RAND(),$M$7,$M$8)</f>
        <v>1.3478777804741306E-2</v>
      </c>
    </row>
    <row r="5501" spans="6:7" x14ac:dyDescent="0.25">
      <c r="F5501">
        <v>5498</v>
      </c>
      <c r="G5501">
        <f ca="1">_xlfn.NORM.INV(RAND(),$M$7,$M$8)</f>
        <v>-6.1435271462795312E-3</v>
      </c>
    </row>
    <row r="5502" spans="6:7" x14ac:dyDescent="0.25">
      <c r="F5502">
        <v>5499</v>
      </c>
      <c r="G5502">
        <f ca="1">_xlfn.NORM.INV(RAND(),$M$7,$M$8)</f>
        <v>1.1282464401605616E-2</v>
      </c>
    </row>
    <row r="5503" spans="6:7" x14ac:dyDescent="0.25">
      <c r="F5503">
        <v>5500</v>
      </c>
      <c r="G5503">
        <f ca="1">_xlfn.NORM.INV(RAND(),$M$7,$M$8)</f>
        <v>-3.0918033618672177E-2</v>
      </c>
    </row>
    <row r="5504" spans="6:7" x14ac:dyDescent="0.25">
      <c r="F5504">
        <v>5501</v>
      </c>
      <c r="G5504">
        <f ca="1">_xlfn.NORM.INV(RAND(),$M$7,$M$8)</f>
        <v>9.6317198398404684E-3</v>
      </c>
    </row>
    <row r="5505" spans="6:7" x14ac:dyDescent="0.25">
      <c r="F5505">
        <v>5502</v>
      </c>
      <c r="G5505">
        <f ca="1">_xlfn.NORM.INV(RAND(),$M$7,$M$8)</f>
        <v>-1.7217172006539019E-2</v>
      </c>
    </row>
    <row r="5506" spans="6:7" x14ac:dyDescent="0.25">
      <c r="F5506">
        <v>5503</v>
      </c>
      <c r="G5506">
        <f ca="1">_xlfn.NORM.INV(RAND(),$M$7,$M$8)</f>
        <v>9.643259552759624E-3</v>
      </c>
    </row>
    <row r="5507" spans="6:7" x14ac:dyDescent="0.25">
      <c r="F5507">
        <v>5504</v>
      </c>
      <c r="G5507">
        <f ca="1">_xlfn.NORM.INV(RAND(),$M$7,$M$8)</f>
        <v>-3.5015619591031222E-2</v>
      </c>
    </row>
    <row r="5508" spans="6:7" x14ac:dyDescent="0.25">
      <c r="F5508">
        <v>5505</v>
      </c>
      <c r="G5508">
        <f ca="1">_xlfn.NORM.INV(RAND(),$M$7,$M$8)</f>
        <v>9.0239663776837172E-3</v>
      </c>
    </row>
    <row r="5509" spans="6:7" x14ac:dyDescent="0.25">
      <c r="F5509">
        <v>5506</v>
      </c>
      <c r="G5509">
        <f ca="1">_xlfn.NORM.INV(RAND(),$M$7,$M$8)</f>
        <v>-3.4161924183799687E-2</v>
      </c>
    </row>
    <row r="5510" spans="6:7" x14ac:dyDescent="0.25">
      <c r="F5510">
        <v>5507</v>
      </c>
      <c r="G5510">
        <f ca="1">_xlfn.NORM.INV(RAND(),$M$7,$M$8)</f>
        <v>7.1110937466601189E-5</v>
      </c>
    </row>
    <row r="5511" spans="6:7" x14ac:dyDescent="0.25">
      <c r="F5511">
        <v>5508</v>
      </c>
      <c r="G5511">
        <f ca="1">_xlfn.NORM.INV(RAND(),$M$7,$M$8)</f>
        <v>2.0626382003599022E-3</v>
      </c>
    </row>
    <row r="5512" spans="6:7" x14ac:dyDescent="0.25">
      <c r="F5512">
        <v>5509</v>
      </c>
      <c r="G5512">
        <f ca="1">_xlfn.NORM.INV(RAND(),$M$7,$M$8)</f>
        <v>7.4223215090119064E-4</v>
      </c>
    </row>
    <row r="5513" spans="6:7" x14ac:dyDescent="0.25">
      <c r="F5513">
        <v>5510</v>
      </c>
      <c r="G5513">
        <f ca="1">_xlfn.NORM.INV(RAND(),$M$7,$M$8)</f>
        <v>-3.3528379166155094E-2</v>
      </c>
    </row>
    <row r="5514" spans="6:7" x14ac:dyDescent="0.25">
      <c r="F5514">
        <v>5511</v>
      </c>
      <c r="G5514">
        <f ca="1">_xlfn.NORM.INV(RAND(),$M$7,$M$8)</f>
        <v>-5.9891144642690536E-4</v>
      </c>
    </row>
    <row r="5515" spans="6:7" x14ac:dyDescent="0.25">
      <c r="F5515">
        <v>5512</v>
      </c>
      <c r="G5515">
        <f ca="1">_xlfn.NORM.INV(RAND(),$M$7,$M$8)</f>
        <v>-2.1795170864909667E-2</v>
      </c>
    </row>
    <row r="5516" spans="6:7" x14ac:dyDescent="0.25">
      <c r="F5516">
        <v>5513</v>
      </c>
      <c r="G5516">
        <f ca="1">_xlfn.NORM.INV(RAND(),$M$7,$M$8)</f>
        <v>-5.3549720001760514E-3</v>
      </c>
    </row>
    <row r="5517" spans="6:7" x14ac:dyDescent="0.25">
      <c r="F5517">
        <v>5514</v>
      </c>
      <c r="G5517">
        <f ca="1">_xlfn.NORM.INV(RAND(),$M$7,$M$8)</f>
        <v>-2.6000280170406117E-2</v>
      </c>
    </row>
    <row r="5518" spans="6:7" x14ac:dyDescent="0.25">
      <c r="F5518">
        <v>5515</v>
      </c>
      <c r="G5518">
        <f ca="1">_xlfn.NORM.INV(RAND(),$M$7,$M$8)</f>
        <v>3.5482314395916426E-2</v>
      </c>
    </row>
    <row r="5519" spans="6:7" x14ac:dyDescent="0.25">
      <c r="F5519">
        <v>5516</v>
      </c>
      <c r="G5519">
        <f ca="1">_xlfn.NORM.INV(RAND(),$M$7,$M$8)</f>
        <v>-2.4606129595182002E-3</v>
      </c>
    </row>
    <row r="5520" spans="6:7" x14ac:dyDescent="0.25">
      <c r="F5520">
        <v>5517</v>
      </c>
      <c r="G5520">
        <f ca="1">_xlfn.NORM.INV(RAND(),$M$7,$M$8)</f>
        <v>-1.081188005957851E-2</v>
      </c>
    </row>
    <row r="5521" spans="6:7" x14ac:dyDescent="0.25">
      <c r="F5521">
        <v>5518</v>
      </c>
      <c r="G5521">
        <f ca="1">_xlfn.NORM.INV(RAND(),$M$7,$M$8)</f>
        <v>-1.3107980687762314E-3</v>
      </c>
    </row>
    <row r="5522" spans="6:7" x14ac:dyDescent="0.25">
      <c r="F5522">
        <v>5519</v>
      </c>
      <c r="G5522">
        <f ca="1">_xlfn.NORM.INV(RAND(),$M$7,$M$8)</f>
        <v>1.5497438584373406E-2</v>
      </c>
    </row>
    <row r="5523" spans="6:7" x14ac:dyDescent="0.25">
      <c r="F5523">
        <v>5520</v>
      </c>
      <c r="G5523">
        <f ca="1">_xlfn.NORM.INV(RAND(),$M$7,$M$8)</f>
        <v>-3.6860260855795995E-2</v>
      </c>
    </row>
    <row r="5524" spans="6:7" x14ac:dyDescent="0.25">
      <c r="F5524">
        <v>5521</v>
      </c>
      <c r="G5524">
        <f ca="1">_xlfn.NORM.INV(RAND(),$M$7,$M$8)</f>
        <v>-4.7750306187408359E-3</v>
      </c>
    </row>
    <row r="5525" spans="6:7" x14ac:dyDescent="0.25">
      <c r="F5525">
        <v>5522</v>
      </c>
      <c r="G5525">
        <f ca="1">_xlfn.NORM.INV(RAND(),$M$7,$M$8)</f>
        <v>2.5053879720221255E-2</v>
      </c>
    </row>
    <row r="5526" spans="6:7" x14ac:dyDescent="0.25">
      <c r="F5526">
        <v>5523</v>
      </c>
      <c r="G5526">
        <f ca="1">_xlfn.NORM.INV(RAND(),$M$7,$M$8)</f>
        <v>-2.5517336014661062E-2</v>
      </c>
    </row>
    <row r="5527" spans="6:7" x14ac:dyDescent="0.25">
      <c r="F5527">
        <v>5524</v>
      </c>
      <c r="G5527">
        <f ca="1">_xlfn.NORM.INV(RAND(),$M$7,$M$8)</f>
        <v>5.5095279454585831E-2</v>
      </c>
    </row>
    <row r="5528" spans="6:7" x14ac:dyDescent="0.25">
      <c r="F5528">
        <v>5525</v>
      </c>
      <c r="G5528">
        <f ca="1">_xlfn.NORM.INV(RAND(),$M$7,$M$8)</f>
        <v>-1.6350617568948973E-2</v>
      </c>
    </row>
    <row r="5529" spans="6:7" x14ac:dyDescent="0.25">
      <c r="F5529">
        <v>5526</v>
      </c>
      <c r="G5529">
        <f ca="1">_xlfn.NORM.INV(RAND(),$M$7,$M$8)</f>
        <v>-1.8558609326210857E-2</v>
      </c>
    </row>
    <row r="5530" spans="6:7" x14ac:dyDescent="0.25">
      <c r="F5530">
        <v>5527</v>
      </c>
      <c r="G5530">
        <f ca="1">_xlfn.NORM.INV(RAND(),$M$7,$M$8)</f>
        <v>-7.7772509824636099E-3</v>
      </c>
    </row>
    <row r="5531" spans="6:7" x14ac:dyDescent="0.25">
      <c r="F5531">
        <v>5528</v>
      </c>
      <c r="G5531">
        <f ca="1">_xlfn.NORM.INV(RAND(),$M$7,$M$8)</f>
        <v>1.2598572906217825E-2</v>
      </c>
    </row>
    <row r="5532" spans="6:7" x14ac:dyDescent="0.25">
      <c r="F5532">
        <v>5529</v>
      </c>
      <c r="G5532">
        <f ca="1">_xlfn.NORM.INV(RAND(),$M$7,$M$8)</f>
        <v>-6.6445275709867985E-3</v>
      </c>
    </row>
    <row r="5533" spans="6:7" x14ac:dyDescent="0.25">
      <c r="F5533">
        <v>5530</v>
      </c>
      <c r="G5533">
        <f ca="1">_xlfn.NORM.INV(RAND(),$M$7,$M$8)</f>
        <v>-1.3286811500814802E-3</v>
      </c>
    </row>
    <row r="5534" spans="6:7" x14ac:dyDescent="0.25">
      <c r="F5534">
        <v>5531</v>
      </c>
      <c r="G5534">
        <f ca="1">_xlfn.NORM.INV(RAND(),$M$7,$M$8)</f>
        <v>3.8109038123532543E-2</v>
      </c>
    </row>
    <row r="5535" spans="6:7" x14ac:dyDescent="0.25">
      <c r="F5535">
        <v>5532</v>
      </c>
      <c r="G5535">
        <f ca="1">_xlfn.NORM.INV(RAND(),$M$7,$M$8)</f>
        <v>1.2266440345403777E-2</v>
      </c>
    </row>
    <row r="5536" spans="6:7" x14ac:dyDescent="0.25">
      <c r="F5536">
        <v>5533</v>
      </c>
      <c r="G5536">
        <f ca="1">_xlfn.NORM.INV(RAND(),$M$7,$M$8)</f>
        <v>-2.4620461580333115E-2</v>
      </c>
    </row>
    <row r="5537" spans="6:7" x14ac:dyDescent="0.25">
      <c r="F5537">
        <v>5534</v>
      </c>
      <c r="G5537">
        <f ca="1">_xlfn.NORM.INV(RAND(),$M$7,$M$8)</f>
        <v>-2.5841189508191167E-2</v>
      </c>
    </row>
    <row r="5538" spans="6:7" x14ac:dyDescent="0.25">
      <c r="F5538">
        <v>5535</v>
      </c>
      <c r="G5538">
        <f ca="1">_xlfn.NORM.INV(RAND(),$M$7,$M$8)</f>
        <v>-3.8581785827696446E-2</v>
      </c>
    </row>
    <row r="5539" spans="6:7" x14ac:dyDescent="0.25">
      <c r="F5539">
        <v>5536</v>
      </c>
      <c r="G5539">
        <f ca="1">_xlfn.NORM.INV(RAND(),$M$7,$M$8)</f>
        <v>2.257998562425134E-3</v>
      </c>
    </row>
    <row r="5540" spans="6:7" x14ac:dyDescent="0.25">
      <c r="F5540">
        <v>5537</v>
      </c>
      <c r="G5540">
        <f ca="1">_xlfn.NORM.INV(RAND(),$M$7,$M$8)</f>
        <v>-3.413135382413994E-2</v>
      </c>
    </row>
    <row r="5541" spans="6:7" x14ac:dyDescent="0.25">
      <c r="F5541">
        <v>5538</v>
      </c>
      <c r="G5541">
        <f ca="1">_xlfn.NORM.INV(RAND(),$M$7,$M$8)</f>
        <v>2.066560962516097E-2</v>
      </c>
    </row>
    <row r="5542" spans="6:7" x14ac:dyDescent="0.25">
      <c r="F5542">
        <v>5539</v>
      </c>
      <c r="G5542">
        <f ca="1">_xlfn.NORM.INV(RAND(),$M$7,$M$8)</f>
        <v>-1.9253707517922467E-2</v>
      </c>
    </row>
    <row r="5543" spans="6:7" x14ac:dyDescent="0.25">
      <c r="F5543">
        <v>5540</v>
      </c>
      <c r="G5543">
        <f ca="1">_xlfn.NORM.INV(RAND(),$M$7,$M$8)</f>
        <v>-3.0122836724375299E-2</v>
      </c>
    </row>
    <row r="5544" spans="6:7" x14ac:dyDescent="0.25">
      <c r="F5544">
        <v>5541</v>
      </c>
      <c r="G5544">
        <f ca="1">_xlfn.NORM.INV(RAND(),$M$7,$M$8)</f>
        <v>-1.7998072820383466E-2</v>
      </c>
    </row>
    <row r="5545" spans="6:7" x14ac:dyDescent="0.25">
      <c r="F5545">
        <v>5542</v>
      </c>
      <c r="G5545">
        <f ca="1">_xlfn.NORM.INV(RAND(),$M$7,$M$8)</f>
        <v>2.7106903006106801E-2</v>
      </c>
    </row>
    <row r="5546" spans="6:7" x14ac:dyDescent="0.25">
      <c r="F5546">
        <v>5543</v>
      </c>
      <c r="G5546">
        <f ca="1">_xlfn.NORM.INV(RAND(),$M$7,$M$8)</f>
        <v>3.3621802745659901E-2</v>
      </c>
    </row>
    <row r="5547" spans="6:7" x14ac:dyDescent="0.25">
      <c r="F5547">
        <v>5544</v>
      </c>
      <c r="G5547">
        <f ca="1">_xlfn.NORM.INV(RAND(),$M$7,$M$8)</f>
        <v>2.8537613034994504E-2</v>
      </c>
    </row>
    <row r="5548" spans="6:7" x14ac:dyDescent="0.25">
      <c r="F5548">
        <v>5545</v>
      </c>
      <c r="G5548">
        <f ca="1">_xlfn.NORM.INV(RAND(),$M$7,$M$8)</f>
        <v>-6.384370629648457E-3</v>
      </c>
    </row>
    <row r="5549" spans="6:7" x14ac:dyDescent="0.25">
      <c r="F5549">
        <v>5546</v>
      </c>
      <c r="G5549">
        <f ca="1">_xlfn.NORM.INV(RAND(),$M$7,$M$8)</f>
        <v>2.4346763111335479E-2</v>
      </c>
    </row>
    <row r="5550" spans="6:7" x14ac:dyDescent="0.25">
      <c r="F5550">
        <v>5547</v>
      </c>
      <c r="G5550">
        <f ca="1">_xlfn.NORM.INV(RAND(),$M$7,$M$8)</f>
        <v>-8.7679893912909136E-4</v>
      </c>
    </row>
    <row r="5551" spans="6:7" x14ac:dyDescent="0.25">
      <c r="F5551">
        <v>5548</v>
      </c>
      <c r="G5551">
        <f ca="1">_xlfn.NORM.INV(RAND(),$M$7,$M$8)</f>
        <v>1.9897596799725831E-2</v>
      </c>
    </row>
    <row r="5552" spans="6:7" x14ac:dyDescent="0.25">
      <c r="F5552">
        <v>5549</v>
      </c>
      <c r="G5552">
        <f ca="1">_xlfn.NORM.INV(RAND(),$M$7,$M$8)</f>
        <v>-1.8221970144683131E-2</v>
      </c>
    </row>
    <row r="5553" spans="6:7" x14ac:dyDescent="0.25">
      <c r="F5553">
        <v>5550</v>
      </c>
      <c r="G5553">
        <f ca="1">_xlfn.NORM.INV(RAND(),$M$7,$M$8)</f>
        <v>4.2538159155642973E-3</v>
      </c>
    </row>
    <row r="5554" spans="6:7" x14ac:dyDescent="0.25">
      <c r="F5554">
        <v>5551</v>
      </c>
      <c r="G5554">
        <f ca="1">_xlfn.NORM.INV(RAND(),$M$7,$M$8)</f>
        <v>-3.0130303209950721E-2</v>
      </c>
    </row>
    <row r="5555" spans="6:7" x14ac:dyDescent="0.25">
      <c r="F5555">
        <v>5552</v>
      </c>
      <c r="G5555">
        <f ca="1">_xlfn.NORM.INV(RAND(),$M$7,$M$8)</f>
        <v>3.1213512909639893E-2</v>
      </c>
    </row>
    <row r="5556" spans="6:7" x14ac:dyDescent="0.25">
      <c r="F5556">
        <v>5553</v>
      </c>
      <c r="G5556">
        <f ca="1">_xlfn.NORM.INV(RAND(),$M$7,$M$8)</f>
        <v>-9.3130278208342267E-3</v>
      </c>
    </row>
    <row r="5557" spans="6:7" x14ac:dyDescent="0.25">
      <c r="F5557">
        <v>5554</v>
      </c>
      <c r="G5557">
        <f ca="1">_xlfn.NORM.INV(RAND(),$M$7,$M$8)</f>
        <v>4.2635112446723716E-2</v>
      </c>
    </row>
    <row r="5558" spans="6:7" x14ac:dyDescent="0.25">
      <c r="F5558">
        <v>5555</v>
      </c>
      <c r="G5558">
        <f ca="1">_xlfn.NORM.INV(RAND(),$M$7,$M$8)</f>
        <v>2.2035871253532371E-2</v>
      </c>
    </row>
    <row r="5559" spans="6:7" x14ac:dyDescent="0.25">
      <c r="F5559">
        <v>5556</v>
      </c>
      <c r="G5559">
        <f ca="1">_xlfn.NORM.INV(RAND(),$M$7,$M$8)</f>
        <v>3.4652267937259694E-2</v>
      </c>
    </row>
    <row r="5560" spans="6:7" x14ac:dyDescent="0.25">
      <c r="F5560">
        <v>5557</v>
      </c>
      <c r="G5560">
        <f ca="1">_xlfn.NORM.INV(RAND(),$M$7,$M$8)</f>
        <v>2.4361862431849519E-2</v>
      </c>
    </row>
    <row r="5561" spans="6:7" x14ac:dyDescent="0.25">
      <c r="F5561">
        <v>5558</v>
      </c>
      <c r="G5561">
        <f ca="1">_xlfn.NORM.INV(RAND(),$M$7,$M$8)</f>
        <v>-2.1432372843472471E-2</v>
      </c>
    </row>
    <row r="5562" spans="6:7" x14ac:dyDescent="0.25">
      <c r="F5562">
        <v>5559</v>
      </c>
      <c r="G5562">
        <f ca="1">_xlfn.NORM.INV(RAND(),$M$7,$M$8)</f>
        <v>3.0557562125992106E-2</v>
      </c>
    </row>
    <row r="5563" spans="6:7" x14ac:dyDescent="0.25">
      <c r="F5563">
        <v>5560</v>
      </c>
      <c r="G5563">
        <f ca="1">_xlfn.NORM.INV(RAND(),$M$7,$M$8)</f>
        <v>1.3421002907723247E-2</v>
      </c>
    </row>
    <row r="5564" spans="6:7" x14ac:dyDescent="0.25">
      <c r="F5564">
        <v>5561</v>
      </c>
      <c r="G5564">
        <f ca="1">_xlfn.NORM.INV(RAND(),$M$7,$M$8)</f>
        <v>5.2808255988332546E-2</v>
      </c>
    </row>
    <row r="5565" spans="6:7" x14ac:dyDescent="0.25">
      <c r="F5565">
        <v>5562</v>
      </c>
      <c r="G5565">
        <f ca="1">_xlfn.NORM.INV(RAND(),$M$7,$M$8)</f>
        <v>2.459696607920705E-3</v>
      </c>
    </row>
    <row r="5566" spans="6:7" x14ac:dyDescent="0.25">
      <c r="F5566">
        <v>5563</v>
      </c>
      <c r="G5566">
        <f ca="1">_xlfn.NORM.INV(RAND(),$M$7,$M$8)</f>
        <v>-3.9041029581392286E-2</v>
      </c>
    </row>
    <row r="5567" spans="6:7" x14ac:dyDescent="0.25">
      <c r="F5567">
        <v>5564</v>
      </c>
      <c r="G5567">
        <f ca="1">_xlfn.NORM.INV(RAND(),$M$7,$M$8)</f>
        <v>-1.5948041516232182E-2</v>
      </c>
    </row>
    <row r="5568" spans="6:7" x14ac:dyDescent="0.25">
      <c r="F5568">
        <v>5565</v>
      </c>
      <c r="G5568">
        <f ca="1">_xlfn.NORM.INV(RAND(),$M$7,$M$8)</f>
        <v>6.2582086467260802E-3</v>
      </c>
    </row>
    <row r="5569" spans="6:7" x14ac:dyDescent="0.25">
      <c r="F5569">
        <v>5566</v>
      </c>
      <c r="G5569">
        <f ca="1">_xlfn.NORM.INV(RAND(),$M$7,$M$8)</f>
        <v>-1.0737766124057076E-2</v>
      </c>
    </row>
    <row r="5570" spans="6:7" x14ac:dyDescent="0.25">
      <c r="F5570">
        <v>5567</v>
      </c>
      <c r="G5570">
        <f ca="1">_xlfn.NORM.INV(RAND(),$M$7,$M$8)</f>
        <v>3.1268833528696333E-3</v>
      </c>
    </row>
    <row r="5571" spans="6:7" x14ac:dyDescent="0.25">
      <c r="F5571">
        <v>5568</v>
      </c>
      <c r="G5571">
        <f ca="1">_xlfn.NORM.INV(RAND(),$M$7,$M$8)</f>
        <v>3.9356450730469179E-2</v>
      </c>
    </row>
    <row r="5572" spans="6:7" x14ac:dyDescent="0.25">
      <c r="F5572">
        <v>5569</v>
      </c>
      <c r="G5572">
        <f ca="1">_xlfn.NORM.INV(RAND(),$M$7,$M$8)</f>
        <v>1.44799222203348E-2</v>
      </c>
    </row>
    <row r="5573" spans="6:7" x14ac:dyDescent="0.25">
      <c r="F5573">
        <v>5570</v>
      </c>
      <c r="G5573">
        <f ca="1">_xlfn.NORM.INV(RAND(),$M$7,$M$8)</f>
        <v>-1.2309742135524623E-2</v>
      </c>
    </row>
    <row r="5574" spans="6:7" x14ac:dyDescent="0.25">
      <c r="F5574">
        <v>5571</v>
      </c>
      <c r="G5574">
        <f ca="1">_xlfn.NORM.INV(RAND(),$M$7,$M$8)</f>
        <v>-4.2200333129627607E-2</v>
      </c>
    </row>
    <row r="5575" spans="6:7" x14ac:dyDescent="0.25">
      <c r="F5575">
        <v>5572</v>
      </c>
      <c r="G5575">
        <f ca="1">_xlfn.NORM.INV(RAND(),$M$7,$M$8)</f>
        <v>4.411697541543259E-3</v>
      </c>
    </row>
    <row r="5576" spans="6:7" x14ac:dyDescent="0.25">
      <c r="F5576">
        <v>5573</v>
      </c>
      <c r="G5576">
        <f ca="1">_xlfn.NORM.INV(RAND(),$M$7,$M$8)</f>
        <v>3.0192062636279458E-2</v>
      </c>
    </row>
    <row r="5577" spans="6:7" x14ac:dyDescent="0.25">
      <c r="F5577">
        <v>5574</v>
      </c>
      <c r="G5577">
        <f ca="1">_xlfn.NORM.INV(RAND(),$M$7,$M$8)</f>
        <v>-1.1081917428900242E-2</v>
      </c>
    </row>
    <row r="5578" spans="6:7" x14ac:dyDescent="0.25">
      <c r="F5578">
        <v>5575</v>
      </c>
      <c r="G5578">
        <f ca="1">_xlfn.NORM.INV(RAND(),$M$7,$M$8)</f>
        <v>-3.7800362584242881E-3</v>
      </c>
    </row>
    <row r="5579" spans="6:7" x14ac:dyDescent="0.25">
      <c r="F5579">
        <v>5576</v>
      </c>
      <c r="G5579">
        <f ca="1">_xlfn.NORM.INV(RAND(),$M$7,$M$8)</f>
        <v>2.0331242151996845E-2</v>
      </c>
    </row>
    <row r="5580" spans="6:7" x14ac:dyDescent="0.25">
      <c r="F5580">
        <v>5577</v>
      </c>
      <c r="G5580">
        <f ca="1">_xlfn.NORM.INV(RAND(),$M$7,$M$8)</f>
        <v>1.0618673783237012E-2</v>
      </c>
    </row>
    <row r="5581" spans="6:7" x14ac:dyDescent="0.25">
      <c r="F5581">
        <v>5578</v>
      </c>
      <c r="G5581">
        <f ca="1">_xlfn.NORM.INV(RAND(),$M$7,$M$8)</f>
        <v>-6.593529888379154E-3</v>
      </c>
    </row>
    <row r="5582" spans="6:7" x14ac:dyDescent="0.25">
      <c r="F5582">
        <v>5579</v>
      </c>
      <c r="G5582">
        <f ca="1">_xlfn.NORM.INV(RAND(),$M$7,$M$8)</f>
        <v>1.7455715585230069E-2</v>
      </c>
    </row>
    <row r="5583" spans="6:7" x14ac:dyDescent="0.25">
      <c r="F5583">
        <v>5580</v>
      </c>
      <c r="G5583">
        <f ca="1">_xlfn.NORM.INV(RAND(),$M$7,$M$8)</f>
        <v>-2.4365692693081979E-2</v>
      </c>
    </row>
    <row r="5584" spans="6:7" x14ac:dyDescent="0.25">
      <c r="F5584">
        <v>5581</v>
      </c>
      <c r="G5584">
        <f ca="1">_xlfn.NORM.INV(RAND(),$M$7,$M$8)</f>
        <v>-7.8923483852003096E-3</v>
      </c>
    </row>
    <row r="5585" spans="6:7" x14ac:dyDescent="0.25">
      <c r="F5585">
        <v>5582</v>
      </c>
      <c r="G5585">
        <f ca="1">_xlfn.NORM.INV(RAND(),$M$7,$M$8)</f>
        <v>-1.7445106237876842E-2</v>
      </c>
    </row>
    <row r="5586" spans="6:7" x14ac:dyDescent="0.25">
      <c r="F5586">
        <v>5583</v>
      </c>
      <c r="G5586">
        <f ca="1">_xlfn.NORM.INV(RAND(),$M$7,$M$8)</f>
        <v>-1.3771143823313087E-2</v>
      </c>
    </row>
    <row r="5587" spans="6:7" x14ac:dyDescent="0.25">
      <c r="F5587">
        <v>5584</v>
      </c>
      <c r="G5587">
        <f ca="1">_xlfn.NORM.INV(RAND(),$M$7,$M$8)</f>
        <v>-2.9804413487352216E-2</v>
      </c>
    </row>
    <row r="5588" spans="6:7" x14ac:dyDescent="0.25">
      <c r="F5588">
        <v>5585</v>
      </c>
      <c r="G5588">
        <f ca="1">_xlfn.NORM.INV(RAND(),$M$7,$M$8)</f>
        <v>2.5375548026707077E-3</v>
      </c>
    </row>
    <row r="5589" spans="6:7" x14ac:dyDescent="0.25">
      <c r="F5589">
        <v>5586</v>
      </c>
      <c r="G5589">
        <f ca="1">_xlfn.NORM.INV(RAND(),$M$7,$M$8)</f>
        <v>-2.7386925449768632E-2</v>
      </c>
    </row>
    <row r="5590" spans="6:7" x14ac:dyDescent="0.25">
      <c r="F5590">
        <v>5587</v>
      </c>
      <c r="G5590">
        <f ca="1">_xlfn.NORM.INV(RAND(),$M$7,$M$8)</f>
        <v>7.3201023079036732E-3</v>
      </c>
    </row>
    <row r="5591" spans="6:7" x14ac:dyDescent="0.25">
      <c r="F5591">
        <v>5588</v>
      </c>
      <c r="G5591">
        <f ca="1">_xlfn.NORM.INV(RAND(),$M$7,$M$8)</f>
        <v>7.1409652708297416E-4</v>
      </c>
    </row>
    <row r="5592" spans="6:7" x14ac:dyDescent="0.25">
      <c r="F5592">
        <v>5589</v>
      </c>
      <c r="G5592">
        <f ca="1">_xlfn.NORM.INV(RAND(),$M$7,$M$8)</f>
        <v>-5.8832134860679914E-3</v>
      </c>
    </row>
    <row r="5593" spans="6:7" x14ac:dyDescent="0.25">
      <c r="F5593">
        <v>5590</v>
      </c>
      <c r="G5593">
        <f ca="1">_xlfn.NORM.INV(RAND(),$M$7,$M$8)</f>
        <v>1.697675896035352E-2</v>
      </c>
    </row>
    <row r="5594" spans="6:7" x14ac:dyDescent="0.25">
      <c r="F5594">
        <v>5591</v>
      </c>
      <c r="G5594">
        <f ca="1">_xlfn.NORM.INV(RAND(),$M$7,$M$8)</f>
        <v>-5.5057014226940024E-2</v>
      </c>
    </row>
    <row r="5595" spans="6:7" x14ac:dyDescent="0.25">
      <c r="F5595">
        <v>5592</v>
      </c>
      <c r="G5595">
        <f ca="1">_xlfn.NORM.INV(RAND(),$M$7,$M$8)</f>
        <v>1.8842523910741118E-2</v>
      </c>
    </row>
    <row r="5596" spans="6:7" x14ac:dyDescent="0.25">
      <c r="F5596">
        <v>5593</v>
      </c>
      <c r="G5596">
        <f ca="1">_xlfn.NORM.INV(RAND(),$M$7,$M$8)</f>
        <v>9.7582074593076506E-3</v>
      </c>
    </row>
    <row r="5597" spans="6:7" x14ac:dyDescent="0.25">
      <c r="F5597">
        <v>5594</v>
      </c>
      <c r="G5597">
        <f ca="1">_xlfn.NORM.INV(RAND(),$M$7,$M$8)</f>
        <v>2.9828311437842571E-2</v>
      </c>
    </row>
    <row r="5598" spans="6:7" x14ac:dyDescent="0.25">
      <c r="F5598">
        <v>5595</v>
      </c>
      <c r="G5598">
        <f ca="1">_xlfn.NORM.INV(RAND(),$M$7,$M$8)</f>
        <v>-2.7083649424998395E-2</v>
      </c>
    </row>
    <row r="5599" spans="6:7" x14ac:dyDescent="0.25">
      <c r="F5599">
        <v>5596</v>
      </c>
      <c r="G5599">
        <f ca="1">_xlfn.NORM.INV(RAND(),$M$7,$M$8)</f>
        <v>-1.5152767067514956E-2</v>
      </c>
    </row>
    <row r="5600" spans="6:7" x14ac:dyDescent="0.25">
      <c r="F5600">
        <v>5597</v>
      </c>
      <c r="G5600">
        <f ca="1">_xlfn.NORM.INV(RAND(),$M$7,$M$8)</f>
        <v>-1.4719290194405219E-2</v>
      </c>
    </row>
    <row r="5601" spans="6:7" x14ac:dyDescent="0.25">
      <c r="F5601">
        <v>5598</v>
      </c>
      <c r="G5601">
        <f ca="1">_xlfn.NORM.INV(RAND(),$M$7,$M$8)</f>
        <v>1.5320860421692379E-2</v>
      </c>
    </row>
    <row r="5602" spans="6:7" x14ac:dyDescent="0.25">
      <c r="F5602">
        <v>5599</v>
      </c>
      <c r="G5602">
        <f ca="1">_xlfn.NORM.INV(RAND(),$M$7,$M$8)</f>
        <v>1.3046418786175164E-2</v>
      </c>
    </row>
    <row r="5603" spans="6:7" x14ac:dyDescent="0.25">
      <c r="F5603">
        <v>5600</v>
      </c>
      <c r="G5603">
        <f ca="1">_xlfn.NORM.INV(RAND(),$M$7,$M$8)</f>
        <v>-1.7847996131613843E-2</v>
      </c>
    </row>
    <row r="5604" spans="6:7" x14ac:dyDescent="0.25">
      <c r="F5604">
        <v>5601</v>
      </c>
      <c r="G5604">
        <f ca="1">_xlfn.NORM.INV(RAND(),$M$7,$M$8)</f>
        <v>2.2288412175191213E-2</v>
      </c>
    </row>
    <row r="5605" spans="6:7" x14ac:dyDescent="0.25">
      <c r="F5605">
        <v>5602</v>
      </c>
      <c r="G5605">
        <f ca="1">_xlfn.NORM.INV(RAND(),$M$7,$M$8)</f>
        <v>-1.9173313929867975E-2</v>
      </c>
    </row>
    <row r="5606" spans="6:7" x14ac:dyDescent="0.25">
      <c r="F5606">
        <v>5603</v>
      </c>
      <c r="G5606">
        <f ca="1">_xlfn.NORM.INV(RAND(),$M$7,$M$8)</f>
        <v>-2.3278518818352772E-3</v>
      </c>
    </row>
    <row r="5607" spans="6:7" x14ac:dyDescent="0.25">
      <c r="F5607">
        <v>5604</v>
      </c>
      <c r="G5607">
        <f ca="1">_xlfn.NORM.INV(RAND(),$M$7,$M$8)</f>
        <v>5.5112489857647322E-2</v>
      </c>
    </row>
    <row r="5608" spans="6:7" x14ac:dyDescent="0.25">
      <c r="F5608">
        <v>5605</v>
      </c>
      <c r="G5608">
        <f ca="1">_xlfn.NORM.INV(RAND(),$M$7,$M$8)</f>
        <v>8.3471700386219799E-3</v>
      </c>
    </row>
    <row r="5609" spans="6:7" x14ac:dyDescent="0.25">
      <c r="F5609">
        <v>5606</v>
      </c>
      <c r="G5609">
        <f ca="1">_xlfn.NORM.INV(RAND(),$M$7,$M$8)</f>
        <v>3.2630117436675257E-3</v>
      </c>
    </row>
    <row r="5610" spans="6:7" x14ac:dyDescent="0.25">
      <c r="F5610">
        <v>5607</v>
      </c>
      <c r="G5610">
        <f ca="1">_xlfn.NORM.INV(RAND(),$M$7,$M$8)</f>
        <v>-4.7848213105091013E-2</v>
      </c>
    </row>
    <row r="5611" spans="6:7" x14ac:dyDescent="0.25">
      <c r="F5611">
        <v>5608</v>
      </c>
      <c r="G5611">
        <f ca="1">_xlfn.NORM.INV(RAND(),$M$7,$M$8)</f>
        <v>2.4824624025514556E-2</v>
      </c>
    </row>
    <row r="5612" spans="6:7" x14ac:dyDescent="0.25">
      <c r="F5612">
        <v>5609</v>
      </c>
      <c r="G5612">
        <f ca="1">_xlfn.NORM.INV(RAND(),$M$7,$M$8)</f>
        <v>3.7731737503657374E-2</v>
      </c>
    </row>
    <row r="5613" spans="6:7" x14ac:dyDescent="0.25">
      <c r="F5613">
        <v>5610</v>
      </c>
      <c r="G5613">
        <f ca="1">_xlfn.NORM.INV(RAND(),$M$7,$M$8)</f>
        <v>-3.4570629218051367E-2</v>
      </c>
    </row>
    <row r="5614" spans="6:7" x14ac:dyDescent="0.25">
      <c r="F5614">
        <v>5611</v>
      </c>
      <c r="G5614">
        <f ca="1">_xlfn.NORM.INV(RAND(),$M$7,$M$8)</f>
        <v>2.6240107387275998E-2</v>
      </c>
    </row>
    <row r="5615" spans="6:7" x14ac:dyDescent="0.25">
      <c r="F5615">
        <v>5612</v>
      </c>
      <c r="G5615">
        <f ca="1">_xlfn.NORM.INV(RAND(),$M$7,$M$8)</f>
        <v>-3.7577485857502792E-2</v>
      </c>
    </row>
    <row r="5616" spans="6:7" x14ac:dyDescent="0.25">
      <c r="F5616">
        <v>5613</v>
      </c>
      <c r="G5616">
        <f ca="1">_xlfn.NORM.INV(RAND(),$M$7,$M$8)</f>
        <v>-1.1914206761870782E-2</v>
      </c>
    </row>
    <row r="5617" spans="6:7" x14ac:dyDescent="0.25">
      <c r="F5617">
        <v>5614</v>
      </c>
      <c r="G5617">
        <f ca="1">_xlfn.NORM.INV(RAND(),$M$7,$M$8)</f>
        <v>2.0963445626586197E-2</v>
      </c>
    </row>
    <row r="5618" spans="6:7" x14ac:dyDescent="0.25">
      <c r="F5618">
        <v>5615</v>
      </c>
      <c r="G5618">
        <f ca="1">_xlfn.NORM.INV(RAND(),$M$7,$M$8)</f>
        <v>-1.1942700828222104E-2</v>
      </c>
    </row>
    <row r="5619" spans="6:7" x14ac:dyDescent="0.25">
      <c r="F5619">
        <v>5616</v>
      </c>
      <c r="G5619">
        <f ca="1">_xlfn.NORM.INV(RAND(),$M$7,$M$8)</f>
        <v>5.0001890405020823E-2</v>
      </c>
    </row>
    <row r="5620" spans="6:7" x14ac:dyDescent="0.25">
      <c r="F5620">
        <v>5617</v>
      </c>
      <c r="G5620">
        <f ca="1">_xlfn.NORM.INV(RAND(),$M$7,$M$8)</f>
        <v>-1.3985695033914454E-2</v>
      </c>
    </row>
    <row r="5621" spans="6:7" x14ac:dyDescent="0.25">
      <c r="F5621">
        <v>5618</v>
      </c>
      <c r="G5621">
        <f ca="1">_xlfn.NORM.INV(RAND(),$M$7,$M$8)</f>
        <v>1.3204114721892968E-2</v>
      </c>
    </row>
    <row r="5622" spans="6:7" x14ac:dyDescent="0.25">
      <c r="F5622">
        <v>5619</v>
      </c>
      <c r="G5622">
        <f ca="1">_xlfn.NORM.INV(RAND(),$M$7,$M$8)</f>
        <v>-5.6839146365970122E-2</v>
      </c>
    </row>
    <row r="5623" spans="6:7" x14ac:dyDescent="0.25">
      <c r="F5623">
        <v>5620</v>
      </c>
      <c r="G5623">
        <f ca="1">_xlfn.NORM.INV(RAND(),$M$7,$M$8)</f>
        <v>1.7400754672662538E-2</v>
      </c>
    </row>
    <row r="5624" spans="6:7" x14ac:dyDescent="0.25">
      <c r="F5624">
        <v>5621</v>
      </c>
      <c r="G5624">
        <f ca="1">_xlfn.NORM.INV(RAND(),$M$7,$M$8)</f>
        <v>-2.8142617151959044E-2</v>
      </c>
    </row>
    <row r="5625" spans="6:7" x14ac:dyDescent="0.25">
      <c r="F5625">
        <v>5622</v>
      </c>
      <c r="G5625">
        <f ca="1">_xlfn.NORM.INV(RAND(),$M$7,$M$8)</f>
        <v>-1.9694881220454149E-2</v>
      </c>
    </row>
    <row r="5626" spans="6:7" x14ac:dyDescent="0.25">
      <c r="F5626">
        <v>5623</v>
      </c>
      <c r="G5626">
        <f ca="1">_xlfn.NORM.INV(RAND(),$M$7,$M$8)</f>
        <v>-2.8201851409655046E-2</v>
      </c>
    </row>
    <row r="5627" spans="6:7" x14ac:dyDescent="0.25">
      <c r="F5627">
        <v>5624</v>
      </c>
      <c r="G5627">
        <f ca="1">_xlfn.NORM.INV(RAND(),$M$7,$M$8)</f>
        <v>1.9447591337827141E-2</v>
      </c>
    </row>
    <row r="5628" spans="6:7" x14ac:dyDescent="0.25">
      <c r="F5628">
        <v>5625</v>
      </c>
      <c r="G5628">
        <f ca="1">_xlfn.NORM.INV(RAND(),$M$7,$M$8)</f>
        <v>-9.6194357244498169E-3</v>
      </c>
    </row>
    <row r="5629" spans="6:7" x14ac:dyDescent="0.25">
      <c r="F5629">
        <v>5626</v>
      </c>
      <c r="G5629">
        <f ca="1">_xlfn.NORM.INV(RAND(),$M$7,$M$8)</f>
        <v>2.6154550027048692E-2</v>
      </c>
    </row>
    <row r="5630" spans="6:7" x14ac:dyDescent="0.25">
      <c r="F5630">
        <v>5627</v>
      </c>
      <c r="G5630">
        <f ca="1">_xlfn.NORM.INV(RAND(),$M$7,$M$8)</f>
        <v>1.0329640401305304E-2</v>
      </c>
    </row>
    <row r="5631" spans="6:7" x14ac:dyDescent="0.25">
      <c r="F5631">
        <v>5628</v>
      </c>
      <c r="G5631">
        <f ca="1">_xlfn.NORM.INV(RAND(),$M$7,$M$8)</f>
        <v>3.0874520350135055E-2</v>
      </c>
    </row>
    <row r="5632" spans="6:7" x14ac:dyDescent="0.25">
      <c r="F5632">
        <v>5629</v>
      </c>
      <c r="G5632">
        <f ca="1">_xlfn.NORM.INV(RAND(),$M$7,$M$8)</f>
        <v>-2.036670675649865E-2</v>
      </c>
    </row>
    <row r="5633" spans="6:7" x14ac:dyDescent="0.25">
      <c r="F5633">
        <v>5630</v>
      </c>
      <c r="G5633">
        <f ca="1">_xlfn.NORM.INV(RAND(),$M$7,$M$8)</f>
        <v>9.2133540655564474E-3</v>
      </c>
    </row>
    <row r="5634" spans="6:7" x14ac:dyDescent="0.25">
      <c r="F5634">
        <v>5631</v>
      </c>
      <c r="G5634">
        <f ca="1">_xlfn.NORM.INV(RAND(),$M$7,$M$8)</f>
        <v>1.6987216794754876E-2</v>
      </c>
    </row>
    <row r="5635" spans="6:7" x14ac:dyDescent="0.25">
      <c r="F5635">
        <v>5632</v>
      </c>
      <c r="G5635">
        <f ca="1">_xlfn.NORM.INV(RAND(),$M$7,$M$8)</f>
        <v>-1.9894097927250134E-2</v>
      </c>
    </row>
    <row r="5636" spans="6:7" x14ac:dyDescent="0.25">
      <c r="F5636">
        <v>5633</v>
      </c>
      <c r="G5636">
        <f ca="1">_xlfn.NORM.INV(RAND(),$M$7,$M$8)</f>
        <v>-4.3168427478729302E-2</v>
      </c>
    </row>
    <row r="5637" spans="6:7" x14ac:dyDescent="0.25">
      <c r="F5637">
        <v>5634</v>
      </c>
      <c r="G5637">
        <f ca="1">_xlfn.NORM.INV(RAND(),$M$7,$M$8)</f>
        <v>1.5926214952176922E-3</v>
      </c>
    </row>
    <row r="5638" spans="6:7" x14ac:dyDescent="0.25">
      <c r="F5638">
        <v>5635</v>
      </c>
      <c r="G5638">
        <f ca="1">_xlfn.NORM.INV(RAND(),$M$7,$M$8)</f>
        <v>1.6727360194191594E-2</v>
      </c>
    </row>
    <row r="5639" spans="6:7" x14ac:dyDescent="0.25">
      <c r="F5639">
        <v>5636</v>
      </c>
      <c r="G5639">
        <f ca="1">_xlfn.NORM.INV(RAND(),$M$7,$M$8)</f>
        <v>4.8214349977719825E-3</v>
      </c>
    </row>
    <row r="5640" spans="6:7" x14ac:dyDescent="0.25">
      <c r="F5640">
        <v>5637</v>
      </c>
      <c r="G5640">
        <f ca="1">_xlfn.NORM.INV(RAND(),$M$7,$M$8)</f>
        <v>-2.412076336122938E-2</v>
      </c>
    </row>
    <row r="5641" spans="6:7" x14ac:dyDescent="0.25">
      <c r="F5641">
        <v>5638</v>
      </c>
      <c r="G5641">
        <f ca="1">_xlfn.NORM.INV(RAND(),$M$7,$M$8)</f>
        <v>-1.5247980507736507E-2</v>
      </c>
    </row>
    <row r="5642" spans="6:7" x14ac:dyDescent="0.25">
      <c r="F5642">
        <v>5639</v>
      </c>
      <c r="G5642">
        <f ca="1">_xlfn.NORM.INV(RAND(),$M$7,$M$8)</f>
        <v>-5.7506950405031895E-3</v>
      </c>
    </row>
    <row r="5643" spans="6:7" x14ac:dyDescent="0.25">
      <c r="F5643">
        <v>5640</v>
      </c>
      <c r="G5643">
        <f ca="1">_xlfn.NORM.INV(RAND(),$M$7,$M$8)</f>
        <v>-9.9854253589547522E-3</v>
      </c>
    </row>
    <row r="5644" spans="6:7" x14ac:dyDescent="0.25">
      <c r="F5644">
        <v>5641</v>
      </c>
      <c r="G5644">
        <f ca="1">_xlfn.NORM.INV(RAND(),$M$7,$M$8)</f>
        <v>1.8297389281334259E-2</v>
      </c>
    </row>
    <row r="5645" spans="6:7" x14ac:dyDescent="0.25">
      <c r="F5645">
        <v>5642</v>
      </c>
      <c r="G5645">
        <f ca="1">_xlfn.NORM.INV(RAND(),$M$7,$M$8)</f>
        <v>-2.343430187103657E-2</v>
      </c>
    </row>
    <row r="5646" spans="6:7" x14ac:dyDescent="0.25">
      <c r="F5646">
        <v>5643</v>
      </c>
      <c r="G5646">
        <f ca="1">_xlfn.NORM.INV(RAND(),$M$7,$M$8)</f>
        <v>1.2803720118273862E-2</v>
      </c>
    </row>
    <row r="5647" spans="6:7" x14ac:dyDescent="0.25">
      <c r="F5647">
        <v>5644</v>
      </c>
      <c r="G5647">
        <f ca="1">_xlfn.NORM.INV(RAND(),$M$7,$M$8)</f>
        <v>-1.3482762769643558E-2</v>
      </c>
    </row>
    <row r="5648" spans="6:7" x14ac:dyDescent="0.25">
      <c r="F5648">
        <v>5645</v>
      </c>
      <c r="G5648">
        <f ca="1">_xlfn.NORM.INV(RAND(),$M$7,$M$8)</f>
        <v>-2.8028398875179925E-2</v>
      </c>
    </row>
    <row r="5649" spans="6:7" x14ac:dyDescent="0.25">
      <c r="F5649">
        <v>5646</v>
      </c>
      <c r="G5649">
        <f ca="1">_xlfn.NORM.INV(RAND(),$M$7,$M$8)</f>
        <v>2.4489089553519903E-3</v>
      </c>
    </row>
    <row r="5650" spans="6:7" x14ac:dyDescent="0.25">
      <c r="F5650">
        <v>5647</v>
      </c>
      <c r="G5650">
        <f ca="1">_xlfn.NORM.INV(RAND(),$M$7,$M$8)</f>
        <v>-1.2156073336287135E-4</v>
      </c>
    </row>
    <row r="5651" spans="6:7" x14ac:dyDescent="0.25">
      <c r="F5651">
        <v>5648</v>
      </c>
      <c r="G5651">
        <f ca="1">_xlfn.NORM.INV(RAND(),$M$7,$M$8)</f>
        <v>3.0048106497835715E-2</v>
      </c>
    </row>
    <row r="5652" spans="6:7" x14ac:dyDescent="0.25">
      <c r="F5652">
        <v>5649</v>
      </c>
      <c r="G5652">
        <f ca="1">_xlfn.NORM.INV(RAND(),$M$7,$M$8)</f>
        <v>6.8148855744876776E-3</v>
      </c>
    </row>
    <row r="5653" spans="6:7" x14ac:dyDescent="0.25">
      <c r="F5653">
        <v>5650</v>
      </c>
      <c r="G5653">
        <f ca="1">_xlfn.NORM.INV(RAND(),$M$7,$M$8)</f>
        <v>3.2054145775294828E-3</v>
      </c>
    </row>
    <row r="5654" spans="6:7" x14ac:dyDescent="0.25">
      <c r="F5654">
        <v>5651</v>
      </c>
      <c r="G5654">
        <f ca="1">_xlfn.NORM.INV(RAND(),$M$7,$M$8)</f>
        <v>-4.3046249911446281E-2</v>
      </c>
    </row>
    <row r="5655" spans="6:7" x14ac:dyDescent="0.25">
      <c r="F5655">
        <v>5652</v>
      </c>
      <c r="G5655">
        <f ca="1">_xlfn.NORM.INV(RAND(),$M$7,$M$8)</f>
        <v>-8.3167199106182095E-3</v>
      </c>
    </row>
    <row r="5656" spans="6:7" x14ac:dyDescent="0.25">
      <c r="F5656">
        <v>5653</v>
      </c>
      <c r="G5656">
        <f ca="1">_xlfn.NORM.INV(RAND(),$M$7,$M$8)</f>
        <v>1.0882774740410031E-2</v>
      </c>
    </row>
    <row r="5657" spans="6:7" x14ac:dyDescent="0.25">
      <c r="F5657">
        <v>5654</v>
      </c>
      <c r="G5657">
        <f ca="1">_xlfn.NORM.INV(RAND(),$M$7,$M$8)</f>
        <v>2.0656820747449935E-2</v>
      </c>
    </row>
    <row r="5658" spans="6:7" x14ac:dyDescent="0.25">
      <c r="F5658">
        <v>5655</v>
      </c>
      <c r="G5658">
        <f ca="1">_xlfn.NORM.INV(RAND(),$M$7,$M$8)</f>
        <v>6.2143787963194162E-3</v>
      </c>
    </row>
    <row r="5659" spans="6:7" x14ac:dyDescent="0.25">
      <c r="F5659">
        <v>5656</v>
      </c>
      <c r="G5659">
        <f ca="1">_xlfn.NORM.INV(RAND(),$M$7,$M$8)</f>
        <v>2.3862624345517679E-2</v>
      </c>
    </row>
    <row r="5660" spans="6:7" x14ac:dyDescent="0.25">
      <c r="F5660">
        <v>5657</v>
      </c>
      <c r="G5660">
        <f ca="1">_xlfn.NORM.INV(RAND(),$M$7,$M$8)</f>
        <v>-1.4515514138676838E-2</v>
      </c>
    </row>
    <row r="5661" spans="6:7" x14ac:dyDescent="0.25">
      <c r="F5661">
        <v>5658</v>
      </c>
      <c r="G5661">
        <f ca="1">_xlfn.NORM.INV(RAND(),$M$7,$M$8)</f>
        <v>-2.5402522138063925E-2</v>
      </c>
    </row>
    <row r="5662" spans="6:7" x14ac:dyDescent="0.25">
      <c r="F5662">
        <v>5659</v>
      </c>
      <c r="G5662">
        <f ca="1">_xlfn.NORM.INV(RAND(),$M$7,$M$8)</f>
        <v>-2.4611302495996929E-2</v>
      </c>
    </row>
    <row r="5663" spans="6:7" x14ac:dyDescent="0.25">
      <c r="F5663">
        <v>5660</v>
      </c>
      <c r="G5663">
        <f ca="1">_xlfn.NORM.INV(RAND(),$M$7,$M$8)</f>
        <v>-2.3881269347280913E-3</v>
      </c>
    </row>
    <row r="5664" spans="6:7" x14ac:dyDescent="0.25">
      <c r="F5664">
        <v>5661</v>
      </c>
      <c r="G5664">
        <f ca="1">_xlfn.NORM.INV(RAND(),$M$7,$M$8)</f>
        <v>9.9866572663914587E-3</v>
      </c>
    </row>
    <row r="5665" spans="6:7" x14ac:dyDescent="0.25">
      <c r="F5665">
        <v>5662</v>
      </c>
      <c r="G5665">
        <f ca="1">_xlfn.NORM.INV(RAND(),$M$7,$M$8)</f>
        <v>5.1075392070923809E-4</v>
      </c>
    </row>
    <row r="5666" spans="6:7" x14ac:dyDescent="0.25">
      <c r="F5666">
        <v>5663</v>
      </c>
      <c r="G5666">
        <f ca="1">_xlfn.NORM.INV(RAND(),$M$7,$M$8)</f>
        <v>-8.8865795457452115E-3</v>
      </c>
    </row>
    <row r="5667" spans="6:7" x14ac:dyDescent="0.25">
      <c r="F5667">
        <v>5664</v>
      </c>
      <c r="G5667">
        <f ca="1">_xlfn.NORM.INV(RAND(),$M$7,$M$8)</f>
        <v>1.9884102473464109E-2</v>
      </c>
    </row>
    <row r="5668" spans="6:7" x14ac:dyDescent="0.25">
      <c r="F5668">
        <v>5665</v>
      </c>
      <c r="G5668">
        <f ca="1">_xlfn.NORM.INV(RAND(),$M$7,$M$8)</f>
        <v>2.5446510831694625E-2</v>
      </c>
    </row>
    <row r="5669" spans="6:7" x14ac:dyDescent="0.25">
      <c r="F5669">
        <v>5666</v>
      </c>
      <c r="G5669">
        <f ca="1">_xlfn.NORM.INV(RAND(),$M$7,$M$8)</f>
        <v>-1.5617431181048285E-2</v>
      </c>
    </row>
    <row r="5670" spans="6:7" x14ac:dyDescent="0.25">
      <c r="F5670">
        <v>5667</v>
      </c>
      <c r="G5670">
        <f ca="1">_xlfn.NORM.INV(RAND(),$M$7,$M$8)</f>
        <v>-2.1190906196864857E-2</v>
      </c>
    </row>
    <row r="5671" spans="6:7" x14ac:dyDescent="0.25">
      <c r="F5671">
        <v>5668</v>
      </c>
      <c r="G5671">
        <f ca="1">_xlfn.NORM.INV(RAND(),$M$7,$M$8)</f>
        <v>1.6745686648680074E-2</v>
      </c>
    </row>
    <row r="5672" spans="6:7" x14ac:dyDescent="0.25">
      <c r="F5672">
        <v>5669</v>
      </c>
      <c r="G5672">
        <f ca="1">_xlfn.NORM.INV(RAND(),$M$7,$M$8)</f>
        <v>-3.9136486748123513E-2</v>
      </c>
    </row>
    <row r="5673" spans="6:7" x14ac:dyDescent="0.25">
      <c r="F5673">
        <v>5670</v>
      </c>
      <c r="G5673">
        <f ca="1">_xlfn.NORM.INV(RAND(),$M$7,$M$8)</f>
        <v>1.1312927099836848E-2</v>
      </c>
    </row>
    <row r="5674" spans="6:7" x14ac:dyDescent="0.25">
      <c r="F5674">
        <v>5671</v>
      </c>
      <c r="G5674">
        <f ca="1">_xlfn.NORM.INV(RAND(),$M$7,$M$8)</f>
        <v>-1.309557752465697E-2</v>
      </c>
    </row>
    <row r="5675" spans="6:7" x14ac:dyDescent="0.25">
      <c r="F5675">
        <v>5672</v>
      </c>
      <c r="G5675">
        <f ca="1">_xlfn.NORM.INV(RAND(),$M$7,$M$8)</f>
        <v>-2.4329601644695772E-2</v>
      </c>
    </row>
    <row r="5676" spans="6:7" x14ac:dyDescent="0.25">
      <c r="F5676">
        <v>5673</v>
      </c>
      <c r="G5676">
        <f ca="1">_xlfn.NORM.INV(RAND(),$M$7,$M$8)</f>
        <v>1.8995333590109145E-2</v>
      </c>
    </row>
    <row r="5677" spans="6:7" x14ac:dyDescent="0.25">
      <c r="F5677">
        <v>5674</v>
      </c>
      <c r="G5677">
        <f ca="1">_xlfn.NORM.INV(RAND(),$M$7,$M$8)</f>
        <v>-2.3183752984384888E-2</v>
      </c>
    </row>
    <row r="5678" spans="6:7" x14ac:dyDescent="0.25">
      <c r="F5678">
        <v>5675</v>
      </c>
      <c r="G5678">
        <f ca="1">_xlfn.NORM.INV(RAND(),$M$7,$M$8)</f>
        <v>9.6484006250120626E-3</v>
      </c>
    </row>
    <row r="5679" spans="6:7" x14ac:dyDescent="0.25">
      <c r="F5679">
        <v>5676</v>
      </c>
      <c r="G5679">
        <f ca="1">_xlfn.NORM.INV(RAND(),$M$7,$M$8)</f>
        <v>9.0143451390176585E-3</v>
      </c>
    </row>
    <row r="5680" spans="6:7" x14ac:dyDescent="0.25">
      <c r="F5680">
        <v>5677</v>
      </c>
      <c r="G5680">
        <f ca="1">_xlfn.NORM.INV(RAND(),$M$7,$M$8)</f>
        <v>2.6847111734700146E-3</v>
      </c>
    </row>
    <row r="5681" spans="6:7" x14ac:dyDescent="0.25">
      <c r="F5681">
        <v>5678</v>
      </c>
      <c r="G5681">
        <f ca="1">_xlfn.NORM.INV(RAND(),$M$7,$M$8)</f>
        <v>5.0869482278276465E-2</v>
      </c>
    </row>
    <row r="5682" spans="6:7" x14ac:dyDescent="0.25">
      <c r="F5682">
        <v>5679</v>
      </c>
      <c r="G5682">
        <f ca="1">_xlfn.NORM.INV(RAND(),$M$7,$M$8)</f>
        <v>-1.404410444878944E-3</v>
      </c>
    </row>
    <row r="5683" spans="6:7" x14ac:dyDescent="0.25">
      <c r="F5683">
        <v>5680</v>
      </c>
      <c r="G5683">
        <f ca="1">_xlfn.NORM.INV(RAND(),$M$7,$M$8)</f>
        <v>-2.2292318307772538E-5</v>
      </c>
    </row>
    <row r="5684" spans="6:7" x14ac:dyDescent="0.25">
      <c r="F5684">
        <v>5681</v>
      </c>
      <c r="G5684">
        <f ca="1">_xlfn.NORM.INV(RAND(),$M$7,$M$8)</f>
        <v>2.4424501442489727E-2</v>
      </c>
    </row>
    <row r="5685" spans="6:7" x14ac:dyDescent="0.25">
      <c r="F5685">
        <v>5682</v>
      </c>
      <c r="G5685">
        <f ca="1">_xlfn.NORM.INV(RAND(),$M$7,$M$8)</f>
        <v>5.9519383194548362E-3</v>
      </c>
    </row>
    <row r="5686" spans="6:7" x14ac:dyDescent="0.25">
      <c r="F5686">
        <v>5683</v>
      </c>
      <c r="G5686">
        <f ca="1">_xlfn.NORM.INV(RAND(),$M$7,$M$8)</f>
        <v>1.5524405870089531E-2</v>
      </c>
    </row>
    <row r="5687" spans="6:7" x14ac:dyDescent="0.25">
      <c r="F5687">
        <v>5684</v>
      </c>
      <c r="G5687">
        <f ca="1">_xlfn.NORM.INV(RAND(),$M$7,$M$8)</f>
        <v>-1.3988155958333521E-3</v>
      </c>
    </row>
    <row r="5688" spans="6:7" x14ac:dyDescent="0.25">
      <c r="F5688">
        <v>5685</v>
      </c>
      <c r="G5688">
        <f ca="1">_xlfn.NORM.INV(RAND(),$M$7,$M$8)</f>
        <v>2.4684378161429564E-2</v>
      </c>
    </row>
    <row r="5689" spans="6:7" x14ac:dyDescent="0.25">
      <c r="F5689">
        <v>5686</v>
      </c>
      <c r="G5689">
        <f ca="1">_xlfn.NORM.INV(RAND(),$M$7,$M$8)</f>
        <v>-1.1246735772060182E-2</v>
      </c>
    </row>
    <row r="5690" spans="6:7" x14ac:dyDescent="0.25">
      <c r="F5690">
        <v>5687</v>
      </c>
      <c r="G5690">
        <f ca="1">_xlfn.NORM.INV(RAND(),$M$7,$M$8)</f>
        <v>-1.619171443867258E-2</v>
      </c>
    </row>
    <row r="5691" spans="6:7" x14ac:dyDescent="0.25">
      <c r="F5691">
        <v>5688</v>
      </c>
      <c r="G5691">
        <f ca="1">_xlfn.NORM.INV(RAND(),$M$7,$M$8)</f>
        <v>1.8878403695528845E-2</v>
      </c>
    </row>
    <row r="5692" spans="6:7" x14ac:dyDescent="0.25">
      <c r="F5692">
        <v>5689</v>
      </c>
      <c r="G5692">
        <f ca="1">_xlfn.NORM.INV(RAND(),$M$7,$M$8)</f>
        <v>6.4478597503842314E-2</v>
      </c>
    </row>
    <row r="5693" spans="6:7" x14ac:dyDescent="0.25">
      <c r="F5693">
        <v>5690</v>
      </c>
      <c r="G5693">
        <f ca="1">_xlfn.NORM.INV(RAND(),$M$7,$M$8)</f>
        <v>1.1847598342033442E-2</v>
      </c>
    </row>
    <row r="5694" spans="6:7" x14ac:dyDescent="0.25">
      <c r="F5694">
        <v>5691</v>
      </c>
      <c r="G5694">
        <f ca="1">_xlfn.NORM.INV(RAND(),$M$7,$M$8)</f>
        <v>-1.1644626424604046E-2</v>
      </c>
    </row>
    <row r="5695" spans="6:7" x14ac:dyDescent="0.25">
      <c r="F5695">
        <v>5692</v>
      </c>
      <c r="G5695">
        <f ca="1">_xlfn.NORM.INV(RAND(),$M$7,$M$8)</f>
        <v>9.203423231732304E-3</v>
      </c>
    </row>
    <row r="5696" spans="6:7" x14ac:dyDescent="0.25">
      <c r="F5696">
        <v>5693</v>
      </c>
      <c r="G5696">
        <f ca="1">_xlfn.NORM.INV(RAND(),$M$7,$M$8)</f>
        <v>-1.2399893239496775E-2</v>
      </c>
    </row>
    <row r="5697" spans="6:7" x14ac:dyDescent="0.25">
      <c r="F5697">
        <v>5694</v>
      </c>
      <c r="G5697">
        <f ca="1">_xlfn.NORM.INV(RAND(),$M$7,$M$8)</f>
        <v>2.6311935863644227E-2</v>
      </c>
    </row>
    <row r="5698" spans="6:7" x14ac:dyDescent="0.25">
      <c r="F5698">
        <v>5695</v>
      </c>
      <c r="G5698">
        <f ca="1">_xlfn.NORM.INV(RAND(),$M$7,$M$8)</f>
        <v>4.5409255411967518E-3</v>
      </c>
    </row>
    <row r="5699" spans="6:7" x14ac:dyDescent="0.25">
      <c r="F5699">
        <v>5696</v>
      </c>
      <c r="G5699">
        <f ca="1">_xlfn.NORM.INV(RAND(),$M$7,$M$8)</f>
        <v>2.5651815975022727E-2</v>
      </c>
    </row>
    <row r="5700" spans="6:7" x14ac:dyDescent="0.25">
      <c r="F5700">
        <v>5697</v>
      </c>
      <c r="G5700">
        <f ca="1">_xlfn.NORM.INV(RAND(),$M$7,$M$8)</f>
        <v>-5.4942568593591555E-2</v>
      </c>
    </row>
    <row r="5701" spans="6:7" x14ac:dyDescent="0.25">
      <c r="F5701">
        <v>5698</v>
      </c>
      <c r="G5701">
        <f ca="1">_xlfn.NORM.INV(RAND(),$M$7,$M$8)</f>
        <v>1.8036296572122159E-2</v>
      </c>
    </row>
    <row r="5702" spans="6:7" x14ac:dyDescent="0.25">
      <c r="F5702">
        <v>5699</v>
      </c>
      <c r="G5702">
        <f ca="1">_xlfn.NORM.INV(RAND(),$M$7,$M$8)</f>
        <v>3.7557318541406121E-2</v>
      </c>
    </row>
    <row r="5703" spans="6:7" x14ac:dyDescent="0.25">
      <c r="F5703">
        <v>5700</v>
      </c>
      <c r="G5703">
        <f ca="1">_xlfn.NORM.INV(RAND(),$M$7,$M$8)</f>
        <v>-5.021901545042607E-3</v>
      </c>
    </row>
    <row r="5704" spans="6:7" x14ac:dyDescent="0.25">
      <c r="F5704">
        <v>5701</v>
      </c>
      <c r="G5704">
        <f ca="1">_xlfn.NORM.INV(RAND(),$M$7,$M$8)</f>
        <v>4.4026854362626119E-3</v>
      </c>
    </row>
    <row r="5705" spans="6:7" x14ac:dyDescent="0.25">
      <c r="F5705">
        <v>5702</v>
      </c>
      <c r="G5705">
        <f ca="1">_xlfn.NORM.INV(RAND(),$M$7,$M$8)</f>
        <v>-3.3977078570188876E-2</v>
      </c>
    </row>
    <row r="5706" spans="6:7" x14ac:dyDescent="0.25">
      <c r="F5706">
        <v>5703</v>
      </c>
      <c r="G5706">
        <f ca="1">_xlfn.NORM.INV(RAND(),$M$7,$M$8)</f>
        <v>3.1032496312292442E-2</v>
      </c>
    </row>
    <row r="5707" spans="6:7" x14ac:dyDescent="0.25">
      <c r="F5707">
        <v>5704</v>
      </c>
      <c r="G5707">
        <f ca="1">_xlfn.NORM.INV(RAND(),$M$7,$M$8)</f>
        <v>1.9427380210816712E-2</v>
      </c>
    </row>
    <row r="5708" spans="6:7" x14ac:dyDescent="0.25">
      <c r="F5708">
        <v>5705</v>
      </c>
      <c r="G5708">
        <f ca="1">_xlfn.NORM.INV(RAND(),$M$7,$M$8)</f>
        <v>1.7428877156974453E-2</v>
      </c>
    </row>
    <row r="5709" spans="6:7" x14ac:dyDescent="0.25">
      <c r="F5709">
        <v>5706</v>
      </c>
      <c r="G5709">
        <f ca="1">_xlfn.NORM.INV(RAND(),$M$7,$M$8)</f>
        <v>2.1186607705843711E-3</v>
      </c>
    </row>
    <row r="5710" spans="6:7" x14ac:dyDescent="0.25">
      <c r="F5710">
        <v>5707</v>
      </c>
      <c r="G5710">
        <f ca="1">_xlfn.NORM.INV(RAND(),$M$7,$M$8)</f>
        <v>3.1126649633166258E-2</v>
      </c>
    </row>
    <row r="5711" spans="6:7" x14ac:dyDescent="0.25">
      <c r="F5711">
        <v>5708</v>
      </c>
      <c r="G5711">
        <f ca="1">_xlfn.NORM.INV(RAND(),$M$7,$M$8)</f>
        <v>-1.2534133664466522E-4</v>
      </c>
    </row>
    <row r="5712" spans="6:7" x14ac:dyDescent="0.25">
      <c r="F5712">
        <v>5709</v>
      </c>
      <c r="G5712">
        <f ca="1">_xlfn.NORM.INV(RAND(),$M$7,$M$8)</f>
        <v>-2.5206563546786766E-2</v>
      </c>
    </row>
    <row r="5713" spans="6:7" x14ac:dyDescent="0.25">
      <c r="F5713">
        <v>5710</v>
      </c>
      <c r="G5713">
        <f ca="1">_xlfn.NORM.INV(RAND(),$M$7,$M$8)</f>
        <v>2.2468772054584075E-2</v>
      </c>
    </row>
    <row r="5714" spans="6:7" x14ac:dyDescent="0.25">
      <c r="F5714">
        <v>5711</v>
      </c>
      <c r="G5714">
        <f ca="1">_xlfn.NORM.INV(RAND(),$M$7,$M$8)</f>
        <v>1.1753223512311619E-2</v>
      </c>
    </row>
    <row r="5715" spans="6:7" x14ac:dyDescent="0.25">
      <c r="F5715">
        <v>5712</v>
      </c>
      <c r="G5715">
        <f ca="1">_xlfn.NORM.INV(RAND(),$M$7,$M$8)</f>
        <v>4.3261685170305399E-3</v>
      </c>
    </row>
    <row r="5716" spans="6:7" x14ac:dyDescent="0.25">
      <c r="F5716">
        <v>5713</v>
      </c>
      <c r="G5716">
        <f ca="1">_xlfn.NORM.INV(RAND(),$M$7,$M$8)</f>
        <v>-3.0212358098006729E-3</v>
      </c>
    </row>
    <row r="5717" spans="6:7" x14ac:dyDescent="0.25">
      <c r="F5717">
        <v>5714</v>
      </c>
      <c r="G5717">
        <f ca="1">_xlfn.NORM.INV(RAND(),$M$7,$M$8)</f>
        <v>-2.2413073115181488E-2</v>
      </c>
    </row>
    <row r="5718" spans="6:7" x14ac:dyDescent="0.25">
      <c r="F5718">
        <v>5715</v>
      </c>
      <c r="G5718">
        <f ca="1">_xlfn.NORM.INV(RAND(),$M$7,$M$8)</f>
        <v>-1.0860252149120636E-3</v>
      </c>
    </row>
    <row r="5719" spans="6:7" x14ac:dyDescent="0.25">
      <c r="F5719">
        <v>5716</v>
      </c>
      <c r="G5719">
        <f ca="1">_xlfn.NORM.INV(RAND(),$M$7,$M$8)</f>
        <v>1.7686266616513528E-3</v>
      </c>
    </row>
    <row r="5720" spans="6:7" x14ac:dyDescent="0.25">
      <c r="F5720">
        <v>5717</v>
      </c>
      <c r="G5720">
        <f ca="1">_xlfn.NORM.INV(RAND(),$M$7,$M$8)</f>
        <v>-1.5743917963100259E-2</v>
      </c>
    </row>
    <row r="5721" spans="6:7" x14ac:dyDescent="0.25">
      <c r="F5721">
        <v>5718</v>
      </c>
      <c r="G5721">
        <f ca="1">_xlfn.NORM.INV(RAND(),$M$7,$M$8)</f>
        <v>3.0224056971630297E-3</v>
      </c>
    </row>
    <row r="5722" spans="6:7" x14ac:dyDescent="0.25">
      <c r="F5722">
        <v>5719</v>
      </c>
      <c r="G5722">
        <f ca="1">_xlfn.NORM.INV(RAND(),$M$7,$M$8)</f>
        <v>1.1433159567454672E-2</v>
      </c>
    </row>
    <row r="5723" spans="6:7" x14ac:dyDescent="0.25">
      <c r="F5723">
        <v>5720</v>
      </c>
      <c r="G5723">
        <f ca="1">_xlfn.NORM.INV(RAND(),$M$7,$M$8)</f>
        <v>-1.105329592030963E-2</v>
      </c>
    </row>
    <row r="5724" spans="6:7" x14ac:dyDescent="0.25">
      <c r="F5724">
        <v>5721</v>
      </c>
      <c r="G5724">
        <f ca="1">_xlfn.NORM.INV(RAND(),$M$7,$M$8)</f>
        <v>-5.3163868997267161E-3</v>
      </c>
    </row>
    <row r="5725" spans="6:7" x14ac:dyDescent="0.25">
      <c r="F5725">
        <v>5722</v>
      </c>
      <c r="G5725">
        <f ca="1">_xlfn.NORM.INV(RAND(),$M$7,$M$8)</f>
        <v>-4.6504679679862434E-3</v>
      </c>
    </row>
    <row r="5726" spans="6:7" x14ac:dyDescent="0.25">
      <c r="F5726">
        <v>5723</v>
      </c>
      <c r="G5726">
        <f ca="1">_xlfn.NORM.INV(RAND(),$M$7,$M$8)</f>
        <v>-3.2320522171442184E-2</v>
      </c>
    </row>
    <row r="5727" spans="6:7" x14ac:dyDescent="0.25">
      <c r="F5727">
        <v>5724</v>
      </c>
      <c r="G5727">
        <f ca="1">_xlfn.NORM.INV(RAND(),$M$7,$M$8)</f>
        <v>-4.5929510664903736E-2</v>
      </c>
    </row>
    <row r="5728" spans="6:7" x14ac:dyDescent="0.25">
      <c r="F5728">
        <v>5725</v>
      </c>
      <c r="G5728">
        <f ca="1">_xlfn.NORM.INV(RAND(),$M$7,$M$8)</f>
        <v>-1.5757705447325947E-2</v>
      </c>
    </row>
    <row r="5729" spans="6:7" x14ac:dyDescent="0.25">
      <c r="F5729">
        <v>5726</v>
      </c>
      <c r="G5729">
        <f ca="1">_xlfn.NORM.INV(RAND(),$M$7,$M$8)</f>
        <v>1.6401339564891978E-2</v>
      </c>
    </row>
    <row r="5730" spans="6:7" x14ac:dyDescent="0.25">
      <c r="F5730">
        <v>5727</v>
      </c>
      <c r="G5730">
        <f ca="1">_xlfn.NORM.INV(RAND(),$M$7,$M$8)</f>
        <v>2.1067435505603784E-4</v>
      </c>
    </row>
    <row r="5731" spans="6:7" x14ac:dyDescent="0.25">
      <c r="F5731">
        <v>5728</v>
      </c>
      <c r="G5731">
        <f ca="1">_xlfn.NORM.INV(RAND(),$M$7,$M$8)</f>
        <v>1.0840973130699387E-4</v>
      </c>
    </row>
    <row r="5732" spans="6:7" x14ac:dyDescent="0.25">
      <c r="F5732">
        <v>5729</v>
      </c>
      <c r="G5732">
        <f ca="1">_xlfn.NORM.INV(RAND(),$M$7,$M$8)</f>
        <v>-3.4693447160856532E-2</v>
      </c>
    </row>
    <row r="5733" spans="6:7" x14ac:dyDescent="0.25">
      <c r="F5733">
        <v>5730</v>
      </c>
      <c r="G5733">
        <f ca="1">_xlfn.NORM.INV(RAND(),$M$7,$M$8)</f>
        <v>7.6958421857205618E-3</v>
      </c>
    </row>
    <row r="5734" spans="6:7" x14ac:dyDescent="0.25">
      <c r="F5734">
        <v>5731</v>
      </c>
      <c r="G5734">
        <f ca="1">_xlfn.NORM.INV(RAND(),$M$7,$M$8)</f>
        <v>-1.0704816496036381E-2</v>
      </c>
    </row>
    <row r="5735" spans="6:7" x14ac:dyDescent="0.25">
      <c r="F5735">
        <v>5732</v>
      </c>
      <c r="G5735">
        <f ca="1">_xlfn.NORM.INV(RAND(),$M$7,$M$8)</f>
        <v>-4.8885923521486199E-2</v>
      </c>
    </row>
    <row r="5736" spans="6:7" x14ac:dyDescent="0.25">
      <c r="F5736">
        <v>5733</v>
      </c>
      <c r="G5736">
        <f ca="1">_xlfn.NORM.INV(RAND(),$M$7,$M$8)</f>
        <v>1.9840150759949077E-2</v>
      </c>
    </row>
    <row r="5737" spans="6:7" x14ac:dyDescent="0.25">
      <c r="F5737">
        <v>5734</v>
      </c>
      <c r="G5737">
        <f ca="1">_xlfn.NORM.INV(RAND(),$M$7,$M$8)</f>
        <v>-2.9932517343579809E-2</v>
      </c>
    </row>
    <row r="5738" spans="6:7" x14ac:dyDescent="0.25">
      <c r="F5738">
        <v>5735</v>
      </c>
      <c r="G5738">
        <f ca="1">_xlfn.NORM.INV(RAND(),$M$7,$M$8)</f>
        <v>-3.1974502742012855E-3</v>
      </c>
    </row>
    <row r="5739" spans="6:7" x14ac:dyDescent="0.25">
      <c r="F5739">
        <v>5736</v>
      </c>
      <c r="G5739">
        <f ca="1">_xlfn.NORM.INV(RAND(),$M$7,$M$8)</f>
        <v>9.3883794002903708E-3</v>
      </c>
    </row>
    <row r="5740" spans="6:7" x14ac:dyDescent="0.25">
      <c r="F5740">
        <v>5737</v>
      </c>
      <c r="G5740">
        <f ca="1">_xlfn.NORM.INV(RAND(),$M$7,$M$8)</f>
        <v>4.985203997583857E-2</v>
      </c>
    </row>
    <row r="5741" spans="6:7" x14ac:dyDescent="0.25">
      <c r="F5741">
        <v>5738</v>
      </c>
      <c r="G5741">
        <f ca="1">_xlfn.NORM.INV(RAND(),$M$7,$M$8)</f>
        <v>-8.1964674753447881E-4</v>
      </c>
    </row>
    <row r="5742" spans="6:7" x14ac:dyDescent="0.25">
      <c r="F5742">
        <v>5739</v>
      </c>
      <c r="G5742">
        <f ca="1">_xlfn.NORM.INV(RAND(),$M$7,$M$8)</f>
        <v>1.5414390022643805E-2</v>
      </c>
    </row>
    <row r="5743" spans="6:7" x14ac:dyDescent="0.25">
      <c r="F5743">
        <v>5740</v>
      </c>
      <c r="G5743">
        <f ca="1">_xlfn.NORM.INV(RAND(),$M$7,$M$8)</f>
        <v>-3.3373601084018829E-2</v>
      </c>
    </row>
    <row r="5744" spans="6:7" x14ac:dyDescent="0.25">
      <c r="F5744">
        <v>5741</v>
      </c>
      <c r="G5744">
        <f ca="1">_xlfn.NORM.INV(RAND(),$M$7,$M$8)</f>
        <v>-5.126894459639042E-3</v>
      </c>
    </row>
    <row r="5745" spans="6:7" x14ac:dyDescent="0.25">
      <c r="F5745">
        <v>5742</v>
      </c>
      <c r="G5745">
        <f ca="1">_xlfn.NORM.INV(RAND(),$M$7,$M$8)</f>
        <v>1.1484827169871892E-2</v>
      </c>
    </row>
    <row r="5746" spans="6:7" x14ac:dyDescent="0.25">
      <c r="F5746">
        <v>5743</v>
      </c>
      <c r="G5746">
        <f ca="1">_xlfn.NORM.INV(RAND(),$M$7,$M$8)</f>
        <v>3.142306271094801E-2</v>
      </c>
    </row>
    <row r="5747" spans="6:7" x14ac:dyDescent="0.25">
      <c r="F5747">
        <v>5744</v>
      </c>
      <c r="G5747">
        <f ca="1">_xlfn.NORM.INV(RAND(),$M$7,$M$8)</f>
        <v>-2.4987692988031541E-2</v>
      </c>
    </row>
    <row r="5748" spans="6:7" x14ac:dyDescent="0.25">
      <c r="F5748">
        <v>5745</v>
      </c>
      <c r="G5748">
        <f ca="1">_xlfn.NORM.INV(RAND(),$M$7,$M$8)</f>
        <v>-1.3251428831200028E-2</v>
      </c>
    </row>
    <row r="5749" spans="6:7" x14ac:dyDescent="0.25">
      <c r="F5749">
        <v>5746</v>
      </c>
      <c r="G5749">
        <f ca="1">_xlfn.NORM.INV(RAND(),$M$7,$M$8)</f>
        <v>-5.6963433335999944E-3</v>
      </c>
    </row>
    <row r="5750" spans="6:7" x14ac:dyDescent="0.25">
      <c r="F5750">
        <v>5747</v>
      </c>
      <c r="G5750">
        <f ca="1">_xlfn.NORM.INV(RAND(),$M$7,$M$8)</f>
        <v>-4.130489213495165E-2</v>
      </c>
    </row>
    <row r="5751" spans="6:7" x14ac:dyDescent="0.25">
      <c r="F5751">
        <v>5748</v>
      </c>
      <c r="G5751">
        <f ca="1">_xlfn.NORM.INV(RAND(),$M$7,$M$8)</f>
        <v>-4.818298507086545E-3</v>
      </c>
    </row>
    <row r="5752" spans="6:7" x14ac:dyDescent="0.25">
      <c r="F5752">
        <v>5749</v>
      </c>
      <c r="G5752">
        <f ca="1">_xlfn.NORM.INV(RAND(),$M$7,$M$8)</f>
        <v>-5.5547334975886847E-3</v>
      </c>
    </row>
    <row r="5753" spans="6:7" x14ac:dyDescent="0.25">
      <c r="F5753">
        <v>5750</v>
      </c>
      <c r="G5753">
        <f ca="1">_xlfn.NORM.INV(RAND(),$M$7,$M$8)</f>
        <v>-4.4756774338003558E-3</v>
      </c>
    </row>
    <row r="5754" spans="6:7" x14ac:dyDescent="0.25">
      <c r="F5754">
        <v>5751</v>
      </c>
      <c r="G5754">
        <f ca="1">_xlfn.NORM.INV(RAND(),$M$7,$M$8)</f>
        <v>7.7938451611979515E-3</v>
      </c>
    </row>
    <row r="5755" spans="6:7" x14ac:dyDescent="0.25">
      <c r="F5755">
        <v>5752</v>
      </c>
      <c r="G5755">
        <f ca="1">_xlfn.NORM.INV(RAND(),$M$7,$M$8)</f>
        <v>2.8837095140887586E-2</v>
      </c>
    </row>
    <row r="5756" spans="6:7" x14ac:dyDescent="0.25">
      <c r="F5756">
        <v>5753</v>
      </c>
      <c r="G5756">
        <f ca="1">_xlfn.NORM.INV(RAND(),$M$7,$M$8)</f>
        <v>-5.5223769503033059E-2</v>
      </c>
    </row>
    <row r="5757" spans="6:7" x14ac:dyDescent="0.25">
      <c r="F5757">
        <v>5754</v>
      </c>
      <c r="G5757">
        <f ca="1">_xlfn.NORM.INV(RAND(),$M$7,$M$8)</f>
        <v>-4.4015425474969259E-3</v>
      </c>
    </row>
    <row r="5758" spans="6:7" x14ac:dyDescent="0.25">
      <c r="F5758">
        <v>5755</v>
      </c>
      <c r="G5758">
        <f ca="1">_xlfn.NORM.INV(RAND(),$M$7,$M$8)</f>
        <v>1.7135834151564961E-2</v>
      </c>
    </row>
    <row r="5759" spans="6:7" x14ac:dyDescent="0.25">
      <c r="F5759">
        <v>5756</v>
      </c>
      <c r="G5759">
        <f ca="1">_xlfn.NORM.INV(RAND(),$M$7,$M$8)</f>
        <v>-2.3776052224936943E-2</v>
      </c>
    </row>
    <row r="5760" spans="6:7" x14ac:dyDescent="0.25">
      <c r="F5760">
        <v>5757</v>
      </c>
      <c r="G5760">
        <f ca="1">_xlfn.NORM.INV(RAND(),$M$7,$M$8)</f>
        <v>-4.8252938136721449E-3</v>
      </c>
    </row>
    <row r="5761" spans="6:7" x14ac:dyDescent="0.25">
      <c r="F5761">
        <v>5758</v>
      </c>
      <c r="G5761">
        <f ca="1">_xlfn.NORM.INV(RAND(),$M$7,$M$8)</f>
        <v>-1.766233386135632E-3</v>
      </c>
    </row>
    <row r="5762" spans="6:7" x14ac:dyDescent="0.25">
      <c r="F5762">
        <v>5759</v>
      </c>
      <c r="G5762">
        <f ca="1">_xlfn.NORM.INV(RAND(),$M$7,$M$8)</f>
        <v>-1.1400999127173048E-2</v>
      </c>
    </row>
    <row r="5763" spans="6:7" x14ac:dyDescent="0.25">
      <c r="F5763">
        <v>5760</v>
      </c>
      <c r="G5763">
        <f ca="1">_xlfn.NORM.INV(RAND(),$M$7,$M$8)</f>
        <v>-1.7810855237198522E-2</v>
      </c>
    </row>
    <row r="5764" spans="6:7" x14ac:dyDescent="0.25">
      <c r="F5764">
        <v>5761</v>
      </c>
      <c r="G5764">
        <f ca="1">_xlfn.NORM.INV(RAND(),$M$7,$M$8)</f>
        <v>3.1199581285040814E-2</v>
      </c>
    </row>
    <row r="5765" spans="6:7" x14ac:dyDescent="0.25">
      <c r="F5765">
        <v>5762</v>
      </c>
      <c r="G5765">
        <f ca="1">_xlfn.NORM.INV(RAND(),$M$7,$M$8)</f>
        <v>-8.4931587124761412E-3</v>
      </c>
    </row>
    <row r="5766" spans="6:7" x14ac:dyDescent="0.25">
      <c r="F5766">
        <v>5763</v>
      </c>
      <c r="G5766">
        <f ca="1">_xlfn.NORM.INV(RAND(),$M$7,$M$8)</f>
        <v>9.4170498015331838E-3</v>
      </c>
    </row>
    <row r="5767" spans="6:7" x14ac:dyDescent="0.25">
      <c r="F5767">
        <v>5764</v>
      </c>
      <c r="G5767">
        <f ca="1">_xlfn.NORM.INV(RAND(),$M$7,$M$8)</f>
        <v>-5.4165043764125252E-3</v>
      </c>
    </row>
    <row r="5768" spans="6:7" x14ac:dyDescent="0.25">
      <c r="F5768">
        <v>5765</v>
      </c>
      <c r="G5768">
        <f ca="1">_xlfn.NORM.INV(RAND(),$M$7,$M$8)</f>
        <v>1.2485955022881086E-2</v>
      </c>
    </row>
    <row r="5769" spans="6:7" x14ac:dyDescent="0.25">
      <c r="F5769">
        <v>5766</v>
      </c>
      <c r="G5769">
        <f ca="1">_xlfn.NORM.INV(RAND(),$M$7,$M$8)</f>
        <v>-6.8654610098464637E-3</v>
      </c>
    </row>
    <row r="5770" spans="6:7" x14ac:dyDescent="0.25">
      <c r="F5770">
        <v>5767</v>
      </c>
      <c r="G5770">
        <f ca="1">_xlfn.NORM.INV(RAND(),$M$7,$M$8)</f>
        <v>-8.0166626222320046E-3</v>
      </c>
    </row>
    <row r="5771" spans="6:7" x14ac:dyDescent="0.25">
      <c r="F5771">
        <v>5768</v>
      </c>
      <c r="G5771">
        <f ca="1">_xlfn.NORM.INV(RAND(),$M$7,$M$8)</f>
        <v>8.7775554208823405E-3</v>
      </c>
    </row>
    <row r="5772" spans="6:7" x14ac:dyDescent="0.25">
      <c r="F5772">
        <v>5769</v>
      </c>
      <c r="G5772">
        <f ca="1">_xlfn.NORM.INV(RAND(),$M$7,$M$8)</f>
        <v>-1.6626676557374404E-2</v>
      </c>
    </row>
    <row r="5773" spans="6:7" x14ac:dyDescent="0.25">
      <c r="F5773">
        <v>5770</v>
      </c>
      <c r="G5773">
        <f ca="1">_xlfn.NORM.INV(RAND(),$M$7,$M$8)</f>
        <v>2.3653306202960148E-2</v>
      </c>
    </row>
    <row r="5774" spans="6:7" x14ac:dyDescent="0.25">
      <c r="F5774">
        <v>5771</v>
      </c>
      <c r="G5774">
        <f ca="1">_xlfn.NORM.INV(RAND(),$M$7,$M$8)</f>
        <v>-1.1979593670189109E-2</v>
      </c>
    </row>
    <row r="5775" spans="6:7" x14ac:dyDescent="0.25">
      <c r="F5775">
        <v>5772</v>
      </c>
      <c r="G5775">
        <f ca="1">_xlfn.NORM.INV(RAND(),$M$7,$M$8)</f>
        <v>6.28865369666399E-2</v>
      </c>
    </row>
    <row r="5776" spans="6:7" x14ac:dyDescent="0.25">
      <c r="F5776">
        <v>5773</v>
      </c>
      <c r="G5776">
        <f ca="1">_xlfn.NORM.INV(RAND(),$M$7,$M$8)</f>
        <v>-1.7547215645788389E-2</v>
      </c>
    </row>
    <row r="5777" spans="6:7" x14ac:dyDescent="0.25">
      <c r="F5777">
        <v>5774</v>
      </c>
      <c r="G5777">
        <f ca="1">_xlfn.NORM.INV(RAND(),$M$7,$M$8)</f>
        <v>-1.1082051600537286E-2</v>
      </c>
    </row>
    <row r="5778" spans="6:7" x14ac:dyDescent="0.25">
      <c r="F5778">
        <v>5775</v>
      </c>
      <c r="G5778">
        <f ca="1">_xlfn.NORM.INV(RAND(),$M$7,$M$8)</f>
        <v>-2.5736271166918744E-2</v>
      </c>
    </row>
    <row r="5779" spans="6:7" x14ac:dyDescent="0.25">
      <c r="F5779">
        <v>5776</v>
      </c>
      <c r="G5779">
        <f ca="1">_xlfn.NORM.INV(RAND(),$M$7,$M$8)</f>
        <v>1.7474012446582802E-3</v>
      </c>
    </row>
    <row r="5780" spans="6:7" x14ac:dyDescent="0.25">
      <c r="F5780">
        <v>5777</v>
      </c>
      <c r="G5780">
        <f ca="1">_xlfn.NORM.INV(RAND(),$M$7,$M$8)</f>
        <v>2.3059482925833225E-2</v>
      </c>
    </row>
    <row r="5781" spans="6:7" x14ac:dyDescent="0.25">
      <c r="F5781">
        <v>5778</v>
      </c>
      <c r="G5781">
        <f ca="1">_xlfn.NORM.INV(RAND(),$M$7,$M$8)</f>
        <v>4.3924073572224658E-2</v>
      </c>
    </row>
    <row r="5782" spans="6:7" x14ac:dyDescent="0.25">
      <c r="F5782">
        <v>5779</v>
      </c>
      <c r="G5782">
        <f ca="1">_xlfn.NORM.INV(RAND(),$M$7,$M$8)</f>
        <v>7.8894481808562279E-3</v>
      </c>
    </row>
    <row r="5783" spans="6:7" x14ac:dyDescent="0.25">
      <c r="F5783">
        <v>5780</v>
      </c>
      <c r="G5783">
        <f ca="1">_xlfn.NORM.INV(RAND(),$M$7,$M$8)</f>
        <v>1.0196658911319321E-2</v>
      </c>
    </row>
    <row r="5784" spans="6:7" x14ac:dyDescent="0.25">
      <c r="F5784">
        <v>5781</v>
      </c>
      <c r="G5784">
        <f ca="1">_xlfn.NORM.INV(RAND(),$M$7,$M$8)</f>
        <v>5.6616602953351424E-3</v>
      </c>
    </row>
    <row r="5785" spans="6:7" x14ac:dyDescent="0.25">
      <c r="F5785">
        <v>5782</v>
      </c>
      <c r="G5785">
        <f ca="1">_xlfn.NORM.INV(RAND(),$M$7,$M$8)</f>
        <v>5.2462952662887023E-2</v>
      </c>
    </row>
    <row r="5786" spans="6:7" x14ac:dyDescent="0.25">
      <c r="F5786">
        <v>5783</v>
      </c>
      <c r="G5786">
        <f ca="1">_xlfn.NORM.INV(RAND(),$M$7,$M$8)</f>
        <v>-2.660481298357743E-2</v>
      </c>
    </row>
    <row r="5787" spans="6:7" x14ac:dyDescent="0.25">
      <c r="F5787">
        <v>5784</v>
      </c>
      <c r="G5787">
        <f ca="1">_xlfn.NORM.INV(RAND(),$M$7,$M$8)</f>
        <v>1.2923189185652625E-2</v>
      </c>
    </row>
    <row r="5788" spans="6:7" x14ac:dyDescent="0.25">
      <c r="F5788">
        <v>5785</v>
      </c>
      <c r="G5788">
        <f ca="1">_xlfn.NORM.INV(RAND(),$M$7,$M$8)</f>
        <v>2.5534686594095211E-3</v>
      </c>
    </row>
    <row r="5789" spans="6:7" x14ac:dyDescent="0.25">
      <c r="F5789">
        <v>5786</v>
      </c>
      <c r="G5789">
        <f ca="1">_xlfn.NORM.INV(RAND(),$M$7,$M$8)</f>
        <v>9.8457226243812805E-3</v>
      </c>
    </row>
    <row r="5790" spans="6:7" x14ac:dyDescent="0.25">
      <c r="F5790">
        <v>5787</v>
      </c>
      <c r="G5790">
        <f ca="1">_xlfn.NORM.INV(RAND(),$M$7,$M$8)</f>
        <v>1.2408371908392031E-2</v>
      </c>
    </row>
    <row r="5791" spans="6:7" x14ac:dyDescent="0.25">
      <c r="F5791">
        <v>5788</v>
      </c>
      <c r="G5791">
        <f ca="1">_xlfn.NORM.INV(RAND(),$M$7,$M$8)</f>
        <v>-2.1672352261795829E-3</v>
      </c>
    </row>
    <row r="5792" spans="6:7" x14ac:dyDescent="0.25">
      <c r="F5792">
        <v>5789</v>
      </c>
      <c r="G5792">
        <f ca="1">_xlfn.NORM.INV(RAND(),$M$7,$M$8)</f>
        <v>1.8954473442350656E-2</v>
      </c>
    </row>
    <row r="5793" spans="6:7" x14ac:dyDescent="0.25">
      <c r="F5793">
        <v>5790</v>
      </c>
      <c r="G5793">
        <f ca="1">_xlfn.NORM.INV(RAND(),$M$7,$M$8)</f>
        <v>8.4763379632485925E-3</v>
      </c>
    </row>
    <row r="5794" spans="6:7" x14ac:dyDescent="0.25">
      <c r="F5794">
        <v>5791</v>
      </c>
      <c r="G5794">
        <f ca="1">_xlfn.NORM.INV(RAND(),$M$7,$M$8)</f>
        <v>4.7682406675335041E-3</v>
      </c>
    </row>
    <row r="5795" spans="6:7" x14ac:dyDescent="0.25">
      <c r="F5795">
        <v>5792</v>
      </c>
      <c r="G5795">
        <f ca="1">_xlfn.NORM.INV(RAND(),$M$7,$M$8)</f>
        <v>-2.924100069783343E-2</v>
      </c>
    </row>
    <row r="5796" spans="6:7" x14ac:dyDescent="0.25">
      <c r="F5796">
        <v>5793</v>
      </c>
      <c r="G5796">
        <f ca="1">_xlfn.NORM.INV(RAND(),$M$7,$M$8)</f>
        <v>-3.6352446190387939E-3</v>
      </c>
    </row>
    <row r="5797" spans="6:7" x14ac:dyDescent="0.25">
      <c r="F5797">
        <v>5794</v>
      </c>
      <c r="G5797">
        <f ca="1">_xlfn.NORM.INV(RAND(),$M$7,$M$8)</f>
        <v>1.8953184846284894E-2</v>
      </c>
    </row>
    <row r="5798" spans="6:7" x14ac:dyDescent="0.25">
      <c r="F5798">
        <v>5795</v>
      </c>
      <c r="G5798">
        <f ca="1">_xlfn.NORM.INV(RAND(),$M$7,$M$8)</f>
        <v>2.1247691141807152E-2</v>
      </c>
    </row>
    <row r="5799" spans="6:7" x14ac:dyDescent="0.25">
      <c r="F5799">
        <v>5796</v>
      </c>
      <c r="G5799">
        <f ca="1">_xlfn.NORM.INV(RAND(),$M$7,$M$8)</f>
        <v>1.7555127159612598E-2</v>
      </c>
    </row>
    <row r="5800" spans="6:7" x14ac:dyDescent="0.25">
      <c r="F5800">
        <v>5797</v>
      </c>
      <c r="G5800">
        <f ca="1">_xlfn.NORM.INV(RAND(),$M$7,$M$8)</f>
        <v>-2.1901014734210376E-2</v>
      </c>
    </row>
    <row r="5801" spans="6:7" x14ac:dyDescent="0.25">
      <c r="F5801">
        <v>5798</v>
      </c>
      <c r="G5801">
        <f ca="1">_xlfn.NORM.INV(RAND(),$M$7,$M$8)</f>
        <v>-4.8723102418886735E-3</v>
      </c>
    </row>
    <row r="5802" spans="6:7" x14ac:dyDescent="0.25">
      <c r="F5802">
        <v>5799</v>
      </c>
      <c r="G5802">
        <f ca="1">_xlfn.NORM.INV(RAND(),$M$7,$M$8)</f>
        <v>-1.2336229313797771E-2</v>
      </c>
    </row>
    <row r="5803" spans="6:7" x14ac:dyDescent="0.25">
      <c r="F5803">
        <v>5800</v>
      </c>
      <c r="G5803">
        <f ca="1">_xlfn.NORM.INV(RAND(),$M$7,$M$8)</f>
        <v>1.6413790075507334E-2</v>
      </c>
    </row>
    <row r="5804" spans="6:7" x14ac:dyDescent="0.25">
      <c r="F5804">
        <v>5801</v>
      </c>
      <c r="G5804">
        <f ca="1">_xlfn.NORM.INV(RAND(),$M$7,$M$8)</f>
        <v>-3.7980890158393382E-3</v>
      </c>
    </row>
    <row r="5805" spans="6:7" x14ac:dyDescent="0.25">
      <c r="F5805">
        <v>5802</v>
      </c>
      <c r="G5805">
        <f ca="1">_xlfn.NORM.INV(RAND(),$M$7,$M$8)</f>
        <v>1.1629500610914187E-2</v>
      </c>
    </row>
    <row r="5806" spans="6:7" x14ac:dyDescent="0.25">
      <c r="F5806">
        <v>5803</v>
      </c>
      <c r="G5806">
        <f ca="1">_xlfn.NORM.INV(RAND(),$M$7,$M$8)</f>
        <v>-2.4397809960702326E-2</v>
      </c>
    </row>
    <row r="5807" spans="6:7" x14ac:dyDescent="0.25">
      <c r="F5807">
        <v>5804</v>
      </c>
      <c r="G5807">
        <f ca="1">_xlfn.NORM.INV(RAND(),$M$7,$M$8)</f>
        <v>-3.4953034149412511E-2</v>
      </c>
    </row>
    <row r="5808" spans="6:7" x14ac:dyDescent="0.25">
      <c r="F5808">
        <v>5805</v>
      </c>
      <c r="G5808">
        <f ca="1">_xlfn.NORM.INV(RAND(),$M$7,$M$8)</f>
        <v>2.1888567311350728E-2</v>
      </c>
    </row>
    <row r="5809" spans="6:7" x14ac:dyDescent="0.25">
      <c r="F5809">
        <v>5806</v>
      </c>
      <c r="G5809">
        <f ca="1">_xlfn.NORM.INV(RAND(),$M$7,$M$8)</f>
        <v>-3.0751021268854675E-2</v>
      </c>
    </row>
    <row r="5810" spans="6:7" x14ac:dyDescent="0.25">
      <c r="F5810">
        <v>5807</v>
      </c>
      <c r="G5810">
        <f ca="1">_xlfn.NORM.INV(RAND(),$M$7,$M$8)</f>
        <v>3.1457088547059572E-2</v>
      </c>
    </row>
    <row r="5811" spans="6:7" x14ac:dyDescent="0.25">
      <c r="F5811">
        <v>5808</v>
      </c>
      <c r="G5811">
        <f ca="1">_xlfn.NORM.INV(RAND(),$M$7,$M$8)</f>
        <v>1.3265015355334933E-2</v>
      </c>
    </row>
    <row r="5812" spans="6:7" x14ac:dyDescent="0.25">
      <c r="F5812">
        <v>5809</v>
      </c>
      <c r="G5812">
        <f ca="1">_xlfn.NORM.INV(RAND(),$M$7,$M$8)</f>
        <v>-8.701814176148643E-3</v>
      </c>
    </row>
    <row r="5813" spans="6:7" x14ac:dyDescent="0.25">
      <c r="F5813">
        <v>5810</v>
      </c>
      <c r="G5813">
        <f ca="1">_xlfn.NORM.INV(RAND(),$M$7,$M$8)</f>
        <v>2.1703920136905568E-2</v>
      </c>
    </row>
    <row r="5814" spans="6:7" x14ac:dyDescent="0.25">
      <c r="F5814">
        <v>5811</v>
      </c>
      <c r="G5814">
        <f ca="1">_xlfn.NORM.INV(RAND(),$M$7,$M$8)</f>
        <v>9.6760423676617718E-3</v>
      </c>
    </row>
    <row r="5815" spans="6:7" x14ac:dyDescent="0.25">
      <c r="F5815">
        <v>5812</v>
      </c>
      <c r="G5815">
        <f ca="1">_xlfn.NORM.INV(RAND(),$M$7,$M$8)</f>
        <v>-5.9942954778526791E-2</v>
      </c>
    </row>
    <row r="5816" spans="6:7" x14ac:dyDescent="0.25">
      <c r="F5816">
        <v>5813</v>
      </c>
      <c r="G5816">
        <f ca="1">_xlfn.NORM.INV(RAND(),$M$7,$M$8)</f>
        <v>-1.2645611731502991E-2</v>
      </c>
    </row>
    <row r="5817" spans="6:7" x14ac:dyDescent="0.25">
      <c r="F5817">
        <v>5814</v>
      </c>
      <c r="G5817">
        <f ca="1">_xlfn.NORM.INV(RAND(),$M$7,$M$8)</f>
        <v>-2.6436662519625006E-2</v>
      </c>
    </row>
    <row r="5818" spans="6:7" x14ac:dyDescent="0.25">
      <c r="F5818">
        <v>5815</v>
      </c>
      <c r="G5818">
        <f ca="1">_xlfn.NORM.INV(RAND(),$M$7,$M$8)</f>
        <v>5.9664617148543805E-2</v>
      </c>
    </row>
    <row r="5819" spans="6:7" x14ac:dyDescent="0.25">
      <c r="F5819">
        <v>5816</v>
      </c>
      <c r="G5819">
        <f ca="1">_xlfn.NORM.INV(RAND(),$M$7,$M$8)</f>
        <v>7.2290030424213628E-3</v>
      </c>
    </row>
    <row r="5820" spans="6:7" x14ac:dyDescent="0.25">
      <c r="F5820">
        <v>5817</v>
      </c>
      <c r="G5820">
        <f ca="1">_xlfn.NORM.INV(RAND(),$M$7,$M$8)</f>
        <v>8.1264777421920372E-4</v>
      </c>
    </row>
    <row r="5821" spans="6:7" x14ac:dyDescent="0.25">
      <c r="F5821">
        <v>5818</v>
      </c>
      <c r="G5821">
        <f ca="1">_xlfn.NORM.INV(RAND(),$M$7,$M$8)</f>
        <v>5.3660476920320214E-2</v>
      </c>
    </row>
    <row r="5822" spans="6:7" x14ac:dyDescent="0.25">
      <c r="F5822">
        <v>5819</v>
      </c>
      <c r="G5822">
        <f ca="1">_xlfn.NORM.INV(RAND(),$M$7,$M$8)</f>
        <v>2.7487419592379459E-3</v>
      </c>
    </row>
    <row r="5823" spans="6:7" x14ac:dyDescent="0.25">
      <c r="F5823">
        <v>5820</v>
      </c>
      <c r="G5823">
        <f ca="1">_xlfn.NORM.INV(RAND(),$M$7,$M$8)</f>
        <v>2.0344615254128985E-2</v>
      </c>
    </row>
    <row r="5824" spans="6:7" x14ac:dyDescent="0.25">
      <c r="F5824">
        <v>5821</v>
      </c>
      <c r="G5824">
        <f ca="1">_xlfn.NORM.INV(RAND(),$M$7,$M$8)</f>
        <v>-5.0701078680465955E-3</v>
      </c>
    </row>
    <row r="5825" spans="6:7" x14ac:dyDescent="0.25">
      <c r="F5825">
        <v>5822</v>
      </c>
      <c r="G5825">
        <f ca="1">_xlfn.NORM.INV(RAND(),$M$7,$M$8)</f>
        <v>-7.0131708868961199E-3</v>
      </c>
    </row>
    <row r="5826" spans="6:7" x14ac:dyDescent="0.25">
      <c r="F5826">
        <v>5823</v>
      </c>
      <c r="G5826">
        <f ca="1">_xlfn.NORM.INV(RAND(),$M$7,$M$8)</f>
        <v>-1.8014919790273264E-2</v>
      </c>
    </row>
    <row r="5827" spans="6:7" x14ac:dyDescent="0.25">
      <c r="F5827">
        <v>5824</v>
      </c>
      <c r="G5827">
        <f ca="1">_xlfn.NORM.INV(RAND(),$M$7,$M$8)</f>
        <v>-1.6211602077352442E-2</v>
      </c>
    </row>
    <row r="5828" spans="6:7" x14ac:dyDescent="0.25">
      <c r="F5828">
        <v>5825</v>
      </c>
      <c r="G5828">
        <f ca="1">_xlfn.NORM.INV(RAND(),$M$7,$M$8)</f>
        <v>-5.6846178553235701E-3</v>
      </c>
    </row>
    <row r="5829" spans="6:7" x14ac:dyDescent="0.25">
      <c r="F5829">
        <v>5826</v>
      </c>
      <c r="G5829">
        <f ca="1">_xlfn.NORM.INV(RAND(),$M$7,$M$8)</f>
        <v>-3.7818292889978959E-3</v>
      </c>
    </row>
    <row r="5830" spans="6:7" x14ac:dyDescent="0.25">
      <c r="F5830">
        <v>5827</v>
      </c>
      <c r="G5830">
        <f ca="1">_xlfn.NORM.INV(RAND(),$M$7,$M$8)</f>
        <v>-2.2181732446042872E-2</v>
      </c>
    </row>
    <row r="5831" spans="6:7" x14ac:dyDescent="0.25">
      <c r="F5831">
        <v>5828</v>
      </c>
      <c r="G5831">
        <f ca="1">_xlfn.NORM.INV(RAND(),$M$7,$M$8)</f>
        <v>-4.2668269263018387E-3</v>
      </c>
    </row>
    <row r="5832" spans="6:7" x14ac:dyDescent="0.25">
      <c r="F5832">
        <v>5829</v>
      </c>
      <c r="G5832">
        <f ca="1">_xlfn.NORM.INV(RAND(),$M$7,$M$8)</f>
        <v>7.219008113946164E-3</v>
      </c>
    </row>
    <row r="5833" spans="6:7" x14ac:dyDescent="0.25">
      <c r="F5833">
        <v>5830</v>
      </c>
      <c r="G5833">
        <f ca="1">_xlfn.NORM.INV(RAND(),$M$7,$M$8)</f>
        <v>5.1228893328670429E-2</v>
      </c>
    </row>
    <row r="5834" spans="6:7" x14ac:dyDescent="0.25">
      <c r="F5834">
        <v>5831</v>
      </c>
      <c r="G5834">
        <f ca="1">_xlfn.NORM.INV(RAND(),$M$7,$M$8)</f>
        <v>1.1161261819844989E-2</v>
      </c>
    </row>
    <row r="5835" spans="6:7" x14ac:dyDescent="0.25">
      <c r="F5835">
        <v>5832</v>
      </c>
      <c r="G5835">
        <f ca="1">_xlfn.NORM.INV(RAND(),$M$7,$M$8)</f>
        <v>1.8960884073694201E-2</v>
      </c>
    </row>
    <row r="5836" spans="6:7" x14ac:dyDescent="0.25">
      <c r="F5836">
        <v>5833</v>
      </c>
      <c r="G5836">
        <f ca="1">_xlfn.NORM.INV(RAND(),$M$7,$M$8)</f>
        <v>-3.3935281764437791E-3</v>
      </c>
    </row>
    <row r="5837" spans="6:7" x14ac:dyDescent="0.25">
      <c r="F5837">
        <v>5834</v>
      </c>
      <c r="G5837">
        <f ca="1">_xlfn.NORM.INV(RAND(),$M$7,$M$8)</f>
        <v>1.2360754526033041E-3</v>
      </c>
    </row>
    <row r="5838" spans="6:7" x14ac:dyDescent="0.25">
      <c r="F5838">
        <v>5835</v>
      </c>
      <c r="G5838">
        <f ca="1">_xlfn.NORM.INV(RAND(),$M$7,$M$8)</f>
        <v>-4.4107805408245861E-3</v>
      </c>
    </row>
    <row r="5839" spans="6:7" x14ac:dyDescent="0.25">
      <c r="F5839">
        <v>5836</v>
      </c>
      <c r="G5839">
        <f ca="1">_xlfn.NORM.INV(RAND(),$M$7,$M$8)</f>
        <v>-1.2285381312686363E-2</v>
      </c>
    </row>
    <row r="5840" spans="6:7" x14ac:dyDescent="0.25">
      <c r="F5840">
        <v>5837</v>
      </c>
      <c r="G5840">
        <f ca="1">_xlfn.NORM.INV(RAND(),$M$7,$M$8)</f>
        <v>6.8369561383721765E-3</v>
      </c>
    </row>
    <row r="5841" spans="6:7" x14ac:dyDescent="0.25">
      <c r="F5841">
        <v>5838</v>
      </c>
      <c r="G5841">
        <f ca="1">_xlfn.NORM.INV(RAND(),$M$7,$M$8)</f>
        <v>3.9774706266980236E-3</v>
      </c>
    </row>
    <row r="5842" spans="6:7" x14ac:dyDescent="0.25">
      <c r="F5842">
        <v>5839</v>
      </c>
      <c r="G5842">
        <f ca="1">_xlfn.NORM.INV(RAND(),$M$7,$M$8)</f>
        <v>-4.4400618129553732E-2</v>
      </c>
    </row>
    <row r="5843" spans="6:7" x14ac:dyDescent="0.25">
      <c r="F5843">
        <v>5840</v>
      </c>
      <c r="G5843">
        <f ca="1">_xlfn.NORM.INV(RAND(),$M$7,$M$8)</f>
        <v>-2.152548054608518E-3</v>
      </c>
    </row>
    <row r="5844" spans="6:7" x14ac:dyDescent="0.25">
      <c r="F5844">
        <v>5841</v>
      </c>
      <c r="G5844">
        <f ca="1">_xlfn.NORM.INV(RAND(),$M$7,$M$8)</f>
        <v>1.8535218734548321E-2</v>
      </c>
    </row>
    <row r="5845" spans="6:7" x14ac:dyDescent="0.25">
      <c r="F5845">
        <v>5842</v>
      </c>
      <c r="G5845">
        <f ca="1">_xlfn.NORM.INV(RAND(),$M$7,$M$8)</f>
        <v>-4.5623522279498445E-2</v>
      </c>
    </row>
    <row r="5846" spans="6:7" x14ac:dyDescent="0.25">
      <c r="F5846">
        <v>5843</v>
      </c>
      <c r="G5846">
        <f ca="1">_xlfn.NORM.INV(RAND(),$M$7,$M$8)</f>
        <v>-3.1968031185487023E-3</v>
      </c>
    </row>
    <row r="5847" spans="6:7" x14ac:dyDescent="0.25">
      <c r="F5847">
        <v>5844</v>
      </c>
      <c r="G5847">
        <f ca="1">_xlfn.NORM.INV(RAND(),$M$7,$M$8)</f>
        <v>-3.0610679973261782E-2</v>
      </c>
    </row>
    <row r="5848" spans="6:7" x14ac:dyDescent="0.25">
      <c r="F5848">
        <v>5845</v>
      </c>
      <c r="G5848">
        <f ca="1">_xlfn.NORM.INV(RAND(),$M$7,$M$8)</f>
        <v>6.4824230654541119E-3</v>
      </c>
    </row>
    <row r="5849" spans="6:7" x14ac:dyDescent="0.25">
      <c r="F5849">
        <v>5846</v>
      </c>
      <c r="G5849">
        <f ca="1">_xlfn.NORM.INV(RAND(),$M$7,$M$8)</f>
        <v>-6.5314388734817562E-3</v>
      </c>
    </row>
    <row r="5850" spans="6:7" x14ac:dyDescent="0.25">
      <c r="F5850">
        <v>5847</v>
      </c>
      <c r="G5850">
        <f ca="1">_xlfn.NORM.INV(RAND(),$M$7,$M$8)</f>
        <v>3.8562006812136659E-2</v>
      </c>
    </row>
    <row r="5851" spans="6:7" x14ac:dyDescent="0.25">
      <c r="F5851">
        <v>5848</v>
      </c>
      <c r="G5851">
        <f ca="1">_xlfn.NORM.INV(RAND(),$M$7,$M$8)</f>
        <v>2.2547922342212312E-3</v>
      </c>
    </row>
    <row r="5852" spans="6:7" x14ac:dyDescent="0.25">
      <c r="F5852">
        <v>5849</v>
      </c>
      <c r="G5852">
        <f ca="1">_xlfn.NORM.INV(RAND(),$M$7,$M$8)</f>
        <v>6.3408441123634033E-3</v>
      </c>
    </row>
    <row r="5853" spans="6:7" x14ac:dyDescent="0.25">
      <c r="F5853">
        <v>5850</v>
      </c>
      <c r="G5853">
        <f ca="1">_xlfn.NORM.INV(RAND(),$M$7,$M$8)</f>
        <v>3.9092978020739313E-2</v>
      </c>
    </row>
    <row r="5854" spans="6:7" x14ac:dyDescent="0.25">
      <c r="F5854">
        <v>5851</v>
      </c>
      <c r="G5854">
        <f ca="1">_xlfn.NORM.INV(RAND(),$M$7,$M$8)</f>
        <v>1.609855123894368E-2</v>
      </c>
    </row>
    <row r="5855" spans="6:7" x14ac:dyDescent="0.25">
      <c r="F5855">
        <v>5852</v>
      </c>
      <c r="G5855">
        <f ca="1">_xlfn.NORM.INV(RAND(),$M$7,$M$8)</f>
        <v>-1.9822769906559172E-2</v>
      </c>
    </row>
    <row r="5856" spans="6:7" x14ac:dyDescent="0.25">
      <c r="F5856">
        <v>5853</v>
      </c>
      <c r="G5856">
        <f ca="1">_xlfn.NORM.INV(RAND(),$M$7,$M$8)</f>
        <v>2.362271033866209E-2</v>
      </c>
    </row>
    <row r="5857" spans="6:7" x14ac:dyDescent="0.25">
      <c r="F5857">
        <v>5854</v>
      </c>
      <c r="G5857">
        <f ca="1">_xlfn.NORM.INV(RAND(),$M$7,$M$8)</f>
        <v>1.0410932106140676E-2</v>
      </c>
    </row>
    <row r="5858" spans="6:7" x14ac:dyDescent="0.25">
      <c r="F5858">
        <v>5855</v>
      </c>
      <c r="G5858">
        <f ca="1">_xlfn.NORM.INV(RAND(),$M$7,$M$8)</f>
        <v>3.3675932549254529E-2</v>
      </c>
    </row>
    <row r="5859" spans="6:7" x14ac:dyDescent="0.25">
      <c r="F5859">
        <v>5856</v>
      </c>
      <c r="G5859">
        <f ca="1">_xlfn.NORM.INV(RAND(),$M$7,$M$8)</f>
        <v>-4.4609550053487171E-3</v>
      </c>
    </row>
    <row r="5860" spans="6:7" x14ac:dyDescent="0.25">
      <c r="F5860">
        <v>5857</v>
      </c>
      <c r="G5860">
        <f ca="1">_xlfn.NORM.INV(RAND(),$M$7,$M$8)</f>
        <v>-6.5350322411490171E-3</v>
      </c>
    </row>
    <row r="5861" spans="6:7" x14ac:dyDescent="0.25">
      <c r="F5861">
        <v>5858</v>
      </c>
      <c r="G5861">
        <f ca="1">_xlfn.NORM.INV(RAND(),$M$7,$M$8)</f>
        <v>3.7891455198129725E-2</v>
      </c>
    </row>
    <row r="5862" spans="6:7" x14ac:dyDescent="0.25">
      <c r="F5862">
        <v>5859</v>
      </c>
      <c r="G5862">
        <f ca="1">_xlfn.NORM.INV(RAND(),$M$7,$M$8)</f>
        <v>1.8401115928605553E-2</v>
      </c>
    </row>
    <row r="5863" spans="6:7" x14ac:dyDescent="0.25">
      <c r="F5863">
        <v>5860</v>
      </c>
      <c r="G5863">
        <f ca="1">_xlfn.NORM.INV(RAND(),$M$7,$M$8)</f>
        <v>5.2898073632741682E-3</v>
      </c>
    </row>
    <row r="5864" spans="6:7" x14ac:dyDescent="0.25">
      <c r="F5864">
        <v>5861</v>
      </c>
      <c r="G5864">
        <f ca="1">_xlfn.NORM.INV(RAND(),$M$7,$M$8)</f>
        <v>-1.4745438447760892E-2</v>
      </c>
    </row>
    <row r="5865" spans="6:7" x14ac:dyDescent="0.25">
      <c r="F5865">
        <v>5862</v>
      </c>
      <c r="G5865">
        <f ca="1">_xlfn.NORM.INV(RAND(),$M$7,$M$8)</f>
        <v>-3.7962189179257221E-2</v>
      </c>
    </row>
    <row r="5866" spans="6:7" x14ac:dyDescent="0.25">
      <c r="F5866">
        <v>5863</v>
      </c>
      <c r="G5866">
        <f ca="1">_xlfn.NORM.INV(RAND(),$M$7,$M$8)</f>
        <v>-7.5374926158357797E-3</v>
      </c>
    </row>
    <row r="5867" spans="6:7" x14ac:dyDescent="0.25">
      <c r="F5867">
        <v>5864</v>
      </c>
      <c r="G5867">
        <f ca="1">_xlfn.NORM.INV(RAND(),$M$7,$M$8)</f>
        <v>-3.574550812110449E-2</v>
      </c>
    </row>
    <row r="5868" spans="6:7" x14ac:dyDescent="0.25">
      <c r="F5868">
        <v>5865</v>
      </c>
      <c r="G5868">
        <f ca="1">_xlfn.NORM.INV(RAND(),$M$7,$M$8)</f>
        <v>3.3291494794459508E-3</v>
      </c>
    </row>
    <row r="5869" spans="6:7" x14ac:dyDescent="0.25">
      <c r="F5869">
        <v>5866</v>
      </c>
      <c r="G5869">
        <f ca="1">_xlfn.NORM.INV(RAND(),$M$7,$M$8)</f>
        <v>1.2202436986035697E-3</v>
      </c>
    </row>
    <row r="5870" spans="6:7" x14ac:dyDescent="0.25">
      <c r="F5870">
        <v>5867</v>
      </c>
      <c r="G5870">
        <f ca="1">_xlfn.NORM.INV(RAND(),$M$7,$M$8)</f>
        <v>1.3285806125799939E-2</v>
      </c>
    </row>
    <row r="5871" spans="6:7" x14ac:dyDescent="0.25">
      <c r="F5871">
        <v>5868</v>
      </c>
      <c r="G5871">
        <f ca="1">_xlfn.NORM.INV(RAND(),$M$7,$M$8)</f>
        <v>4.0968586188268189E-3</v>
      </c>
    </row>
    <row r="5872" spans="6:7" x14ac:dyDescent="0.25">
      <c r="F5872">
        <v>5869</v>
      </c>
      <c r="G5872">
        <f ca="1">_xlfn.NORM.INV(RAND(),$M$7,$M$8)</f>
        <v>-4.9908670146239049E-6</v>
      </c>
    </row>
    <row r="5873" spans="6:7" x14ac:dyDescent="0.25">
      <c r="F5873">
        <v>5870</v>
      </c>
      <c r="G5873">
        <f ca="1">_xlfn.NORM.INV(RAND(),$M$7,$M$8)</f>
        <v>2.3987031635523482E-3</v>
      </c>
    </row>
    <row r="5874" spans="6:7" x14ac:dyDescent="0.25">
      <c r="F5874">
        <v>5871</v>
      </c>
      <c r="G5874">
        <f ca="1">_xlfn.NORM.INV(RAND(),$M$7,$M$8)</f>
        <v>2.7772546273333604E-2</v>
      </c>
    </row>
    <row r="5875" spans="6:7" x14ac:dyDescent="0.25">
      <c r="F5875">
        <v>5872</v>
      </c>
      <c r="G5875">
        <f ca="1">_xlfn.NORM.INV(RAND(),$M$7,$M$8)</f>
        <v>-1.1191410780607761E-2</v>
      </c>
    </row>
    <row r="5876" spans="6:7" x14ac:dyDescent="0.25">
      <c r="F5876">
        <v>5873</v>
      </c>
      <c r="G5876">
        <f ca="1">_xlfn.NORM.INV(RAND(),$M$7,$M$8)</f>
        <v>2.6395994107757566E-2</v>
      </c>
    </row>
    <row r="5877" spans="6:7" x14ac:dyDescent="0.25">
      <c r="F5877">
        <v>5874</v>
      </c>
      <c r="G5877">
        <f ca="1">_xlfn.NORM.INV(RAND(),$M$7,$M$8)</f>
        <v>9.1868090070705462E-3</v>
      </c>
    </row>
    <row r="5878" spans="6:7" x14ac:dyDescent="0.25">
      <c r="F5878">
        <v>5875</v>
      </c>
      <c r="G5878">
        <f ca="1">_xlfn.NORM.INV(RAND(),$M$7,$M$8)</f>
        <v>1.7351490785835907E-2</v>
      </c>
    </row>
    <row r="5879" spans="6:7" x14ac:dyDescent="0.25">
      <c r="F5879">
        <v>5876</v>
      </c>
      <c r="G5879">
        <f ca="1">_xlfn.NORM.INV(RAND(),$M$7,$M$8)</f>
        <v>-2.5401475166877987E-2</v>
      </c>
    </row>
    <row r="5880" spans="6:7" x14ac:dyDescent="0.25">
      <c r="F5880">
        <v>5877</v>
      </c>
      <c r="G5880">
        <f ca="1">_xlfn.NORM.INV(RAND(),$M$7,$M$8)</f>
        <v>-3.3515692963048342E-2</v>
      </c>
    </row>
    <row r="5881" spans="6:7" x14ac:dyDescent="0.25">
      <c r="F5881">
        <v>5878</v>
      </c>
      <c r="G5881">
        <f ca="1">_xlfn.NORM.INV(RAND(),$M$7,$M$8)</f>
        <v>5.192833325300078E-2</v>
      </c>
    </row>
    <row r="5882" spans="6:7" x14ac:dyDescent="0.25">
      <c r="F5882">
        <v>5879</v>
      </c>
      <c r="G5882">
        <f ca="1">_xlfn.NORM.INV(RAND(),$M$7,$M$8)</f>
        <v>-2.5955268641211591E-2</v>
      </c>
    </row>
    <row r="5883" spans="6:7" x14ac:dyDescent="0.25">
      <c r="F5883">
        <v>5880</v>
      </c>
      <c r="G5883">
        <f ca="1">_xlfn.NORM.INV(RAND(),$M$7,$M$8)</f>
        <v>1.8168400253359928E-2</v>
      </c>
    </row>
    <row r="5884" spans="6:7" x14ac:dyDescent="0.25">
      <c r="F5884">
        <v>5881</v>
      </c>
      <c r="G5884">
        <f ca="1">_xlfn.NORM.INV(RAND(),$M$7,$M$8)</f>
        <v>-1.1520618906159276E-2</v>
      </c>
    </row>
    <row r="5885" spans="6:7" x14ac:dyDescent="0.25">
      <c r="F5885">
        <v>5882</v>
      </c>
      <c r="G5885">
        <f ca="1">_xlfn.NORM.INV(RAND(),$M$7,$M$8)</f>
        <v>4.2857563924928056E-3</v>
      </c>
    </row>
    <row r="5886" spans="6:7" x14ac:dyDescent="0.25">
      <c r="F5886">
        <v>5883</v>
      </c>
      <c r="G5886">
        <f ca="1">_xlfn.NORM.INV(RAND(),$M$7,$M$8)</f>
        <v>2.6264003904952468E-2</v>
      </c>
    </row>
    <row r="5887" spans="6:7" x14ac:dyDescent="0.25">
      <c r="F5887">
        <v>5884</v>
      </c>
      <c r="G5887">
        <f ca="1">_xlfn.NORM.INV(RAND(),$M$7,$M$8)</f>
        <v>2.2985629351707861E-2</v>
      </c>
    </row>
    <row r="5888" spans="6:7" x14ac:dyDescent="0.25">
      <c r="F5888">
        <v>5885</v>
      </c>
      <c r="G5888">
        <f ca="1">_xlfn.NORM.INV(RAND(),$M$7,$M$8)</f>
        <v>3.7558450959770534E-2</v>
      </c>
    </row>
    <row r="5889" spans="6:7" x14ac:dyDescent="0.25">
      <c r="F5889">
        <v>5886</v>
      </c>
      <c r="G5889">
        <f ca="1">_xlfn.NORM.INV(RAND(),$M$7,$M$8)</f>
        <v>-3.6491200428592258E-3</v>
      </c>
    </row>
    <row r="5890" spans="6:7" x14ac:dyDescent="0.25">
      <c r="F5890">
        <v>5887</v>
      </c>
      <c r="G5890">
        <f ca="1">_xlfn.NORM.INV(RAND(),$M$7,$M$8)</f>
        <v>-2.5194345581553167E-2</v>
      </c>
    </row>
    <row r="5891" spans="6:7" x14ac:dyDescent="0.25">
      <c r="F5891">
        <v>5888</v>
      </c>
      <c r="G5891">
        <f ca="1">_xlfn.NORM.INV(RAND(),$M$7,$M$8)</f>
        <v>-2.4910798174055726E-2</v>
      </c>
    </row>
    <row r="5892" spans="6:7" x14ac:dyDescent="0.25">
      <c r="F5892">
        <v>5889</v>
      </c>
      <c r="G5892">
        <f ca="1">_xlfn.NORM.INV(RAND(),$M$7,$M$8)</f>
        <v>-1.5260701290345891E-2</v>
      </c>
    </row>
    <row r="5893" spans="6:7" x14ac:dyDescent="0.25">
      <c r="F5893">
        <v>5890</v>
      </c>
      <c r="G5893">
        <f ca="1">_xlfn.NORM.INV(RAND(),$M$7,$M$8)</f>
        <v>-4.7982078007779254E-3</v>
      </c>
    </row>
    <row r="5894" spans="6:7" x14ac:dyDescent="0.25">
      <c r="F5894">
        <v>5891</v>
      </c>
      <c r="G5894">
        <f ca="1">_xlfn.NORM.INV(RAND(),$M$7,$M$8)</f>
        <v>1.0997224441899564E-2</v>
      </c>
    </row>
    <row r="5895" spans="6:7" x14ac:dyDescent="0.25">
      <c r="F5895">
        <v>5892</v>
      </c>
      <c r="G5895">
        <f ca="1">_xlfn.NORM.INV(RAND(),$M$7,$M$8)</f>
        <v>-2.0604532563036047E-2</v>
      </c>
    </row>
    <row r="5896" spans="6:7" x14ac:dyDescent="0.25">
      <c r="F5896">
        <v>5893</v>
      </c>
      <c r="G5896">
        <f ca="1">_xlfn.NORM.INV(RAND(),$M$7,$M$8)</f>
        <v>3.10819541581548E-2</v>
      </c>
    </row>
    <row r="5897" spans="6:7" x14ac:dyDescent="0.25">
      <c r="F5897">
        <v>5894</v>
      </c>
      <c r="G5897">
        <f ca="1">_xlfn.NORM.INV(RAND(),$M$7,$M$8)</f>
        <v>9.3808653665923697E-3</v>
      </c>
    </row>
    <row r="5898" spans="6:7" x14ac:dyDescent="0.25">
      <c r="F5898">
        <v>5895</v>
      </c>
      <c r="G5898">
        <f ca="1">_xlfn.NORM.INV(RAND(),$M$7,$M$8)</f>
        <v>5.8648641891399053E-2</v>
      </c>
    </row>
    <row r="5899" spans="6:7" x14ac:dyDescent="0.25">
      <c r="F5899">
        <v>5896</v>
      </c>
      <c r="G5899">
        <f ca="1">_xlfn.NORM.INV(RAND(),$M$7,$M$8)</f>
        <v>1.9562691078332379E-2</v>
      </c>
    </row>
    <row r="5900" spans="6:7" x14ac:dyDescent="0.25">
      <c r="F5900">
        <v>5897</v>
      </c>
      <c r="G5900">
        <f ca="1">_xlfn.NORM.INV(RAND(),$M$7,$M$8)</f>
        <v>-3.7572943526092422E-3</v>
      </c>
    </row>
    <row r="5901" spans="6:7" x14ac:dyDescent="0.25">
      <c r="F5901">
        <v>5898</v>
      </c>
      <c r="G5901">
        <f ca="1">_xlfn.NORM.INV(RAND(),$M$7,$M$8)</f>
        <v>-1.2530967578079522E-2</v>
      </c>
    </row>
    <row r="5902" spans="6:7" x14ac:dyDescent="0.25">
      <c r="F5902">
        <v>5899</v>
      </c>
      <c r="G5902">
        <f ca="1">_xlfn.NORM.INV(RAND(),$M$7,$M$8)</f>
        <v>1.9743112950049824E-2</v>
      </c>
    </row>
    <row r="5903" spans="6:7" x14ac:dyDescent="0.25">
      <c r="F5903">
        <v>5900</v>
      </c>
      <c r="G5903">
        <f ca="1">_xlfn.NORM.INV(RAND(),$M$7,$M$8)</f>
        <v>3.114753215741628E-2</v>
      </c>
    </row>
    <row r="5904" spans="6:7" x14ac:dyDescent="0.25">
      <c r="F5904">
        <v>5901</v>
      </c>
      <c r="G5904">
        <f ca="1">_xlfn.NORM.INV(RAND(),$M$7,$M$8)</f>
        <v>-2.9905944078018869E-2</v>
      </c>
    </row>
    <row r="5905" spans="6:7" x14ac:dyDescent="0.25">
      <c r="F5905">
        <v>5902</v>
      </c>
      <c r="G5905">
        <f ca="1">_xlfn.NORM.INV(RAND(),$M$7,$M$8)</f>
        <v>3.5449372839946834E-2</v>
      </c>
    </row>
    <row r="5906" spans="6:7" x14ac:dyDescent="0.25">
      <c r="F5906">
        <v>5903</v>
      </c>
      <c r="G5906">
        <f ca="1">_xlfn.NORM.INV(RAND(),$M$7,$M$8)</f>
        <v>1.9339593768398292E-2</v>
      </c>
    </row>
    <row r="5907" spans="6:7" x14ac:dyDescent="0.25">
      <c r="F5907">
        <v>5904</v>
      </c>
      <c r="G5907">
        <f ca="1">_xlfn.NORM.INV(RAND(),$M$7,$M$8)</f>
        <v>-6.190053457217572E-3</v>
      </c>
    </row>
    <row r="5908" spans="6:7" x14ac:dyDescent="0.25">
      <c r="F5908">
        <v>5905</v>
      </c>
      <c r="G5908">
        <f ca="1">_xlfn.NORM.INV(RAND(),$M$7,$M$8)</f>
        <v>2.8550629779196027E-3</v>
      </c>
    </row>
    <row r="5909" spans="6:7" x14ac:dyDescent="0.25">
      <c r="F5909">
        <v>5906</v>
      </c>
      <c r="G5909">
        <f ca="1">_xlfn.NORM.INV(RAND(),$M$7,$M$8)</f>
        <v>2.5894667859009259E-2</v>
      </c>
    </row>
    <row r="5910" spans="6:7" x14ac:dyDescent="0.25">
      <c r="F5910">
        <v>5907</v>
      </c>
      <c r="G5910">
        <f ca="1">_xlfn.NORM.INV(RAND(),$M$7,$M$8)</f>
        <v>-4.9008893106718982E-3</v>
      </c>
    </row>
    <row r="5911" spans="6:7" x14ac:dyDescent="0.25">
      <c r="F5911">
        <v>5908</v>
      </c>
      <c r="G5911">
        <f ca="1">_xlfn.NORM.INV(RAND(),$M$7,$M$8)</f>
        <v>8.3956171811836351E-3</v>
      </c>
    </row>
    <row r="5912" spans="6:7" x14ac:dyDescent="0.25">
      <c r="F5912">
        <v>5909</v>
      </c>
      <c r="G5912">
        <f ca="1">_xlfn.NORM.INV(RAND(),$M$7,$M$8)</f>
        <v>-1.4409549004416008E-2</v>
      </c>
    </row>
    <row r="5913" spans="6:7" x14ac:dyDescent="0.25">
      <c r="F5913">
        <v>5910</v>
      </c>
      <c r="G5913">
        <f ca="1">_xlfn.NORM.INV(RAND(),$M$7,$M$8)</f>
        <v>4.2592587221986326E-3</v>
      </c>
    </row>
    <row r="5914" spans="6:7" x14ac:dyDescent="0.25">
      <c r="F5914">
        <v>5911</v>
      </c>
      <c r="G5914">
        <f ca="1">_xlfn.NORM.INV(RAND(),$M$7,$M$8)</f>
        <v>-1.1523517463827813E-2</v>
      </c>
    </row>
    <row r="5915" spans="6:7" x14ac:dyDescent="0.25">
      <c r="F5915">
        <v>5912</v>
      </c>
      <c r="G5915">
        <f ca="1">_xlfn.NORM.INV(RAND(),$M$7,$M$8)</f>
        <v>-8.8801934843729686E-3</v>
      </c>
    </row>
    <row r="5916" spans="6:7" x14ac:dyDescent="0.25">
      <c r="F5916">
        <v>5913</v>
      </c>
      <c r="G5916">
        <f ca="1">_xlfn.NORM.INV(RAND(),$M$7,$M$8)</f>
        <v>2.8432434747096107E-2</v>
      </c>
    </row>
    <row r="5917" spans="6:7" x14ac:dyDescent="0.25">
      <c r="F5917">
        <v>5914</v>
      </c>
      <c r="G5917">
        <f ca="1">_xlfn.NORM.INV(RAND(),$M$7,$M$8)</f>
        <v>-2.453297511298164E-2</v>
      </c>
    </row>
    <row r="5918" spans="6:7" x14ac:dyDescent="0.25">
      <c r="F5918">
        <v>5915</v>
      </c>
      <c r="G5918">
        <f ca="1">_xlfn.NORM.INV(RAND(),$M$7,$M$8)</f>
        <v>-7.7893099232885284E-3</v>
      </c>
    </row>
    <row r="5919" spans="6:7" x14ac:dyDescent="0.25">
      <c r="F5919">
        <v>5916</v>
      </c>
      <c r="G5919">
        <f ca="1">_xlfn.NORM.INV(RAND(),$M$7,$M$8)</f>
        <v>-6.115183895795801E-4</v>
      </c>
    </row>
    <row r="5920" spans="6:7" x14ac:dyDescent="0.25">
      <c r="F5920">
        <v>5917</v>
      </c>
      <c r="G5920">
        <f ca="1">_xlfn.NORM.INV(RAND(),$M$7,$M$8)</f>
        <v>1.4099016298386467E-2</v>
      </c>
    </row>
    <row r="5921" spans="6:7" x14ac:dyDescent="0.25">
      <c r="F5921">
        <v>5918</v>
      </c>
      <c r="G5921">
        <f ca="1">_xlfn.NORM.INV(RAND(),$M$7,$M$8)</f>
        <v>-1.5010908720852777E-2</v>
      </c>
    </row>
    <row r="5922" spans="6:7" x14ac:dyDescent="0.25">
      <c r="F5922">
        <v>5919</v>
      </c>
      <c r="G5922">
        <f ca="1">_xlfn.NORM.INV(RAND(),$M$7,$M$8)</f>
        <v>-3.3157119681036687E-3</v>
      </c>
    </row>
    <row r="5923" spans="6:7" x14ac:dyDescent="0.25">
      <c r="F5923">
        <v>5920</v>
      </c>
      <c r="G5923">
        <f ca="1">_xlfn.NORM.INV(RAND(),$M$7,$M$8)</f>
        <v>4.8259891595105308E-3</v>
      </c>
    </row>
    <row r="5924" spans="6:7" x14ac:dyDescent="0.25">
      <c r="F5924">
        <v>5921</v>
      </c>
      <c r="G5924">
        <f ca="1">_xlfn.NORM.INV(RAND(),$M$7,$M$8)</f>
        <v>1.7721051757516721E-2</v>
      </c>
    </row>
    <row r="5925" spans="6:7" x14ac:dyDescent="0.25">
      <c r="F5925">
        <v>5922</v>
      </c>
      <c r="G5925">
        <f ca="1">_xlfn.NORM.INV(RAND(),$M$7,$M$8)</f>
        <v>-1.0497754813430776E-2</v>
      </c>
    </row>
    <row r="5926" spans="6:7" x14ac:dyDescent="0.25">
      <c r="F5926">
        <v>5923</v>
      </c>
      <c r="G5926">
        <f ca="1">_xlfn.NORM.INV(RAND(),$M$7,$M$8)</f>
        <v>5.917413346604436E-3</v>
      </c>
    </row>
    <row r="5927" spans="6:7" x14ac:dyDescent="0.25">
      <c r="F5927">
        <v>5924</v>
      </c>
      <c r="G5927">
        <f ca="1">_xlfn.NORM.INV(RAND(),$M$7,$M$8)</f>
        <v>1.3668624671898997E-2</v>
      </c>
    </row>
    <row r="5928" spans="6:7" x14ac:dyDescent="0.25">
      <c r="F5928">
        <v>5925</v>
      </c>
      <c r="G5928">
        <f ca="1">_xlfn.NORM.INV(RAND(),$M$7,$M$8)</f>
        <v>1.8219404196865827E-2</v>
      </c>
    </row>
    <row r="5929" spans="6:7" x14ac:dyDescent="0.25">
      <c r="F5929">
        <v>5926</v>
      </c>
      <c r="G5929">
        <f ca="1">_xlfn.NORM.INV(RAND(),$M$7,$M$8)</f>
        <v>3.1915597359340367E-2</v>
      </c>
    </row>
    <row r="5930" spans="6:7" x14ac:dyDescent="0.25">
      <c r="F5930">
        <v>5927</v>
      </c>
      <c r="G5930">
        <f ca="1">_xlfn.NORM.INV(RAND(),$M$7,$M$8)</f>
        <v>3.3606106905018925E-2</v>
      </c>
    </row>
    <row r="5931" spans="6:7" x14ac:dyDescent="0.25">
      <c r="F5931">
        <v>5928</v>
      </c>
      <c r="G5931">
        <f ca="1">_xlfn.NORM.INV(RAND(),$M$7,$M$8)</f>
        <v>9.5558379943209322E-3</v>
      </c>
    </row>
    <row r="5932" spans="6:7" x14ac:dyDescent="0.25">
      <c r="F5932">
        <v>5929</v>
      </c>
      <c r="G5932">
        <f ca="1">_xlfn.NORM.INV(RAND(),$M$7,$M$8)</f>
        <v>4.3789616704003914E-2</v>
      </c>
    </row>
    <row r="5933" spans="6:7" x14ac:dyDescent="0.25">
      <c r="F5933">
        <v>5930</v>
      </c>
      <c r="G5933">
        <f ca="1">_xlfn.NORM.INV(RAND(),$M$7,$M$8)</f>
        <v>-3.6555488729398962E-2</v>
      </c>
    </row>
    <row r="5934" spans="6:7" x14ac:dyDescent="0.25">
      <c r="F5934">
        <v>5931</v>
      </c>
      <c r="G5934">
        <f ca="1">_xlfn.NORM.INV(RAND(),$M$7,$M$8)</f>
        <v>-3.5759196717916664E-2</v>
      </c>
    </row>
    <row r="5935" spans="6:7" x14ac:dyDescent="0.25">
      <c r="F5935">
        <v>5932</v>
      </c>
      <c r="G5935">
        <f ca="1">_xlfn.NORM.INV(RAND(),$M$7,$M$8)</f>
        <v>1.3080753200072579E-2</v>
      </c>
    </row>
    <row r="5936" spans="6:7" x14ac:dyDescent="0.25">
      <c r="F5936">
        <v>5933</v>
      </c>
      <c r="G5936">
        <f ca="1">_xlfn.NORM.INV(RAND(),$M$7,$M$8)</f>
        <v>3.0969562530383059E-2</v>
      </c>
    </row>
    <row r="5937" spans="6:7" x14ac:dyDescent="0.25">
      <c r="F5937">
        <v>5934</v>
      </c>
      <c r="G5937">
        <f ca="1">_xlfn.NORM.INV(RAND(),$M$7,$M$8)</f>
        <v>2.0857205556386225E-2</v>
      </c>
    </row>
    <row r="5938" spans="6:7" x14ac:dyDescent="0.25">
      <c r="F5938">
        <v>5935</v>
      </c>
      <c r="G5938">
        <f ca="1">_xlfn.NORM.INV(RAND(),$M$7,$M$8)</f>
        <v>3.8495049738071732E-2</v>
      </c>
    </row>
    <row r="5939" spans="6:7" x14ac:dyDescent="0.25">
      <c r="F5939">
        <v>5936</v>
      </c>
      <c r="G5939">
        <f ca="1">_xlfn.NORM.INV(RAND(),$M$7,$M$8)</f>
        <v>1.3127843574771918E-2</v>
      </c>
    </row>
    <row r="5940" spans="6:7" x14ac:dyDescent="0.25">
      <c r="F5940">
        <v>5937</v>
      </c>
      <c r="G5940">
        <f ca="1">_xlfn.NORM.INV(RAND(),$M$7,$M$8)</f>
        <v>-2.7374945363805674E-2</v>
      </c>
    </row>
    <row r="5941" spans="6:7" x14ac:dyDescent="0.25">
      <c r="F5941">
        <v>5938</v>
      </c>
      <c r="G5941">
        <f ca="1">_xlfn.NORM.INV(RAND(),$M$7,$M$8)</f>
        <v>-8.0629993014928111E-3</v>
      </c>
    </row>
    <row r="5942" spans="6:7" x14ac:dyDescent="0.25">
      <c r="F5942">
        <v>5939</v>
      </c>
      <c r="G5942">
        <f ca="1">_xlfn.NORM.INV(RAND(),$M$7,$M$8)</f>
        <v>1.0987815937915509E-2</v>
      </c>
    </row>
    <row r="5943" spans="6:7" x14ac:dyDescent="0.25">
      <c r="F5943">
        <v>5940</v>
      </c>
      <c r="G5943">
        <f ca="1">_xlfn.NORM.INV(RAND(),$M$7,$M$8)</f>
        <v>6.8908555975299393E-2</v>
      </c>
    </row>
    <row r="5944" spans="6:7" x14ac:dyDescent="0.25">
      <c r="F5944">
        <v>5941</v>
      </c>
      <c r="G5944">
        <f ca="1">_xlfn.NORM.INV(RAND(),$M$7,$M$8)</f>
        <v>7.3274981865006153E-3</v>
      </c>
    </row>
    <row r="5945" spans="6:7" x14ac:dyDescent="0.25">
      <c r="F5945">
        <v>5942</v>
      </c>
      <c r="G5945">
        <f ca="1">_xlfn.NORM.INV(RAND(),$M$7,$M$8)</f>
        <v>2.4531119299429714E-2</v>
      </c>
    </row>
    <row r="5946" spans="6:7" x14ac:dyDescent="0.25">
      <c r="F5946">
        <v>5943</v>
      </c>
      <c r="G5946">
        <f ca="1">_xlfn.NORM.INV(RAND(),$M$7,$M$8)</f>
        <v>3.6715223641932679E-2</v>
      </c>
    </row>
    <row r="5947" spans="6:7" x14ac:dyDescent="0.25">
      <c r="F5947">
        <v>5944</v>
      </c>
      <c r="G5947">
        <f ca="1">_xlfn.NORM.INV(RAND(),$M$7,$M$8)</f>
        <v>1.4008590465753243E-2</v>
      </c>
    </row>
    <row r="5948" spans="6:7" x14ac:dyDescent="0.25">
      <c r="F5948">
        <v>5945</v>
      </c>
      <c r="G5948">
        <f ca="1">_xlfn.NORM.INV(RAND(),$M$7,$M$8)</f>
        <v>1.5770065748905722E-2</v>
      </c>
    </row>
    <row r="5949" spans="6:7" x14ac:dyDescent="0.25">
      <c r="F5949">
        <v>5946</v>
      </c>
      <c r="G5949">
        <f ca="1">_xlfn.NORM.INV(RAND(),$M$7,$M$8)</f>
        <v>9.4781152274194566E-4</v>
      </c>
    </row>
    <row r="5950" spans="6:7" x14ac:dyDescent="0.25">
      <c r="F5950">
        <v>5947</v>
      </c>
      <c r="G5950">
        <f ca="1">_xlfn.NORM.INV(RAND(),$M$7,$M$8)</f>
        <v>-2.6030632287447553E-2</v>
      </c>
    </row>
    <row r="5951" spans="6:7" x14ac:dyDescent="0.25">
      <c r="F5951">
        <v>5948</v>
      </c>
      <c r="G5951">
        <f ca="1">_xlfn.NORM.INV(RAND(),$M$7,$M$8)</f>
        <v>-2.9315243218188149E-2</v>
      </c>
    </row>
    <row r="5952" spans="6:7" x14ac:dyDescent="0.25">
      <c r="F5952">
        <v>5949</v>
      </c>
      <c r="G5952">
        <f ca="1">_xlfn.NORM.INV(RAND(),$M$7,$M$8)</f>
        <v>-3.1023794393152612E-2</v>
      </c>
    </row>
    <row r="5953" spans="6:7" x14ac:dyDescent="0.25">
      <c r="F5953">
        <v>5950</v>
      </c>
      <c r="G5953">
        <f ca="1">_xlfn.NORM.INV(RAND(),$M$7,$M$8)</f>
        <v>-5.2739196973135991E-2</v>
      </c>
    </row>
    <row r="5954" spans="6:7" x14ac:dyDescent="0.25">
      <c r="F5954">
        <v>5951</v>
      </c>
      <c r="G5954">
        <f ca="1">_xlfn.NORM.INV(RAND(),$M$7,$M$8)</f>
        <v>3.217091262789664E-2</v>
      </c>
    </row>
    <row r="5955" spans="6:7" x14ac:dyDescent="0.25">
      <c r="F5955">
        <v>5952</v>
      </c>
      <c r="G5955">
        <f ca="1">_xlfn.NORM.INV(RAND(),$M$7,$M$8)</f>
        <v>-5.1016164381587278E-3</v>
      </c>
    </row>
    <row r="5956" spans="6:7" x14ac:dyDescent="0.25">
      <c r="F5956">
        <v>5953</v>
      </c>
      <c r="G5956">
        <f ca="1">_xlfn.NORM.INV(RAND(),$M$7,$M$8)</f>
        <v>-2.2123222814478979E-2</v>
      </c>
    </row>
    <row r="5957" spans="6:7" x14ac:dyDescent="0.25">
      <c r="F5957">
        <v>5954</v>
      </c>
      <c r="G5957">
        <f ca="1">_xlfn.NORM.INV(RAND(),$M$7,$M$8)</f>
        <v>-2.0478712738951441E-2</v>
      </c>
    </row>
    <row r="5958" spans="6:7" x14ac:dyDescent="0.25">
      <c r="F5958">
        <v>5955</v>
      </c>
      <c r="G5958">
        <f ca="1">_xlfn.NORM.INV(RAND(),$M$7,$M$8)</f>
        <v>-3.9757570697212304E-3</v>
      </c>
    </row>
    <row r="5959" spans="6:7" x14ac:dyDescent="0.25">
      <c r="F5959">
        <v>5956</v>
      </c>
      <c r="G5959">
        <f ca="1">_xlfn.NORM.INV(RAND(),$M$7,$M$8)</f>
        <v>5.9966461168479441E-3</v>
      </c>
    </row>
    <row r="5960" spans="6:7" x14ac:dyDescent="0.25">
      <c r="F5960">
        <v>5957</v>
      </c>
      <c r="G5960">
        <f ca="1">_xlfn.NORM.INV(RAND(),$M$7,$M$8)</f>
        <v>7.8135452159417054E-3</v>
      </c>
    </row>
    <row r="5961" spans="6:7" x14ac:dyDescent="0.25">
      <c r="F5961">
        <v>5958</v>
      </c>
      <c r="G5961">
        <f ca="1">_xlfn.NORM.INV(RAND(),$M$7,$M$8)</f>
        <v>2.3120509671016198E-2</v>
      </c>
    </row>
    <row r="5962" spans="6:7" x14ac:dyDescent="0.25">
      <c r="F5962">
        <v>5959</v>
      </c>
      <c r="G5962">
        <f ca="1">_xlfn.NORM.INV(RAND(),$M$7,$M$8)</f>
        <v>8.156933683705056E-3</v>
      </c>
    </row>
    <row r="5963" spans="6:7" x14ac:dyDescent="0.25">
      <c r="F5963">
        <v>5960</v>
      </c>
      <c r="G5963">
        <f ca="1">_xlfn.NORM.INV(RAND(),$M$7,$M$8)</f>
        <v>-2.6362633008305283E-3</v>
      </c>
    </row>
    <row r="5964" spans="6:7" x14ac:dyDescent="0.25">
      <c r="F5964">
        <v>5961</v>
      </c>
      <c r="G5964">
        <f ca="1">_xlfn.NORM.INV(RAND(),$M$7,$M$8)</f>
        <v>3.9369482886636286E-3</v>
      </c>
    </row>
    <row r="5965" spans="6:7" x14ac:dyDescent="0.25">
      <c r="F5965">
        <v>5962</v>
      </c>
      <c r="G5965">
        <f ca="1">_xlfn.NORM.INV(RAND(),$M$7,$M$8)</f>
        <v>-1.6142248753281713E-2</v>
      </c>
    </row>
    <row r="5966" spans="6:7" x14ac:dyDescent="0.25">
      <c r="F5966">
        <v>5963</v>
      </c>
      <c r="G5966">
        <f ca="1">_xlfn.NORM.INV(RAND(),$M$7,$M$8)</f>
        <v>1.8505722876731158E-3</v>
      </c>
    </row>
    <row r="5967" spans="6:7" x14ac:dyDescent="0.25">
      <c r="F5967">
        <v>5964</v>
      </c>
      <c r="G5967">
        <f ca="1">_xlfn.NORM.INV(RAND(),$M$7,$M$8)</f>
        <v>4.1250398426454893E-2</v>
      </c>
    </row>
    <row r="5968" spans="6:7" x14ac:dyDescent="0.25">
      <c r="F5968">
        <v>5965</v>
      </c>
      <c r="G5968">
        <f ca="1">_xlfn.NORM.INV(RAND(),$M$7,$M$8)</f>
        <v>-9.7273299862284546E-3</v>
      </c>
    </row>
    <row r="5969" spans="6:7" x14ac:dyDescent="0.25">
      <c r="F5969">
        <v>5966</v>
      </c>
      <c r="G5969">
        <f ca="1">_xlfn.NORM.INV(RAND(),$M$7,$M$8)</f>
        <v>3.4088667694983739E-3</v>
      </c>
    </row>
    <row r="5970" spans="6:7" x14ac:dyDescent="0.25">
      <c r="F5970">
        <v>5967</v>
      </c>
      <c r="G5970">
        <f ca="1">_xlfn.NORM.INV(RAND(),$M$7,$M$8)</f>
        <v>-1.9295835238952924E-2</v>
      </c>
    </row>
    <row r="5971" spans="6:7" x14ac:dyDescent="0.25">
      <c r="F5971">
        <v>5968</v>
      </c>
      <c r="G5971">
        <f ca="1">_xlfn.NORM.INV(RAND(),$M$7,$M$8)</f>
        <v>-4.8780231802706478E-2</v>
      </c>
    </row>
    <row r="5972" spans="6:7" x14ac:dyDescent="0.25">
      <c r="F5972">
        <v>5969</v>
      </c>
      <c r="G5972">
        <f ca="1">_xlfn.NORM.INV(RAND(),$M$7,$M$8)</f>
        <v>6.1347953884135758E-3</v>
      </c>
    </row>
    <row r="5973" spans="6:7" x14ac:dyDescent="0.25">
      <c r="F5973">
        <v>5970</v>
      </c>
      <c r="G5973">
        <f ca="1">_xlfn.NORM.INV(RAND(),$M$7,$M$8)</f>
        <v>-5.4858049761263954E-3</v>
      </c>
    </row>
    <row r="5974" spans="6:7" x14ac:dyDescent="0.25">
      <c r="F5974">
        <v>5971</v>
      </c>
      <c r="G5974">
        <f ca="1">_xlfn.NORM.INV(RAND(),$M$7,$M$8)</f>
        <v>1.9468042330372828E-2</v>
      </c>
    </row>
    <row r="5975" spans="6:7" x14ac:dyDescent="0.25">
      <c r="F5975">
        <v>5972</v>
      </c>
      <c r="G5975">
        <f ca="1">_xlfn.NORM.INV(RAND(),$M$7,$M$8)</f>
        <v>7.0914514313915097E-3</v>
      </c>
    </row>
    <row r="5976" spans="6:7" x14ac:dyDescent="0.25">
      <c r="F5976">
        <v>5973</v>
      </c>
      <c r="G5976">
        <f ca="1">_xlfn.NORM.INV(RAND(),$M$7,$M$8)</f>
        <v>1.3433421473722921E-2</v>
      </c>
    </row>
    <row r="5977" spans="6:7" x14ac:dyDescent="0.25">
      <c r="F5977">
        <v>5974</v>
      </c>
      <c r="G5977">
        <f ca="1">_xlfn.NORM.INV(RAND(),$M$7,$M$8)</f>
        <v>3.5055846101909753E-2</v>
      </c>
    </row>
    <row r="5978" spans="6:7" x14ac:dyDescent="0.25">
      <c r="F5978">
        <v>5975</v>
      </c>
      <c r="G5978">
        <f ca="1">_xlfn.NORM.INV(RAND(),$M$7,$M$8)</f>
        <v>1.3705249893099028E-2</v>
      </c>
    </row>
    <row r="5979" spans="6:7" x14ac:dyDescent="0.25">
      <c r="F5979">
        <v>5976</v>
      </c>
      <c r="G5979">
        <f ca="1">_xlfn.NORM.INV(RAND(),$M$7,$M$8)</f>
        <v>2.2721325839272333E-2</v>
      </c>
    </row>
    <row r="5980" spans="6:7" x14ac:dyDescent="0.25">
      <c r="F5980">
        <v>5977</v>
      </c>
      <c r="G5980">
        <f ca="1">_xlfn.NORM.INV(RAND(),$M$7,$M$8)</f>
        <v>-3.9237142740469966E-2</v>
      </c>
    </row>
    <row r="5981" spans="6:7" x14ac:dyDescent="0.25">
      <c r="F5981">
        <v>5978</v>
      </c>
      <c r="G5981">
        <f ca="1">_xlfn.NORM.INV(RAND(),$M$7,$M$8)</f>
        <v>-9.0118088754652013E-4</v>
      </c>
    </row>
    <row r="5982" spans="6:7" x14ac:dyDescent="0.25">
      <c r="F5982">
        <v>5979</v>
      </c>
      <c r="G5982">
        <f ca="1">_xlfn.NORM.INV(RAND(),$M$7,$M$8)</f>
        <v>6.2420769727711718E-3</v>
      </c>
    </row>
    <row r="5983" spans="6:7" x14ac:dyDescent="0.25">
      <c r="F5983">
        <v>5980</v>
      </c>
      <c r="G5983">
        <f ca="1">_xlfn.NORM.INV(RAND(),$M$7,$M$8)</f>
        <v>-4.5591787503062531E-2</v>
      </c>
    </row>
    <row r="5984" spans="6:7" x14ac:dyDescent="0.25">
      <c r="F5984">
        <v>5981</v>
      </c>
      <c r="G5984">
        <f ca="1">_xlfn.NORM.INV(RAND(),$M$7,$M$8)</f>
        <v>3.3046750006151086E-2</v>
      </c>
    </row>
    <row r="5985" spans="6:7" x14ac:dyDescent="0.25">
      <c r="F5985">
        <v>5982</v>
      </c>
      <c r="G5985">
        <f ca="1">_xlfn.NORM.INV(RAND(),$M$7,$M$8)</f>
        <v>5.2699846190505509E-2</v>
      </c>
    </row>
    <row r="5986" spans="6:7" x14ac:dyDescent="0.25">
      <c r="F5986">
        <v>5983</v>
      </c>
      <c r="G5986">
        <f ca="1">_xlfn.NORM.INV(RAND(),$M$7,$M$8)</f>
        <v>1.6207250854707112E-3</v>
      </c>
    </row>
    <row r="5987" spans="6:7" x14ac:dyDescent="0.25">
      <c r="F5987">
        <v>5984</v>
      </c>
      <c r="G5987">
        <f ca="1">_xlfn.NORM.INV(RAND(),$M$7,$M$8)</f>
        <v>-5.1852992801290979E-2</v>
      </c>
    </row>
    <row r="5988" spans="6:7" x14ac:dyDescent="0.25">
      <c r="F5988">
        <v>5985</v>
      </c>
      <c r="G5988">
        <f ca="1">_xlfn.NORM.INV(RAND(),$M$7,$M$8)</f>
        <v>-4.0648526370294286E-2</v>
      </c>
    </row>
    <row r="5989" spans="6:7" x14ac:dyDescent="0.25">
      <c r="F5989">
        <v>5986</v>
      </c>
      <c r="G5989">
        <f ca="1">_xlfn.NORM.INV(RAND(),$M$7,$M$8)</f>
        <v>-1.4462242414721714E-2</v>
      </c>
    </row>
    <row r="5990" spans="6:7" x14ac:dyDescent="0.25">
      <c r="F5990">
        <v>5987</v>
      </c>
      <c r="G5990">
        <f ca="1">_xlfn.NORM.INV(RAND(),$M$7,$M$8)</f>
        <v>1.6739032992586604E-2</v>
      </c>
    </row>
    <row r="5991" spans="6:7" x14ac:dyDescent="0.25">
      <c r="F5991">
        <v>5988</v>
      </c>
      <c r="G5991">
        <f ca="1">_xlfn.NORM.INV(RAND(),$M$7,$M$8)</f>
        <v>-1.7909293797649113E-2</v>
      </c>
    </row>
    <row r="5992" spans="6:7" x14ac:dyDescent="0.25">
      <c r="F5992">
        <v>5989</v>
      </c>
      <c r="G5992">
        <f ca="1">_xlfn.NORM.INV(RAND(),$M$7,$M$8)</f>
        <v>1.4297486857373651E-2</v>
      </c>
    </row>
    <row r="5993" spans="6:7" x14ac:dyDescent="0.25">
      <c r="F5993">
        <v>5990</v>
      </c>
      <c r="G5993">
        <f ca="1">_xlfn.NORM.INV(RAND(),$M$7,$M$8)</f>
        <v>1.4065132487462289E-2</v>
      </c>
    </row>
    <row r="5994" spans="6:7" x14ac:dyDescent="0.25">
      <c r="F5994">
        <v>5991</v>
      </c>
      <c r="G5994">
        <f ca="1">_xlfn.NORM.INV(RAND(),$M$7,$M$8)</f>
        <v>5.0363280855503147E-3</v>
      </c>
    </row>
    <row r="5995" spans="6:7" x14ac:dyDescent="0.25">
      <c r="F5995">
        <v>5992</v>
      </c>
      <c r="G5995">
        <f ca="1">_xlfn.NORM.INV(RAND(),$M$7,$M$8)</f>
        <v>3.4825057287999735E-2</v>
      </c>
    </row>
    <row r="5996" spans="6:7" x14ac:dyDescent="0.25">
      <c r="F5996">
        <v>5993</v>
      </c>
      <c r="G5996">
        <f ca="1">_xlfn.NORM.INV(RAND(),$M$7,$M$8)</f>
        <v>2.3482226734071503E-2</v>
      </c>
    </row>
    <row r="5997" spans="6:7" x14ac:dyDescent="0.25">
      <c r="F5997">
        <v>5994</v>
      </c>
      <c r="G5997">
        <f ca="1">_xlfn.NORM.INV(RAND(),$M$7,$M$8)</f>
        <v>-9.641297800179088E-3</v>
      </c>
    </row>
    <row r="5998" spans="6:7" x14ac:dyDescent="0.25">
      <c r="F5998">
        <v>5995</v>
      </c>
      <c r="G5998">
        <f ca="1">_xlfn.NORM.INV(RAND(),$M$7,$M$8)</f>
        <v>-8.039371408115269E-3</v>
      </c>
    </row>
    <row r="5999" spans="6:7" x14ac:dyDescent="0.25">
      <c r="F5999">
        <v>5996</v>
      </c>
      <c r="G5999">
        <f ca="1">_xlfn.NORM.INV(RAND(),$M$7,$M$8)</f>
        <v>-5.9757709505447447E-2</v>
      </c>
    </row>
    <row r="6000" spans="6:7" x14ac:dyDescent="0.25">
      <c r="F6000">
        <v>5997</v>
      </c>
      <c r="G6000">
        <f ca="1">_xlfn.NORM.INV(RAND(),$M$7,$M$8)</f>
        <v>-5.9477871319924113E-3</v>
      </c>
    </row>
    <row r="6001" spans="6:7" x14ac:dyDescent="0.25">
      <c r="F6001">
        <v>5998</v>
      </c>
      <c r="G6001">
        <f ca="1">_xlfn.NORM.INV(RAND(),$M$7,$M$8)</f>
        <v>9.2744770775356391E-3</v>
      </c>
    </row>
    <row r="6002" spans="6:7" x14ac:dyDescent="0.25">
      <c r="F6002">
        <v>5999</v>
      </c>
      <c r="G6002">
        <f ca="1">_xlfn.NORM.INV(RAND(),$M$7,$M$8)</f>
        <v>3.5603829678172917E-2</v>
      </c>
    </row>
    <row r="6003" spans="6:7" x14ac:dyDescent="0.25">
      <c r="F6003">
        <v>6000</v>
      </c>
      <c r="G6003">
        <f ca="1">_xlfn.NORM.INV(RAND(),$M$7,$M$8)</f>
        <v>4.1568597388657669E-4</v>
      </c>
    </row>
    <row r="6004" spans="6:7" x14ac:dyDescent="0.25">
      <c r="F6004">
        <v>6001</v>
      </c>
      <c r="G6004">
        <f ca="1">_xlfn.NORM.INV(RAND(),$M$7,$M$8)</f>
        <v>-3.4686814988330651E-3</v>
      </c>
    </row>
    <row r="6005" spans="6:7" x14ac:dyDescent="0.25">
      <c r="F6005">
        <v>6002</v>
      </c>
      <c r="G6005">
        <f ca="1">_xlfn.NORM.INV(RAND(),$M$7,$M$8)</f>
        <v>-2.0040089545213049E-2</v>
      </c>
    </row>
    <row r="6006" spans="6:7" x14ac:dyDescent="0.25">
      <c r="F6006">
        <v>6003</v>
      </c>
      <c r="G6006">
        <f ca="1">_xlfn.NORM.INV(RAND(),$M$7,$M$8)</f>
        <v>-9.4071253608739702E-3</v>
      </c>
    </row>
    <row r="6007" spans="6:7" x14ac:dyDescent="0.25">
      <c r="F6007">
        <v>6004</v>
      </c>
      <c r="G6007">
        <f ca="1">_xlfn.NORM.INV(RAND(),$M$7,$M$8)</f>
        <v>2.7212146109981714E-2</v>
      </c>
    </row>
    <row r="6008" spans="6:7" x14ac:dyDescent="0.25">
      <c r="F6008">
        <v>6005</v>
      </c>
      <c r="G6008">
        <f ca="1">_xlfn.NORM.INV(RAND(),$M$7,$M$8)</f>
        <v>2.0736545857258145E-2</v>
      </c>
    </row>
    <row r="6009" spans="6:7" x14ac:dyDescent="0.25">
      <c r="F6009">
        <v>6006</v>
      </c>
      <c r="G6009">
        <f ca="1">_xlfn.NORM.INV(RAND(),$M$7,$M$8)</f>
        <v>-1.2083605959955532E-2</v>
      </c>
    </row>
    <row r="6010" spans="6:7" x14ac:dyDescent="0.25">
      <c r="F6010">
        <v>6007</v>
      </c>
      <c r="G6010">
        <f ca="1">_xlfn.NORM.INV(RAND(),$M$7,$M$8)</f>
        <v>1.9976393468304231E-2</v>
      </c>
    </row>
    <row r="6011" spans="6:7" x14ac:dyDescent="0.25">
      <c r="F6011">
        <v>6008</v>
      </c>
      <c r="G6011">
        <f ca="1">_xlfn.NORM.INV(RAND(),$M$7,$M$8)</f>
        <v>2.447267678673952E-2</v>
      </c>
    </row>
    <row r="6012" spans="6:7" x14ac:dyDescent="0.25">
      <c r="F6012">
        <v>6009</v>
      </c>
      <c r="G6012">
        <f ca="1">_xlfn.NORM.INV(RAND(),$M$7,$M$8)</f>
        <v>-3.0686092239861538E-3</v>
      </c>
    </row>
    <row r="6013" spans="6:7" x14ac:dyDescent="0.25">
      <c r="F6013">
        <v>6010</v>
      </c>
      <c r="G6013">
        <f ca="1">_xlfn.NORM.INV(RAND(),$M$7,$M$8)</f>
        <v>-2.9592450833498297E-2</v>
      </c>
    </row>
    <row r="6014" spans="6:7" x14ac:dyDescent="0.25">
      <c r="F6014">
        <v>6011</v>
      </c>
      <c r="G6014">
        <f ca="1">_xlfn.NORM.INV(RAND(),$M$7,$M$8)</f>
        <v>-1.1884201773967392E-2</v>
      </c>
    </row>
    <row r="6015" spans="6:7" x14ac:dyDescent="0.25">
      <c r="F6015">
        <v>6012</v>
      </c>
      <c r="G6015">
        <f ca="1">_xlfn.NORM.INV(RAND(),$M$7,$M$8)</f>
        <v>-1.0555054071843628E-2</v>
      </c>
    </row>
    <row r="6016" spans="6:7" x14ac:dyDescent="0.25">
      <c r="F6016">
        <v>6013</v>
      </c>
      <c r="G6016">
        <f ca="1">_xlfn.NORM.INV(RAND(),$M$7,$M$8)</f>
        <v>-2.9123753967768388E-2</v>
      </c>
    </row>
    <row r="6017" spans="6:7" x14ac:dyDescent="0.25">
      <c r="F6017">
        <v>6014</v>
      </c>
      <c r="G6017">
        <f ca="1">_xlfn.NORM.INV(RAND(),$M$7,$M$8)</f>
        <v>-6.2522674397186267E-3</v>
      </c>
    </row>
    <row r="6018" spans="6:7" x14ac:dyDescent="0.25">
      <c r="F6018">
        <v>6015</v>
      </c>
      <c r="G6018">
        <f ca="1">_xlfn.NORM.INV(RAND(),$M$7,$M$8)</f>
        <v>1.7211662025425387E-2</v>
      </c>
    </row>
    <row r="6019" spans="6:7" x14ac:dyDescent="0.25">
      <c r="F6019">
        <v>6016</v>
      </c>
      <c r="G6019">
        <f ca="1">_xlfn.NORM.INV(RAND(),$M$7,$M$8)</f>
        <v>-7.7961174662610029E-4</v>
      </c>
    </row>
    <row r="6020" spans="6:7" x14ac:dyDescent="0.25">
      <c r="F6020">
        <v>6017</v>
      </c>
      <c r="G6020">
        <f ca="1">_xlfn.NORM.INV(RAND(),$M$7,$M$8)</f>
        <v>-4.824383020645065E-2</v>
      </c>
    </row>
    <row r="6021" spans="6:7" x14ac:dyDescent="0.25">
      <c r="F6021">
        <v>6018</v>
      </c>
      <c r="G6021">
        <f ca="1">_xlfn.NORM.INV(RAND(),$M$7,$M$8)</f>
        <v>-2.3706997046558979E-3</v>
      </c>
    </row>
    <row r="6022" spans="6:7" x14ac:dyDescent="0.25">
      <c r="F6022">
        <v>6019</v>
      </c>
      <c r="G6022">
        <f ca="1">_xlfn.NORM.INV(RAND(),$M$7,$M$8)</f>
        <v>-5.0748921111588137E-2</v>
      </c>
    </row>
    <row r="6023" spans="6:7" x14ac:dyDescent="0.25">
      <c r="F6023">
        <v>6020</v>
      </c>
      <c r="G6023">
        <f ca="1">_xlfn.NORM.INV(RAND(),$M$7,$M$8)</f>
        <v>-6.0889879081007826E-3</v>
      </c>
    </row>
    <row r="6024" spans="6:7" x14ac:dyDescent="0.25">
      <c r="F6024">
        <v>6021</v>
      </c>
      <c r="G6024">
        <f ca="1">_xlfn.NORM.INV(RAND(),$M$7,$M$8)</f>
        <v>-2.1681247465878822E-4</v>
      </c>
    </row>
    <row r="6025" spans="6:7" x14ac:dyDescent="0.25">
      <c r="F6025">
        <v>6022</v>
      </c>
      <c r="G6025">
        <f ca="1">_xlfn.NORM.INV(RAND(),$M$7,$M$8)</f>
        <v>-3.3982169004677397E-2</v>
      </c>
    </row>
    <row r="6026" spans="6:7" x14ac:dyDescent="0.25">
      <c r="F6026">
        <v>6023</v>
      </c>
      <c r="G6026">
        <f ca="1">_xlfn.NORM.INV(RAND(),$M$7,$M$8)</f>
        <v>-3.8160896138822475E-4</v>
      </c>
    </row>
    <row r="6027" spans="6:7" x14ac:dyDescent="0.25">
      <c r="F6027">
        <v>6024</v>
      </c>
      <c r="G6027">
        <f ca="1">_xlfn.NORM.INV(RAND(),$M$7,$M$8)</f>
        <v>-4.8324852428069269E-2</v>
      </c>
    </row>
    <row r="6028" spans="6:7" x14ac:dyDescent="0.25">
      <c r="F6028">
        <v>6025</v>
      </c>
      <c r="G6028">
        <f ca="1">_xlfn.NORM.INV(RAND(),$M$7,$M$8)</f>
        <v>-1.117526739920097E-2</v>
      </c>
    </row>
    <row r="6029" spans="6:7" x14ac:dyDescent="0.25">
      <c r="F6029">
        <v>6026</v>
      </c>
      <c r="G6029">
        <f ca="1">_xlfn.NORM.INV(RAND(),$M$7,$M$8)</f>
        <v>3.0651941698875921E-2</v>
      </c>
    </row>
    <row r="6030" spans="6:7" x14ac:dyDescent="0.25">
      <c r="F6030">
        <v>6027</v>
      </c>
      <c r="G6030">
        <f ca="1">_xlfn.NORM.INV(RAND(),$M$7,$M$8)</f>
        <v>1.8313774389281341E-2</v>
      </c>
    </row>
    <row r="6031" spans="6:7" x14ac:dyDescent="0.25">
      <c r="F6031">
        <v>6028</v>
      </c>
      <c r="G6031">
        <f ca="1">_xlfn.NORM.INV(RAND(),$M$7,$M$8)</f>
        <v>2.4834770527008936E-2</v>
      </c>
    </row>
    <row r="6032" spans="6:7" x14ac:dyDescent="0.25">
      <c r="F6032">
        <v>6029</v>
      </c>
      <c r="G6032">
        <f ca="1">_xlfn.NORM.INV(RAND(),$M$7,$M$8)</f>
        <v>9.5476185725373777E-3</v>
      </c>
    </row>
    <row r="6033" spans="6:7" x14ac:dyDescent="0.25">
      <c r="F6033">
        <v>6030</v>
      </c>
      <c r="G6033">
        <f ca="1">_xlfn.NORM.INV(RAND(),$M$7,$M$8)</f>
        <v>4.1785723286045663E-2</v>
      </c>
    </row>
    <row r="6034" spans="6:7" x14ac:dyDescent="0.25">
      <c r="F6034">
        <v>6031</v>
      </c>
      <c r="G6034">
        <f ca="1">_xlfn.NORM.INV(RAND(),$M$7,$M$8)</f>
        <v>-7.3910209836233493E-3</v>
      </c>
    </row>
    <row r="6035" spans="6:7" x14ac:dyDescent="0.25">
      <c r="F6035">
        <v>6032</v>
      </c>
      <c r="G6035">
        <f ca="1">_xlfn.NORM.INV(RAND(),$M$7,$M$8)</f>
        <v>-2.0403267113515595E-3</v>
      </c>
    </row>
    <row r="6036" spans="6:7" x14ac:dyDescent="0.25">
      <c r="F6036">
        <v>6033</v>
      </c>
      <c r="G6036">
        <f ca="1">_xlfn.NORM.INV(RAND(),$M$7,$M$8)</f>
        <v>-9.016441422225502E-4</v>
      </c>
    </row>
    <row r="6037" spans="6:7" x14ac:dyDescent="0.25">
      <c r="F6037">
        <v>6034</v>
      </c>
      <c r="G6037">
        <f ca="1">_xlfn.NORM.INV(RAND(),$M$7,$M$8)</f>
        <v>1.4265622302213159E-2</v>
      </c>
    </row>
    <row r="6038" spans="6:7" x14ac:dyDescent="0.25">
      <c r="F6038">
        <v>6035</v>
      </c>
      <c r="G6038">
        <f ca="1">_xlfn.NORM.INV(RAND(),$M$7,$M$8)</f>
        <v>1.4066530925857863E-2</v>
      </c>
    </row>
    <row r="6039" spans="6:7" x14ac:dyDescent="0.25">
      <c r="F6039">
        <v>6036</v>
      </c>
      <c r="G6039">
        <f ca="1">_xlfn.NORM.INV(RAND(),$M$7,$M$8)</f>
        <v>-1.1779986973911579E-2</v>
      </c>
    </row>
    <row r="6040" spans="6:7" x14ac:dyDescent="0.25">
      <c r="F6040">
        <v>6037</v>
      </c>
      <c r="G6040">
        <f ca="1">_xlfn.NORM.INV(RAND(),$M$7,$M$8)</f>
        <v>-1.7502262424310765E-2</v>
      </c>
    </row>
    <row r="6041" spans="6:7" x14ac:dyDescent="0.25">
      <c r="F6041">
        <v>6038</v>
      </c>
      <c r="G6041">
        <f ca="1">_xlfn.NORM.INV(RAND(),$M$7,$M$8)</f>
        <v>-1.5975197514038999E-2</v>
      </c>
    </row>
    <row r="6042" spans="6:7" x14ac:dyDescent="0.25">
      <c r="F6042">
        <v>6039</v>
      </c>
      <c r="G6042">
        <f ca="1">_xlfn.NORM.INV(RAND(),$M$7,$M$8)</f>
        <v>2.1295345490449397E-2</v>
      </c>
    </row>
    <row r="6043" spans="6:7" x14ac:dyDescent="0.25">
      <c r="F6043">
        <v>6040</v>
      </c>
      <c r="G6043">
        <f ca="1">_xlfn.NORM.INV(RAND(),$M$7,$M$8)</f>
        <v>3.4458696470193347E-2</v>
      </c>
    </row>
    <row r="6044" spans="6:7" x14ac:dyDescent="0.25">
      <c r="F6044">
        <v>6041</v>
      </c>
      <c r="G6044">
        <f ca="1">_xlfn.NORM.INV(RAND(),$M$7,$M$8)</f>
        <v>2.3190442663864039E-2</v>
      </c>
    </row>
    <row r="6045" spans="6:7" x14ac:dyDescent="0.25">
      <c r="F6045">
        <v>6042</v>
      </c>
      <c r="G6045">
        <f ca="1">_xlfn.NORM.INV(RAND(),$M$7,$M$8)</f>
        <v>-4.9570949423686832E-2</v>
      </c>
    </row>
    <row r="6046" spans="6:7" x14ac:dyDescent="0.25">
      <c r="F6046">
        <v>6043</v>
      </c>
      <c r="G6046">
        <f ca="1">_xlfn.NORM.INV(RAND(),$M$7,$M$8)</f>
        <v>-4.8751347605031792E-3</v>
      </c>
    </row>
    <row r="6047" spans="6:7" x14ac:dyDescent="0.25">
      <c r="F6047">
        <v>6044</v>
      </c>
      <c r="G6047">
        <f ca="1">_xlfn.NORM.INV(RAND(),$M$7,$M$8)</f>
        <v>3.1041677433027146E-2</v>
      </c>
    </row>
    <row r="6048" spans="6:7" x14ac:dyDescent="0.25">
      <c r="F6048">
        <v>6045</v>
      </c>
      <c r="G6048">
        <f ca="1">_xlfn.NORM.INV(RAND(),$M$7,$M$8)</f>
        <v>4.416513098907944E-2</v>
      </c>
    </row>
    <row r="6049" spans="6:7" x14ac:dyDescent="0.25">
      <c r="F6049">
        <v>6046</v>
      </c>
      <c r="G6049">
        <f ca="1">_xlfn.NORM.INV(RAND(),$M$7,$M$8)</f>
        <v>-5.7875078605115989E-2</v>
      </c>
    </row>
    <row r="6050" spans="6:7" x14ac:dyDescent="0.25">
      <c r="F6050">
        <v>6047</v>
      </c>
      <c r="G6050">
        <f ca="1">_xlfn.NORM.INV(RAND(),$M$7,$M$8)</f>
        <v>-1.7595020334692905E-2</v>
      </c>
    </row>
    <row r="6051" spans="6:7" x14ac:dyDescent="0.25">
      <c r="F6051">
        <v>6048</v>
      </c>
      <c r="G6051">
        <f ca="1">_xlfn.NORM.INV(RAND(),$M$7,$M$8)</f>
        <v>1.8000597209011558E-2</v>
      </c>
    </row>
    <row r="6052" spans="6:7" x14ac:dyDescent="0.25">
      <c r="F6052">
        <v>6049</v>
      </c>
      <c r="G6052">
        <f ca="1">_xlfn.NORM.INV(RAND(),$M$7,$M$8)</f>
        <v>-1.3492368353647956E-2</v>
      </c>
    </row>
    <row r="6053" spans="6:7" x14ac:dyDescent="0.25">
      <c r="F6053">
        <v>6050</v>
      </c>
      <c r="G6053">
        <f ca="1">_xlfn.NORM.INV(RAND(),$M$7,$M$8)</f>
        <v>2.0911415724571205E-4</v>
      </c>
    </row>
    <row r="6054" spans="6:7" x14ac:dyDescent="0.25">
      <c r="F6054">
        <v>6051</v>
      </c>
      <c r="G6054">
        <f ca="1">_xlfn.NORM.INV(RAND(),$M$7,$M$8)</f>
        <v>6.4247425318482269E-4</v>
      </c>
    </row>
    <row r="6055" spans="6:7" x14ac:dyDescent="0.25">
      <c r="F6055">
        <v>6052</v>
      </c>
      <c r="G6055">
        <f ca="1">_xlfn.NORM.INV(RAND(),$M$7,$M$8)</f>
        <v>2.7574064343759679E-3</v>
      </c>
    </row>
    <row r="6056" spans="6:7" x14ac:dyDescent="0.25">
      <c r="F6056">
        <v>6053</v>
      </c>
      <c r="G6056">
        <f ca="1">_xlfn.NORM.INV(RAND(),$M$7,$M$8)</f>
        <v>4.0168913168554504E-2</v>
      </c>
    </row>
    <row r="6057" spans="6:7" x14ac:dyDescent="0.25">
      <c r="F6057">
        <v>6054</v>
      </c>
      <c r="G6057">
        <f ca="1">_xlfn.NORM.INV(RAND(),$M$7,$M$8)</f>
        <v>2.1491582559766138E-2</v>
      </c>
    </row>
    <row r="6058" spans="6:7" x14ac:dyDescent="0.25">
      <c r="F6058">
        <v>6055</v>
      </c>
      <c r="G6058">
        <f ca="1">_xlfn.NORM.INV(RAND(),$M$7,$M$8)</f>
        <v>3.1956839696474408E-3</v>
      </c>
    </row>
    <row r="6059" spans="6:7" x14ac:dyDescent="0.25">
      <c r="F6059">
        <v>6056</v>
      </c>
      <c r="G6059">
        <f ca="1">_xlfn.NORM.INV(RAND(),$M$7,$M$8)</f>
        <v>-1.5768497088578276E-2</v>
      </c>
    </row>
    <row r="6060" spans="6:7" x14ac:dyDescent="0.25">
      <c r="F6060">
        <v>6057</v>
      </c>
      <c r="G6060">
        <f ca="1">_xlfn.NORM.INV(RAND(),$M$7,$M$8)</f>
        <v>2.694603667774606E-2</v>
      </c>
    </row>
    <row r="6061" spans="6:7" x14ac:dyDescent="0.25">
      <c r="F6061">
        <v>6058</v>
      </c>
      <c r="G6061">
        <f ca="1">_xlfn.NORM.INV(RAND(),$M$7,$M$8)</f>
        <v>6.661580754911146E-3</v>
      </c>
    </row>
    <row r="6062" spans="6:7" x14ac:dyDescent="0.25">
      <c r="F6062">
        <v>6059</v>
      </c>
      <c r="G6062">
        <f ca="1">_xlfn.NORM.INV(RAND(),$M$7,$M$8)</f>
        <v>-6.6053910786569928E-3</v>
      </c>
    </row>
    <row r="6063" spans="6:7" x14ac:dyDescent="0.25">
      <c r="F6063">
        <v>6060</v>
      </c>
      <c r="G6063">
        <f ca="1">_xlfn.NORM.INV(RAND(),$M$7,$M$8)</f>
        <v>3.1211635129474537E-2</v>
      </c>
    </row>
    <row r="6064" spans="6:7" x14ac:dyDescent="0.25">
      <c r="F6064">
        <v>6061</v>
      </c>
      <c r="G6064">
        <f ca="1">_xlfn.NORM.INV(RAND(),$M$7,$M$8)</f>
        <v>-2.7661102796412092E-2</v>
      </c>
    </row>
    <row r="6065" spans="6:7" x14ac:dyDescent="0.25">
      <c r="F6065">
        <v>6062</v>
      </c>
      <c r="G6065">
        <f ca="1">_xlfn.NORM.INV(RAND(),$M$7,$M$8)</f>
        <v>-6.2889637158394171E-2</v>
      </c>
    </row>
    <row r="6066" spans="6:7" x14ac:dyDescent="0.25">
      <c r="F6066">
        <v>6063</v>
      </c>
      <c r="G6066">
        <f ca="1">_xlfn.NORM.INV(RAND(),$M$7,$M$8)</f>
        <v>-1.421690860086906E-2</v>
      </c>
    </row>
    <row r="6067" spans="6:7" x14ac:dyDescent="0.25">
      <c r="F6067">
        <v>6064</v>
      </c>
      <c r="G6067">
        <f ca="1">_xlfn.NORM.INV(RAND(),$M$7,$M$8)</f>
        <v>-9.0585788497988678E-3</v>
      </c>
    </row>
    <row r="6068" spans="6:7" x14ac:dyDescent="0.25">
      <c r="F6068">
        <v>6065</v>
      </c>
      <c r="G6068">
        <f ca="1">_xlfn.NORM.INV(RAND(),$M$7,$M$8)</f>
        <v>2.8063179349893122E-2</v>
      </c>
    </row>
    <row r="6069" spans="6:7" x14ac:dyDescent="0.25">
      <c r="F6069">
        <v>6066</v>
      </c>
      <c r="G6069">
        <f ca="1">_xlfn.NORM.INV(RAND(),$M$7,$M$8)</f>
        <v>-9.6052118379225601E-3</v>
      </c>
    </row>
    <row r="6070" spans="6:7" x14ac:dyDescent="0.25">
      <c r="F6070">
        <v>6067</v>
      </c>
      <c r="G6070">
        <f ca="1">_xlfn.NORM.INV(RAND(),$M$7,$M$8)</f>
        <v>-1.5081808826689663E-2</v>
      </c>
    </row>
    <row r="6071" spans="6:7" x14ac:dyDescent="0.25">
      <c r="F6071">
        <v>6068</v>
      </c>
      <c r="G6071">
        <f ca="1">_xlfn.NORM.INV(RAND(),$M$7,$M$8)</f>
        <v>6.698939470812201E-3</v>
      </c>
    </row>
    <row r="6072" spans="6:7" x14ac:dyDescent="0.25">
      <c r="F6072">
        <v>6069</v>
      </c>
      <c r="G6072">
        <f ca="1">_xlfn.NORM.INV(RAND(),$M$7,$M$8)</f>
        <v>-1.3126010037961999E-2</v>
      </c>
    </row>
    <row r="6073" spans="6:7" x14ac:dyDescent="0.25">
      <c r="F6073">
        <v>6070</v>
      </c>
      <c r="G6073">
        <f ca="1">_xlfn.NORM.INV(RAND(),$M$7,$M$8)</f>
        <v>2.0219054820533509E-2</v>
      </c>
    </row>
    <row r="6074" spans="6:7" x14ac:dyDescent="0.25">
      <c r="F6074">
        <v>6071</v>
      </c>
      <c r="G6074">
        <f ca="1">_xlfn.NORM.INV(RAND(),$M$7,$M$8)</f>
        <v>-9.1106936514607911E-3</v>
      </c>
    </row>
    <row r="6075" spans="6:7" x14ac:dyDescent="0.25">
      <c r="F6075">
        <v>6072</v>
      </c>
      <c r="G6075">
        <f ca="1">_xlfn.NORM.INV(RAND(),$M$7,$M$8)</f>
        <v>-2.1932953784905549E-3</v>
      </c>
    </row>
    <row r="6076" spans="6:7" x14ac:dyDescent="0.25">
      <c r="F6076">
        <v>6073</v>
      </c>
      <c r="G6076">
        <f ca="1">_xlfn.NORM.INV(RAND(),$M$7,$M$8)</f>
        <v>4.7974625427259214E-2</v>
      </c>
    </row>
    <row r="6077" spans="6:7" x14ac:dyDescent="0.25">
      <c r="F6077">
        <v>6074</v>
      </c>
      <c r="G6077">
        <f ca="1">_xlfn.NORM.INV(RAND(),$M$7,$M$8)</f>
        <v>-1.7066814316162144E-3</v>
      </c>
    </row>
    <row r="6078" spans="6:7" x14ac:dyDescent="0.25">
      <c r="F6078">
        <v>6075</v>
      </c>
      <c r="G6078">
        <f ca="1">_xlfn.NORM.INV(RAND(),$M$7,$M$8)</f>
        <v>2.0511748763639565E-3</v>
      </c>
    </row>
    <row r="6079" spans="6:7" x14ac:dyDescent="0.25">
      <c r="F6079">
        <v>6076</v>
      </c>
      <c r="G6079">
        <f ca="1">_xlfn.NORM.INV(RAND(),$M$7,$M$8)</f>
        <v>-1.6586915295965336E-2</v>
      </c>
    </row>
    <row r="6080" spans="6:7" x14ac:dyDescent="0.25">
      <c r="F6080">
        <v>6077</v>
      </c>
      <c r="G6080">
        <f ca="1">_xlfn.NORM.INV(RAND(),$M$7,$M$8)</f>
        <v>1.5118824865998479E-2</v>
      </c>
    </row>
    <row r="6081" spans="6:7" x14ac:dyDescent="0.25">
      <c r="F6081">
        <v>6078</v>
      </c>
      <c r="G6081">
        <f ca="1">_xlfn.NORM.INV(RAND(),$M$7,$M$8)</f>
        <v>8.6355123528052968E-3</v>
      </c>
    </row>
    <row r="6082" spans="6:7" x14ac:dyDescent="0.25">
      <c r="F6082">
        <v>6079</v>
      </c>
      <c r="G6082">
        <f ca="1">_xlfn.NORM.INV(RAND(),$M$7,$M$8)</f>
        <v>-3.59148532410948E-2</v>
      </c>
    </row>
    <row r="6083" spans="6:7" x14ac:dyDescent="0.25">
      <c r="F6083">
        <v>6080</v>
      </c>
      <c r="G6083">
        <f ca="1">_xlfn.NORM.INV(RAND(),$M$7,$M$8)</f>
        <v>-1.1152103468718493E-2</v>
      </c>
    </row>
    <row r="6084" spans="6:7" x14ac:dyDescent="0.25">
      <c r="F6084">
        <v>6081</v>
      </c>
      <c r="G6084">
        <f ca="1">_xlfn.NORM.INV(RAND(),$M$7,$M$8)</f>
        <v>-1.7402559410196528E-2</v>
      </c>
    </row>
    <row r="6085" spans="6:7" x14ac:dyDescent="0.25">
      <c r="F6085">
        <v>6082</v>
      </c>
      <c r="G6085">
        <f ca="1">_xlfn.NORM.INV(RAND(),$M$7,$M$8)</f>
        <v>-2.4042360211167908E-2</v>
      </c>
    </row>
    <row r="6086" spans="6:7" x14ac:dyDescent="0.25">
      <c r="F6086">
        <v>6083</v>
      </c>
      <c r="G6086">
        <f ca="1">_xlfn.NORM.INV(RAND(),$M$7,$M$8)</f>
        <v>-7.9477772021628069E-3</v>
      </c>
    </row>
    <row r="6087" spans="6:7" x14ac:dyDescent="0.25">
      <c r="F6087">
        <v>6084</v>
      </c>
      <c r="G6087">
        <f ca="1">_xlfn.NORM.INV(RAND(),$M$7,$M$8)</f>
        <v>3.0481161723117042E-2</v>
      </c>
    </row>
    <row r="6088" spans="6:7" x14ac:dyDescent="0.25">
      <c r="F6088">
        <v>6085</v>
      </c>
      <c r="G6088">
        <f ca="1">_xlfn.NORM.INV(RAND(),$M$7,$M$8)</f>
        <v>-1.3188036668162626E-2</v>
      </c>
    </row>
    <row r="6089" spans="6:7" x14ac:dyDescent="0.25">
      <c r="F6089">
        <v>6086</v>
      </c>
      <c r="G6089">
        <f ca="1">_xlfn.NORM.INV(RAND(),$M$7,$M$8)</f>
        <v>2.7966429856126327E-2</v>
      </c>
    </row>
    <row r="6090" spans="6:7" x14ac:dyDescent="0.25">
      <c r="F6090">
        <v>6087</v>
      </c>
      <c r="G6090">
        <f ca="1">_xlfn.NORM.INV(RAND(),$M$7,$M$8)</f>
        <v>-1.2334936290556627E-2</v>
      </c>
    </row>
    <row r="6091" spans="6:7" x14ac:dyDescent="0.25">
      <c r="F6091">
        <v>6088</v>
      </c>
      <c r="G6091">
        <f ca="1">_xlfn.NORM.INV(RAND(),$M$7,$M$8)</f>
        <v>1.3936880974201205E-2</v>
      </c>
    </row>
    <row r="6092" spans="6:7" x14ac:dyDescent="0.25">
      <c r="F6092">
        <v>6089</v>
      </c>
      <c r="G6092">
        <f ca="1">_xlfn.NORM.INV(RAND(),$M$7,$M$8)</f>
        <v>1.4627218967787726E-2</v>
      </c>
    </row>
    <row r="6093" spans="6:7" x14ac:dyDescent="0.25">
      <c r="F6093">
        <v>6090</v>
      </c>
      <c r="G6093">
        <f ca="1">_xlfn.NORM.INV(RAND(),$M$7,$M$8)</f>
        <v>2.2990002112713284E-3</v>
      </c>
    </row>
    <row r="6094" spans="6:7" x14ac:dyDescent="0.25">
      <c r="F6094">
        <v>6091</v>
      </c>
      <c r="G6094">
        <f ca="1">_xlfn.NORM.INV(RAND(),$M$7,$M$8)</f>
        <v>1.1938240618366831E-2</v>
      </c>
    </row>
    <row r="6095" spans="6:7" x14ac:dyDescent="0.25">
      <c r="F6095">
        <v>6092</v>
      </c>
      <c r="G6095">
        <f ca="1">_xlfn.NORM.INV(RAND(),$M$7,$M$8)</f>
        <v>2.0899556921437586E-2</v>
      </c>
    </row>
    <row r="6096" spans="6:7" x14ac:dyDescent="0.25">
      <c r="F6096">
        <v>6093</v>
      </c>
      <c r="G6096">
        <f ca="1">_xlfn.NORM.INV(RAND(),$M$7,$M$8)</f>
        <v>-3.3329200485752836E-3</v>
      </c>
    </row>
    <row r="6097" spans="6:7" x14ac:dyDescent="0.25">
      <c r="F6097">
        <v>6094</v>
      </c>
      <c r="G6097">
        <f ca="1">_xlfn.NORM.INV(RAND(),$M$7,$M$8)</f>
        <v>-5.0188527244757704E-2</v>
      </c>
    </row>
    <row r="6098" spans="6:7" x14ac:dyDescent="0.25">
      <c r="F6098">
        <v>6095</v>
      </c>
      <c r="G6098">
        <f ca="1">_xlfn.NORM.INV(RAND(),$M$7,$M$8)</f>
        <v>-3.0483340174962712E-2</v>
      </c>
    </row>
    <row r="6099" spans="6:7" x14ac:dyDescent="0.25">
      <c r="F6099">
        <v>6096</v>
      </c>
      <c r="G6099">
        <f ca="1">_xlfn.NORM.INV(RAND(),$M$7,$M$8)</f>
        <v>-2.0402820590814885E-2</v>
      </c>
    </row>
    <row r="6100" spans="6:7" x14ac:dyDescent="0.25">
      <c r="F6100">
        <v>6097</v>
      </c>
      <c r="G6100">
        <f ca="1">_xlfn.NORM.INV(RAND(),$M$7,$M$8)</f>
        <v>1.9795897782477825E-2</v>
      </c>
    </row>
    <row r="6101" spans="6:7" x14ac:dyDescent="0.25">
      <c r="F6101">
        <v>6098</v>
      </c>
      <c r="G6101">
        <f ca="1">_xlfn.NORM.INV(RAND(),$M$7,$M$8)</f>
        <v>2.3387345720221959E-2</v>
      </c>
    </row>
    <row r="6102" spans="6:7" x14ac:dyDescent="0.25">
      <c r="F6102">
        <v>6099</v>
      </c>
      <c r="G6102">
        <f ca="1">_xlfn.NORM.INV(RAND(),$M$7,$M$8)</f>
        <v>-3.8368180876591673E-3</v>
      </c>
    </row>
    <row r="6103" spans="6:7" x14ac:dyDescent="0.25">
      <c r="F6103">
        <v>6100</v>
      </c>
      <c r="G6103">
        <f ca="1">_xlfn.NORM.INV(RAND(),$M$7,$M$8)</f>
        <v>2.506343332431198E-2</v>
      </c>
    </row>
    <row r="6104" spans="6:7" x14ac:dyDescent="0.25">
      <c r="F6104">
        <v>6101</v>
      </c>
      <c r="G6104">
        <f ca="1">_xlfn.NORM.INV(RAND(),$M$7,$M$8)</f>
        <v>5.3839826050448084E-3</v>
      </c>
    </row>
    <row r="6105" spans="6:7" x14ac:dyDescent="0.25">
      <c r="F6105">
        <v>6102</v>
      </c>
      <c r="G6105">
        <f ca="1">_xlfn.NORM.INV(RAND(),$M$7,$M$8)</f>
        <v>-1.3320611634873762E-3</v>
      </c>
    </row>
    <row r="6106" spans="6:7" x14ac:dyDescent="0.25">
      <c r="F6106">
        <v>6103</v>
      </c>
      <c r="G6106">
        <f ca="1">_xlfn.NORM.INV(RAND(),$M$7,$M$8)</f>
        <v>1.6468573346515407E-2</v>
      </c>
    </row>
    <row r="6107" spans="6:7" x14ac:dyDescent="0.25">
      <c r="F6107">
        <v>6104</v>
      </c>
      <c r="G6107">
        <f ca="1">_xlfn.NORM.INV(RAND(),$M$7,$M$8)</f>
        <v>-1.0280887682581064E-2</v>
      </c>
    </row>
    <row r="6108" spans="6:7" x14ac:dyDescent="0.25">
      <c r="F6108">
        <v>6105</v>
      </c>
      <c r="G6108">
        <f ca="1">_xlfn.NORM.INV(RAND(),$M$7,$M$8)</f>
        <v>1.9924299904544175E-2</v>
      </c>
    </row>
    <row r="6109" spans="6:7" x14ac:dyDescent="0.25">
      <c r="F6109">
        <v>6106</v>
      </c>
      <c r="G6109">
        <f ca="1">_xlfn.NORM.INV(RAND(),$M$7,$M$8)</f>
        <v>2.70635603656788E-2</v>
      </c>
    </row>
    <row r="6110" spans="6:7" x14ac:dyDescent="0.25">
      <c r="F6110">
        <v>6107</v>
      </c>
      <c r="G6110">
        <f ca="1">_xlfn.NORM.INV(RAND(),$M$7,$M$8)</f>
        <v>-3.0277315370918715E-2</v>
      </c>
    </row>
    <row r="6111" spans="6:7" x14ac:dyDescent="0.25">
      <c r="F6111">
        <v>6108</v>
      </c>
      <c r="G6111">
        <f ca="1">_xlfn.NORM.INV(RAND(),$M$7,$M$8)</f>
        <v>-1.9459808861533819E-2</v>
      </c>
    </row>
    <row r="6112" spans="6:7" x14ac:dyDescent="0.25">
      <c r="F6112">
        <v>6109</v>
      </c>
      <c r="G6112">
        <f ca="1">_xlfn.NORM.INV(RAND(),$M$7,$M$8)</f>
        <v>-2.0644574590563698E-2</v>
      </c>
    </row>
    <row r="6113" spans="6:7" x14ac:dyDescent="0.25">
      <c r="F6113">
        <v>6110</v>
      </c>
      <c r="G6113">
        <f ca="1">_xlfn.NORM.INV(RAND(),$M$7,$M$8)</f>
        <v>5.4123158421091732E-3</v>
      </c>
    </row>
    <row r="6114" spans="6:7" x14ac:dyDescent="0.25">
      <c r="F6114">
        <v>6111</v>
      </c>
      <c r="G6114">
        <f ca="1">_xlfn.NORM.INV(RAND(),$M$7,$M$8)</f>
        <v>1.8729334750912898E-2</v>
      </c>
    </row>
    <row r="6115" spans="6:7" x14ac:dyDescent="0.25">
      <c r="F6115">
        <v>6112</v>
      </c>
      <c r="G6115">
        <f ca="1">_xlfn.NORM.INV(RAND(),$M$7,$M$8)</f>
        <v>1.9448242792248844E-2</v>
      </c>
    </row>
    <row r="6116" spans="6:7" x14ac:dyDescent="0.25">
      <c r="F6116">
        <v>6113</v>
      </c>
      <c r="G6116">
        <f ca="1">_xlfn.NORM.INV(RAND(),$M$7,$M$8)</f>
        <v>-1.3920707807976508E-2</v>
      </c>
    </row>
    <row r="6117" spans="6:7" x14ac:dyDescent="0.25">
      <c r="F6117">
        <v>6114</v>
      </c>
      <c r="G6117">
        <f ca="1">_xlfn.NORM.INV(RAND(),$M$7,$M$8)</f>
        <v>-3.6062983034873514E-2</v>
      </c>
    </row>
    <row r="6118" spans="6:7" x14ac:dyDescent="0.25">
      <c r="F6118">
        <v>6115</v>
      </c>
      <c r="G6118">
        <f ca="1">_xlfn.NORM.INV(RAND(),$M$7,$M$8)</f>
        <v>1.2093674545080479E-2</v>
      </c>
    </row>
    <row r="6119" spans="6:7" x14ac:dyDescent="0.25">
      <c r="F6119">
        <v>6116</v>
      </c>
      <c r="G6119">
        <f ca="1">_xlfn.NORM.INV(RAND(),$M$7,$M$8)</f>
        <v>3.1738556633067586E-2</v>
      </c>
    </row>
    <row r="6120" spans="6:7" x14ac:dyDescent="0.25">
      <c r="F6120">
        <v>6117</v>
      </c>
      <c r="G6120">
        <f ca="1">_xlfn.NORM.INV(RAND(),$M$7,$M$8)</f>
        <v>6.1222498040806525E-2</v>
      </c>
    </row>
    <row r="6121" spans="6:7" x14ac:dyDescent="0.25">
      <c r="F6121">
        <v>6118</v>
      </c>
      <c r="G6121">
        <f ca="1">_xlfn.NORM.INV(RAND(),$M$7,$M$8)</f>
        <v>-1.561331259364267E-2</v>
      </c>
    </row>
    <row r="6122" spans="6:7" x14ac:dyDescent="0.25">
      <c r="F6122">
        <v>6119</v>
      </c>
      <c r="G6122">
        <f ca="1">_xlfn.NORM.INV(RAND(),$M$7,$M$8)</f>
        <v>1.0088575847233449E-2</v>
      </c>
    </row>
    <row r="6123" spans="6:7" x14ac:dyDescent="0.25">
      <c r="F6123">
        <v>6120</v>
      </c>
      <c r="G6123">
        <f ca="1">_xlfn.NORM.INV(RAND(),$M$7,$M$8)</f>
        <v>1.443954751816404E-2</v>
      </c>
    </row>
    <row r="6124" spans="6:7" x14ac:dyDescent="0.25">
      <c r="F6124">
        <v>6121</v>
      </c>
      <c r="G6124">
        <f ca="1">_xlfn.NORM.INV(RAND(),$M$7,$M$8)</f>
        <v>1.4607165681800384E-2</v>
      </c>
    </row>
    <row r="6125" spans="6:7" x14ac:dyDescent="0.25">
      <c r="F6125">
        <v>6122</v>
      </c>
      <c r="G6125">
        <f ca="1">_xlfn.NORM.INV(RAND(),$M$7,$M$8)</f>
        <v>-1.1426803020105382E-2</v>
      </c>
    </row>
    <row r="6126" spans="6:7" x14ac:dyDescent="0.25">
      <c r="F6126">
        <v>6123</v>
      </c>
      <c r="G6126">
        <f ca="1">_xlfn.NORM.INV(RAND(),$M$7,$M$8)</f>
        <v>2.7144497046672059E-2</v>
      </c>
    </row>
    <row r="6127" spans="6:7" x14ac:dyDescent="0.25">
      <c r="F6127">
        <v>6124</v>
      </c>
      <c r="G6127">
        <f ca="1">_xlfn.NORM.INV(RAND(),$M$7,$M$8)</f>
        <v>7.9320107925555262E-3</v>
      </c>
    </row>
    <row r="6128" spans="6:7" x14ac:dyDescent="0.25">
      <c r="F6128">
        <v>6125</v>
      </c>
      <c r="G6128">
        <f ca="1">_xlfn.NORM.INV(RAND(),$M$7,$M$8)</f>
        <v>-4.8070839325811958E-2</v>
      </c>
    </row>
    <row r="6129" spans="6:7" x14ac:dyDescent="0.25">
      <c r="F6129">
        <v>6126</v>
      </c>
      <c r="G6129">
        <f ca="1">_xlfn.NORM.INV(RAND(),$M$7,$M$8)</f>
        <v>-1.6418166603764633E-2</v>
      </c>
    </row>
    <row r="6130" spans="6:7" x14ac:dyDescent="0.25">
      <c r="F6130">
        <v>6127</v>
      </c>
      <c r="G6130">
        <f ca="1">_xlfn.NORM.INV(RAND(),$M$7,$M$8)</f>
        <v>-3.221662095087046E-2</v>
      </c>
    </row>
    <row r="6131" spans="6:7" x14ac:dyDescent="0.25">
      <c r="F6131">
        <v>6128</v>
      </c>
      <c r="G6131">
        <f ca="1">_xlfn.NORM.INV(RAND(),$M$7,$M$8)</f>
        <v>9.0791034778537703E-3</v>
      </c>
    </row>
    <row r="6132" spans="6:7" x14ac:dyDescent="0.25">
      <c r="F6132">
        <v>6129</v>
      </c>
      <c r="G6132">
        <f ca="1">_xlfn.NORM.INV(RAND(),$M$7,$M$8)</f>
        <v>-5.2084751632114103E-3</v>
      </c>
    </row>
    <row r="6133" spans="6:7" x14ac:dyDescent="0.25">
      <c r="F6133">
        <v>6130</v>
      </c>
      <c r="G6133">
        <f ca="1">_xlfn.NORM.INV(RAND(),$M$7,$M$8)</f>
        <v>2.2108743608719814E-2</v>
      </c>
    </row>
    <row r="6134" spans="6:7" x14ac:dyDescent="0.25">
      <c r="F6134">
        <v>6131</v>
      </c>
      <c r="G6134">
        <f ca="1">_xlfn.NORM.INV(RAND(),$M$7,$M$8)</f>
        <v>-1.0686775118829464E-2</v>
      </c>
    </row>
    <row r="6135" spans="6:7" x14ac:dyDescent="0.25">
      <c r="F6135">
        <v>6132</v>
      </c>
      <c r="G6135">
        <f ca="1">_xlfn.NORM.INV(RAND(),$M$7,$M$8)</f>
        <v>1.4811337203267031E-2</v>
      </c>
    </row>
    <row r="6136" spans="6:7" x14ac:dyDescent="0.25">
      <c r="F6136">
        <v>6133</v>
      </c>
      <c r="G6136">
        <f ca="1">_xlfn.NORM.INV(RAND(),$M$7,$M$8)</f>
        <v>6.7630102726720029E-3</v>
      </c>
    </row>
    <row r="6137" spans="6:7" x14ac:dyDescent="0.25">
      <c r="F6137">
        <v>6134</v>
      </c>
      <c r="G6137">
        <f ca="1">_xlfn.NORM.INV(RAND(),$M$7,$M$8)</f>
        <v>-7.4385833408215137E-3</v>
      </c>
    </row>
    <row r="6138" spans="6:7" x14ac:dyDescent="0.25">
      <c r="F6138">
        <v>6135</v>
      </c>
      <c r="G6138">
        <f ca="1">_xlfn.NORM.INV(RAND(),$M$7,$M$8)</f>
        <v>-2.0145995932225227E-2</v>
      </c>
    </row>
    <row r="6139" spans="6:7" x14ac:dyDescent="0.25">
      <c r="F6139">
        <v>6136</v>
      </c>
      <c r="G6139">
        <f ca="1">_xlfn.NORM.INV(RAND(),$M$7,$M$8)</f>
        <v>-1.6915077926602046E-2</v>
      </c>
    </row>
    <row r="6140" spans="6:7" x14ac:dyDescent="0.25">
      <c r="F6140">
        <v>6137</v>
      </c>
      <c r="G6140">
        <f ca="1">_xlfn.NORM.INV(RAND(),$M$7,$M$8)</f>
        <v>2.7387611973777079E-2</v>
      </c>
    </row>
    <row r="6141" spans="6:7" x14ac:dyDescent="0.25">
      <c r="F6141">
        <v>6138</v>
      </c>
      <c r="G6141">
        <f ca="1">_xlfn.NORM.INV(RAND(),$M$7,$M$8)</f>
        <v>2.3729987436787326E-3</v>
      </c>
    </row>
    <row r="6142" spans="6:7" x14ac:dyDescent="0.25">
      <c r="F6142">
        <v>6139</v>
      </c>
      <c r="G6142">
        <f ca="1">_xlfn.NORM.INV(RAND(),$M$7,$M$8)</f>
        <v>4.7713421767017448E-2</v>
      </c>
    </row>
    <row r="6143" spans="6:7" x14ac:dyDescent="0.25">
      <c r="F6143">
        <v>6140</v>
      </c>
      <c r="G6143">
        <f ca="1">_xlfn.NORM.INV(RAND(),$M$7,$M$8)</f>
        <v>4.260115653060937E-3</v>
      </c>
    </row>
    <row r="6144" spans="6:7" x14ac:dyDescent="0.25">
      <c r="F6144">
        <v>6141</v>
      </c>
      <c r="G6144">
        <f ca="1">_xlfn.NORM.INV(RAND(),$M$7,$M$8)</f>
        <v>-8.7596968200496835E-3</v>
      </c>
    </row>
    <row r="6145" spans="6:7" x14ac:dyDescent="0.25">
      <c r="F6145">
        <v>6142</v>
      </c>
      <c r="G6145">
        <f ca="1">_xlfn.NORM.INV(RAND(),$M$7,$M$8)</f>
        <v>1.4467679473962214E-2</v>
      </c>
    </row>
    <row r="6146" spans="6:7" x14ac:dyDescent="0.25">
      <c r="F6146">
        <v>6143</v>
      </c>
      <c r="G6146">
        <f ca="1">_xlfn.NORM.INV(RAND(),$M$7,$M$8)</f>
        <v>-2.6063568826174055E-2</v>
      </c>
    </row>
    <row r="6147" spans="6:7" x14ac:dyDescent="0.25">
      <c r="F6147">
        <v>6144</v>
      </c>
      <c r="G6147">
        <f ca="1">_xlfn.NORM.INV(RAND(),$M$7,$M$8)</f>
        <v>-4.7743082025820827E-3</v>
      </c>
    </row>
    <row r="6148" spans="6:7" x14ac:dyDescent="0.25">
      <c r="F6148">
        <v>6145</v>
      </c>
      <c r="G6148">
        <f ca="1">_xlfn.NORM.INV(RAND(),$M$7,$M$8)</f>
        <v>-2.14345550506993E-2</v>
      </c>
    </row>
    <row r="6149" spans="6:7" x14ac:dyDescent="0.25">
      <c r="F6149">
        <v>6146</v>
      </c>
      <c r="G6149">
        <f ca="1">_xlfn.NORM.INV(RAND(),$M$7,$M$8)</f>
        <v>3.8410339086223218E-2</v>
      </c>
    </row>
    <row r="6150" spans="6:7" x14ac:dyDescent="0.25">
      <c r="F6150">
        <v>6147</v>
      </c>
      <c r="G6150">
        <f ca="1">_xlfn.NORM.INV(RAND(),$M$7,$M$8)</f>
        <v>6.670283305412689E-3</v>
      </c>
    </row>
    <row r="6151" spans="6:7" x14ac:dyDescent="0.25">
      <c r="F6151">
        <v>6148</v>
      </c>
      <c r="G6151">
        <f ca="1">_xlfn.NORM.INV(RAND(),$M$7,$M$8)</f>
        <v>6.2556846457331693E-3</v>
      </c>
    </row>
    <row r="6152" spans="6:7" x14ac:dyDescent="0.25">
      <c r="F6152">
        <v>6149</v>
      </c>
      <c r="G6152">
        <f ca="1">_xlfn.NORM.INV(RAND(),$M$7,$M$8)</f>
        <v>3.3467822613988334E-2</v>
      </c>
    </row>
    <row r="6153" spans="6:7" x14ac:dyDescent="0.25">
      <c r="F6153">
        <v>6150</v>
      </c>
      <c r="G6153">
        <f ca="1">_xlfn.NORM.INV(RAND(),$M$7,$M$8)</f>
        <v>1.2773284521279651E-2</v>
      </c>
    </row>
    <row r="6154" spans="6:7" x14ac:dyDescent="0.25">
      <c r="F6154">
        <v>6151</v>
      </c>
      <c r="G6154">
        <f ca="1">_xlfn.NORM.INV(RAND(),$M$7,$M$8)</f>
        <v>-3.3313238127264957E-2</v>
      </c>
    </row>
    <row r="6155" spans="6:7" x14ac:dyDescent="0.25">
      <c r="F6155">
        <v>6152</v>
      </c>
      <c r="G6155">
        <f ca="1">_xlfn.NORM.INV(RAND(),$M$7,$M$8)</f>
        <v>4.327527712922935E-2</v>
      </c>
    </row>
    <row r="6156" spans="6:7" x14ac:dyDescent="0.25">
      <c r="F6156">
        <v>6153</v>
      </c>
      <c r="G6156">
        <f ca="1">_xlfn.NORM.INV(RAND(),$M$7,$M$8)</f>
        <v>1.2420037760005314E-3</v>
      </c>
    </row>
    <row r="6157" spans="6:7" x14ac:dyDescent="0.25">
      <c r="F6157">
        <v>6154</v>
      </c>
      <c r="G6157">
        <f ca="1">_xlfn.NORM.INV(RAND(),$M$7,$M$8)</f>
        <v>3.4728011048575973E-2</v>
      </c>
    </row>
    <row r="6158" spans="6:7" x14ac:dyDescent="0.25">
      <c r="F6158">
        <v>6155</v>
      </c>
      <c r="G6158">
        <f ca="1">_xlfn.NORM.INV(RAND(),$M$7,$M$8)</f>
        <v>-5.7769325187119192E-3</v>
      </c>
    </row>
    <row r="6159" spans="6:7" x14ac:dyDescent="0.25">
      <c r="F6159">
        <v>6156</v>
      </c>
      <c r="G6159">
        <f ca="1">_xlfn.NORM.INV(RAND(),$M$7,$M$8)</f>
        <v>-2.630694232901358E-2</v>
      </c>
    </row>
    <row r="6160" spans="6:7" x14ac:dyDescent="0.25">
      <c r="F6160">
        <v>6157</v>
      </c>
      <c r="G6160">
        <f ca="1">_xlfn.NORM.INV(RAND(),$M$7,$M$8)</f>
        <v>-2.5296921687467451E-2</v>
      </c>
    </row>
    <row r="6161" spans="6:7" x14ac:dyDescent="0.25">
      <c r="F6161">
        <v>6158</v>
      </c>
      <c r="G6161">
        <f ca="1">_xlfn.NORM.INV(RAND(),$M$7,$M$8)</f>
        <v>2.7500043417564984E-2</v>
      </c>
    </row>
    <row r="6162" spans="6:7" x14ac:dyDescent="0.25">
      <c r="F6162">
        <v>6159</v>
      </c>
      <c r="G6162">
        <f ca="1">_xlfn.NORM.INV(RAND(),$M$7,$M$8)</f>
        <v>-2.2164428880121429E-3</v>
      </c>
    </row>
    <row r="6163" spans="6:7" x14ac:dyDescent="0.25">
      <c r="F6163">
        <v>6160</v>
      </c>
      <c r="G6163">
        <f ca="1">_xlfn.NORM.INV(RAND(),$M$7,$M$8)</f>
        <v>1.9826588790738685E-2</v>
      </c>
    </row>
    <row r="6164" spans="6:7" x14ac:dyDescent="0.25">
      <c r="F6164">
        <v>6161</v>
      </c>
      <c r="G6164">
        <f ca="1">_xlfn.NORM.INV(RAND(),$M$7,$M$8)</f>
        <v>-1.5344767263397306E-2</v>
      </c>
    </row>
    <row r="6165" spans="6:7" x14ac:dyDescent="0.25">
      <c r="F6165">
        <v>6162</v>
      </c>
      <c r="G6165">
        <f ca="1">_xlfn.NORM.INV(RAND(),$M$7,$M$8)</f>
        <v>4.9247218493393332E-3</v>
      </c>
    </row>
    <row r="6166" spans="6:7" x14ac:dyDescent="0.25">
      <c r="F6166">
        <v>6163</v>
      </c>
      <c r="G6166">
        <f ca="1">_xlfn.NORM.INV(RAND(),$M$7,$M$8)</f>
        <v>-3.3993523768362011E-2</v>
      </c>
    </row>
    <row r="6167" spans="6:7" x14ac:dyDescent="0.25">
      <c r="F6167">
        <v>6164</v>
      </c>
      <c r="G6167">
        <f ca="1">_xlfn.NORM.INV(RAND(),$M$7,$M$8)</f>
        <v>-3.5869539850566533E-2</v>
      </c>
    </row>
    <row r="6168" spans="6:7" x14ac:dyDescent="0.25">
      <c r="F6168">
        <v>6165</v>
      </c>
      <c r="G6168">
        <f ca="1">_xlfn.NORM.INV(RAND(),$M$7,$M$8)</f>
        <v>1.6657682104350178E-2</v>
      </c>
    </row>
    <row r="6169" spans="6:7" x14ac:dyDescent="0.25">
      <c r="F6169">
        <v>6166</v>
      </c>
      <c r="G6169">
        <f ca="1">_xlfn.NORM.INV(RAND(),$M$7,$M$8)</f>
        <v>1.0145834966419753E-2</v>
      </c>
    </row>
    <row r="6170" spans="6:7" x14ac:dyDescent="0.25">
      <c r="F6170">
        <v>6167</v>
      </c>
      <c r="G6170">
        <f ca="1">_xlfn.NORM.INV(RAND(),$M$7,$M$8)</f>
        <v>3.7813495376988637E-2</v>
      </c>
    </row>
    <row r="6171" spans="6:7" x14ac:dyDescent="0.25">
      <c r="F6171">
        <v>6168</v>
      </c>
      <c r="G6171">
        <f ca="1">_xlfn.NORM.INV(RAND(),$M$7,$M$8)</f>
        <v>4.240957078573207E-2</v>
      </c>
    </row>
    <row r="6172" spans="6:7" x14ac:dyDescent="0.25">
      <c r="F6172">
        <v>6169</v>
      </c>
      <c r="G6172">
        <f ca="1">_xlfn.NORM.INV(RAND(),$M$7,$M$8)</f>
        <v>-9.0091547233709119E-3</v>
      </c>
    </row>
    <row r="6173" spans="6:7" x14ac:dyDescent="0.25">
      <c r="F6173">
        <v>6170</v>
      </c>
      <c r="G6173">
        <f ca="1">_xlfn.NORM.INV(RAND(),$M$7,$M$8)</f>
        <v>2.5149171443946947E-2</v>
      </c>
    </row>
    <row r="6174" spans="6:7" x14ac:dyDescent="0.25">
      <c r="F6174">
        <v>6171</v>
      </c>
      <c r="G6174">
        <f ca="1">_xlfn.NORM.INV(RAND(),$M$7,$M$8)</f>
        <v>2.1938295828618035E-2</v>
      </c>
    </row>
    <row r="6175" spans="6:7" x14ac:dyDescent="0.25">
      <c r="F6175">
        <v>6172</v>
      </c>
      <c r="G6175">
        <f ca="1">_xlfn.NORM.INV(RAND(),$M$7,$M$8)</f>
        <v>1.0061808125085355E-3</v>
      </c>
    </row>
    <row r="6176" spans="6:7" x14ac:dyDescent="0.25">
      <c r="F6176">
        <v>6173</v>
      </c>
      <c r="G6176">
        <f ca="1">_xlfn.NORM.INV(RAND(),$M$7,$M$8)</f>
        <v>2.4144227623269121E-2</v>
      </c>
    </row>
    <row r="6177" spans="6:7" x14ac:dyDescent="0.25">
      <c r="F6177">
        <v>6174</v>
      </c>
      <c r="G6177">
        <f ca="1">_xlfn.NORM.INV(RAND(),$M$7,$M$8)</f>
        <v>-2.0504694681955319E-2</v>
      </c>
    </row>
    <row r="6178" spans="6:7" x14ac:dyDescent="0.25">
      <c r="F6178">
        <v>6175</v>
      </c>
      <c r="G6178">
        <f ca="1">_xlfn.NORM.INV(RAND(),$M$7,$M$8)</f>
        <v>1.1515622620663375E-3</v>
      </c>
    </row>
    <row r="6179" spans="6:7" x14ac:dyDescent="0.25">
      <c r="F6179">
        <v>6176</v>
      </c>
      <c r="G6179">
        <f ca="1">_xlfn.NORM.INV(RAND(),$M$7,$M$8)</f>
        <v>-1.6292148809781772E-2</v>
      </c>
    </row>
    <row r="6180" spans="6:7" x14ac:dyDescent="0.25">
      <c r="F6180">
        <v>6177</v>
      </c>
      <c r="G6180">
        <f ca="1">_xlfn.NORM.INV(RAND(),$M$7,$M$8)</f>
        <v>-1.5424295967535091E-2</v>
      </c>
    </row>
    <row r="6181" spans="6:7" x14ac:dyDescent="0.25">
      <c r="F6181">
        <v>6178</v>
      </c>
      <c r="G6181">
        <f ca="1">_xlfn.NORM.INV(RAND(),$M$7,$M$8)</f>
        <v>-5.9777897911012026E-3</v>
      </c>
    </row>
    <row r="6182" spans="6:7" x14ac:dyDescent="0.25">
      <c r="F6182">
        <v>6179</v>
      </c>
      <c r="G6182">
        <f ca="1">_xlfn.NORM.INV(RAND(),$M$7,$M$8)</f>
        <v>-5.6507757848294222E-3</v>
      </c>
    </row>
    <row r="6183" spans="6:7" x14ac:dyDescent="0.25">
      <c r="F6183">
        <v>6180</v>
      </c>
      <c r="G6183">
        <f ca="1">_xlfn.NORM.INV(RAND(),$M$7,$M$8)</f>
        <v>-1.2831727546094004E-2</v>
      </c>
    </row>
    <row r="6184" spans="6:7" x14ac:dyDescent="0.25">
      <c r="F6184">
        <v>6181</v>
      </c>
      <c r="G6184">
        <f ca="1">_xlfn.NORM.INV(RAND(),$M$7,$M$8)</f>
        <v>2.2301320203878396E-2</v>
      </c>
    </row>
    <row r="6185" spans="6:7" x14ac:dyDescent="0.25">
      <c r="F6185">
        <v>6182</v>
      </c>
      <c r="G6185">
        <f ca="1">_xlfn.NORM.INV(RAND(),$M$7,$M$8)</f>
        <v>3.7957018979844895E-2</v>
      </c>
    </row>
    <row r="6186" spans="6:7" x14ac:dyDescent="0.25">
      <c r="F6186">
        <v>6183</v>
      </c>
      <c r="G6186">
        <f ca="1">_xlfn.NORM.INV(RAND(),$M$7,$M$8)</f>
        <v>2.7393369534053989E-2</v>
      </c>
    </row>
    <row r="6187" spans="6:7" x14ac:dyDescent="0.25">
      <c r="F6187">
        <v>6184</v>
      </c>
      <c r="G6187">
        <f ca="1">_xlfn.NORM.INV(RAND(),$M$7,$M$8)</f>
        <v>-2.0671974700362472E-2</v>
      </c>
    </row>
    <row r="6188" spans="6:7" x14ac:dyDescent="0.25">
      <c r="F6188">
        <v>6185</v>
      </c>
      <c r="G6188">
        <f ca="1">_xlfn.NORM.INV(RAND(),$M$7,$M$8)</f>
        <v>1.5062466733059506E-2</v>
      </c>
    </row>
    <row r="6189" spans="6:7" x14ac:dyDescent="0.25">
      <c r="F6189">
        <v>6186</v>
      </c>
      <c r="G6189">
        <f ca="1">_xlfn.NORM.INV(RAND(),$M$7,$M$8)</f>
        <v>-8.5228749570036549E-3</v>
      </c>
    </row>
    <row r="6190" spans="6:7" x14ac:dyDescent="0.25">
      <c r="F6190">
        <v>6187</v>
      </c>
      <c r="G6190">
        <f ca="1">_xlfn.NORM.INV(RAND(),$M$7,$M$8)</f>
        <v>-6.4705333467161355E-3</v>
      </c>
    </row>
    <row r="6191" spans="6:7" x14ac:dyDescent="0.25">
      <c r="F6191">
        <v>6188</v>
      </c>
      <c r="G6191">
        <f ca="1">_xlfn.NORM.INV(RAND(),$M$7,$M$8)</f>
        <v>1.4480976500244231E-2</v>
      </c>
    </row>
    <row r="6192" spans="6:7" x14ac:dyDescent="0.25">
      <c r="F6192">
        <v>6189</v>
      </c>
      <c r="G6192">
        <f ca="1">_xlfn.NORM.INV(RAND(),$M$7,$M$8)</f>
        <v>7.4623834396926172E-2</v>
      </c>
    </row>
    <row r="6193" spans="6:7" x14ac:dyDescent="0.25">
      <c r="F6193">
        <v>6190</v>
      </c>
      <c r="G6193">
        <f ca="1">_xlfn.NORM.INV(RAND(),$M$7,$M$8)</f>
        <v>7.6167668250879283E-2</v>
      </c>
    </row>
    <row r="6194" spans="6:7" x14ac:dyDescent="0.25">
      <c r="F6194">
        <v>6191</v>
      </c>
      <c r="G6194">
        <f ca="1">_xlfn.NORM.INV(RAND(),$M$7,$M$8)</f>
        <v>7.4518916952108737E-3</v>
      </c>
    </row>
    <row r="6195" spans="6:7" x14ac:dyDescent="0.25">
      <c r="F6195">
        <v>6192</v>
      </c>
      <c r="G6195">
        <f ca="1">_xlfn.NORM.INV(RAND(),$M$7,$M$8)</f>
        <v>1.2838826053820864E-2</v>
      </c>
    </row>
    <row r="6196" spans="6:7" x14ac:dyDescent="0.25">
      <c r="F6196">
        <v>6193</v>
      </c>
      <c r="G6196">
        <f ca="1">_xlfn.NORM.INV(RAND(),$M$7,$M$8)</f>
        <v>5.197088567291527E-4</v>
      </c>
    </row>
    <row r="6197" spans="6:7" x14ac:dyDescent="0.25">
      <c r="F6197">
        <v>6194</v>
      </c>
      <c r="G6197">
        <f ca="1">_xlfn.NORM.INV(RAND(),$M$7,$M$8)</f>
        <v>-5.3877964051650875E-3</v>
      </c>
    </row>
    <row r="6198" spans="6:7" x14ac:dyDescent="0.25">
      <c r="F6198">
        <v>6195</v>
      </c>
      <c r="G6198">
        <f ca="1">_xlfn.NORM.INV(RAND(),$M$7,$M$8)</f>
        <v>-3.2789913078885451E-2</v>
      </c>
    </row>
    <row r="6199" spans="6:7" x14ac:dyDescent="0.25">
      <c r="F6199">
        <v>6196</v>
      </c>
      <c r="G6199">
        <f ca="1">_xlfn.NORM.INV(RAND(),$M$7,$M$8)</f>
        <v>-1.2641036442015132E-2</v>
      </c>
    </row>
    <row r="6200" spans="6:7" x14ac:dyDescent="0.25">
      <c r="F6200">
        <v>6197</v>
      </c>
      <c r="G6200">
        <f ca="1">_xlfn.NORM.INV(RAND(),$M$7,$M$8)</f>
        <v>1.7323768371448205E-2</v>
      </c>
    </row>
    <row r="6201" spans="6:7" x14ac:dyDescent="0.25">
      <c r="F6201">
        <v>6198</v>
      </c>
      <c r="G6201">
        <f ca="1">_xlfn.NORM.INV(RAND(),$M$7,$M$8)</f>
        <v>9.4145272423585748E-3</v>
      </c>
    </row>
    <row r="6202" spans="6:7" x14ac:dyDescent="0.25">
      <c r="F6202">
        <v>6199</v>
      </c>
      <c r="G6202">
        <f ca="1">_xlfn.NORM.INV(RAND(),$M$7,$M$8)</f>
        <v>-3.2016214718011242E-2</v>
      </c>
    </row>
    <row r="6203" spans="6:7" x14ac:dyDescent="0.25">
      <c r="F6203">
        <v>6200</v>
      </c>
      <c r="G6203">
        <f ca="1">_xlfn.NORM.INV(RAND(),$M$7,$M$8)</f>
        <v>2.920711781189211E-2</v>
      </c>
    </row>
    <row r="6204" spans="6:7" x14ac:dyDescent="0.25">
      <c r="F6204">
        <v>6201</v>
      </c>
      <c r="G6204">
        <f ca="1">_xlfn.NORM.INV(RAND(),$M$7,$M$8)</f>
        <v>1.2180001543392513E-2</v>
      </c>
    </row>
    <row r="6205" spans="6:7" x14ac:dyDescent="0.25">
      <c r="F6205">
        <v>6202</v>
      </c>
      <c r="G6205">
        <f ca="1">_xlfn.NORM.INV(RAND(),$M$7,$M$8)</f>
        <v>1.810541005563308E-2</v>
      </c>
    </row>
    <row r="6206" spans="6:7" x14ac:dyDescent="0.25">
      <c r="F6206">
        <v>6203</v>
      </c>
      <c r="G6206">
        <f ca="1">_xlfn.NORM.INV(RAND(),$M$7,$M$8)</f>
        <v>-9.460572852951479E-3</v>
      </c>
    </row>
    <row r="6207" spans="6:7" x14ac:dyDescent="0.25">
      <c r="F6207">
        <v>6204</v>
      </c>
      <c r="G6207">
        <f ca="1">_xlfn.NORM.INV(RAND(),$M$7,$M$8)</f>
        <v>-5.5616182370238749E-2</v>
      </c>
    </row>
    <row r="6208" spans="6:7" x14ac:dyDescent="0.25">
      <c r="F6208">
        <v>6205</v>
      </c>
      <c r="G6208">
        <f ca="1">_xlfn.NORM.INV(RAND(),$M$7,$M$8)</f>
        <v>-1.2973218755023145E-2</v>
      </c>
    </row>
    <row r="6209" spans="6:7" x14ac:dyDescent="0.25">
      <c r="F6209">
        <v>6206</v>
      </c>
      <c r="G6209">
        <f ca="1">_xlfn.NORM.INV(RAND(),$M$7,$M$8)</f>
        <v>-2.9806283867096542E-3</v>
      </c>
    </row>
    <row r="6210" spans="6:7" x14ac:dyDescent="0.25">
      <c r="F6210">
        <v>6207</v>
      </c>
      <c r="G6210">
        <f ca="1">_xlfn.NORM.INV(RAND(),$M$7,$M$8)</f>
        <v>-1.5283361978618848E-3</v>
      </c>
    </row>
    <row r="6211" spans="6:7" x14ac:dyDescent="0.25">
      <c r="F6211">
        <v>6208</v>
      </c>
      <c r="G6211">
        <f ca="1">_xlfn.NORM.INV(RAND(),$M$7,$M$8)</f>
        <v>3.0122109245204042E-2</v>
      </c>
    </row>
    <row r="6212" spans="6:7" x14ac:dyDescent="0.25">
      <c r="F6212">
        <v>6209</v>
      </c>
      <c r="G6212">
        <f ca="1">_xlfn.NORM.INV(RAND(),$M$7,$M$8)</f>
        <v>4.3959795137345832E-2</v>
      </c>
    </row>
    <row r="6213" spans="6:7" x14ac:dyDescent="0.25">
      <c r="F6213">
        <v>6210</v>
      </c>
      <c r="G6213">
        <f ca="1">_xlfn.NORM.INV(RAND(),$M$7,$M$8)</f>
        <v>-7.1153118722592675E-3</v>
      </c>
    </row>
    <row r="6214" spans="6:7" x14ac:dyDescent="0.25">
      <c r="F6214">
        <v>6211</v>
      </c>
      <c r="G6214">
        <f ca="1">_xlfn.NORM.INV(RAND(),$M$7,$M$8)</f>
        <v>-2.2332071789418935E-5</v>
      </c>
    </row>
    <row r="6215" spans="6:7" x14ac:dyDescent="0.25">
      <c r="F6215">
        <v>6212</v>
      </c>
      <c r="G6215">
        <f ca="1">_xlfn.NORM.INV(RAND(),$M$7,$M$8)</f>
        <v>1.9816972265133636E-2</v>
      </c>
    </row>
    <row r="6216" spans="6:7" x14ac:dyDescent="0.25">
      <c r="F6216">
        <v>6213</v>
      </c>
      <c r="G6216">
        <f ca="1">_xlfn.NORM.INV(RAND(),$M$7,$M$8)</f>
        <v>1.3409820843173622E-2</v>
      </c>
    </row>
    <row r="6217" spans="6:7" x14ac:dyDescent="0.25">
      <c r="F6217">
        <v>6214</v>
      </c>
      <c r="G6217">
        <f ca="1">_xlfn.NORM.INV(RAND(),$M$7,$M$8)</f>
        <v>-1.6736312309513932E-2</v>
      </c>
    </row>
    <row r="6218" spans="6:7" x14ac:dyDescent="0.25">
      <c r="F6218">
        <v>6215</v>
      </c>
      <c r="G6218">
        <f ca="1">_xlfn.NORM.INV(RAND(),$M$7,$M$8)</f>
        <v>-1.8084997139022799E-2</v>
      </c>
    </row>
    <row r="6219" spans="6:7" x14ac:dyDescent="0.25">
      <c r="F6219">
        <v>6216</v>
      </c>
      <c r="G6219">
        <f ca="1">_xlfn.NORM.INV(RAND(),$M$7,$M$8)</f>
        <v>-5.2097034253667268E-2</v>
      </c>
    </row>
    <row r="6220" spans="6:7" x14ac:dyDescent="0.25">
      <c r="F6220">
        <v>6217</v>
      </c>
      <c r="G6220">
        <f ca="1">_xlfn.NORM.INV(RAND(),$M$7,$M$8)</f>
        <v>2.5521192043457732E-2</v>
      </c>
    </row>
    <row r="6221" spans="6:7" x14ac:dyDescent="0.25">
      <c r="F6221">
        <v>6218</v>
      </c>
      <c r="G6221">
        <f ca="1">_xlfn.NORM.INV(RAND(),$M$7,$M$8)</f>
        <v>-3.3208842557460788E-2</v>
      </c>
    </row>
    <row r="6222" spans="6:7" x14ac:dyDescent="0.25">
      <c r="F6222">
        <v>6219</v>
      </c>
      <c r="G6222">
        <f ca="1">_xlfn.NORM.INV(RAND(),$M$7,$M$8)</f>
        <v>1.3143650938076843E-2</v>
      </c>
    </row>
    <row r="6223" spans="6:7" x14ac:dyDescent="0.25">
      <c r="F6223">
        <v>6220</v>
      </c>
      <c r="G6223">
        <f ca="1">_xlfn.NORM.INV(RAND(),$M$7,$M$8)</f>
        <v>-3.5220396845062484E-3</v>
      </c>
    </row>
    <row r="6224" spans="6:7" x14ac:dyDescent="0.25">
      <c r="F6224">
        <v>6221</v>
      </c>
      <c r="G6224">
        <f ca="1">_xlfn.NORM.INV(RAND(),$M$7,$M$8)</f>
        <v>-1.6646907233900204E-2</v>
      </c>
    </row>
    <row r="6225" spans="6:7" x14ac:dyDescent="0.25">
      <c r="F6225">
        <v>6222</v>
      </c>
      <c r="G6225">
        <f ca="1">_xlfn.NORM.INV(RAND(),$M$7,$M$8)</f>
        <v>-5.8469065762385159E-3</v>
      </c>
    </row>
    <row r="6226" spans="6:7" x14ac:dyDescent="0.25">
      <c r="F6226">
        <v>6223</v>
      </c>
      <c r="G6226">
        <f ca="1">_xlfn.NORM.INV(RAND(),$M$7,$M$8)</f>
        <v>3.2880360918952673E-3</v>
      </c>
    </row>
    <row r="6227" spans="6:7" x14ac:dyDescent="0.25">
      <c r="F6227">
        <v>6224</v>
      </c>
      <c r="G6227">
        <f ca="1">_xlfn.NORM.INV(RAND(),$M$7,$M$8)</f>
        <v>3.211541943835089E-2</v>
      </c>
    </row>
    <row r="6228" spans="6:7" x14ac:dyDescent="0.25">
      <c r="F6228">
        <v>6225</v>
      </c>
      <c r="G6228">
        <f ca="1">_xlfn.NORM.INV(RAND(),$M$7,$M$8)</f>
        <v>1.2398697766870552E-2</v>
      </c>
    </row>
    <row r="6229" spans="6:7" x14ac:dyDescent="0.25">
      <c r="F6229">
        <v>6226</v>
      </c>
      <c r="G6229">
        <f ca="1">_xlfn.NORM.INV(RAND(),$M$7,$M$8)</f>
        <v>-1.6748796665185285E-2</v>
      </c>
    </row>
    <row r="6230" spans="6:7" x14ac:dyDescent="0.25">
      <c r="F6230">
        <v>6227</v>
      </c>
      <c r="G6230">
        <f ca="1">_xlfn.NORM.INV(RAND(),$M$7,$M$8)</f>
        <v>2.5189316238378397E-2</v>
      </c>
    </row>
    <row r="6231" spans="6:7" x14ac:dyDescent="0.25">
      <c r="F6231">
        <v>6228</v>
      </c>
      <c r="G6231">
        <f ca="1">_xlfn.NORM.INV(RAND(),$M$7,$M$8)</f>
        <v>5.4732827909914857E-2</v>
      </c>
    </row>
    <row r="6232" spans="6:7" x14ac:dyDescent="0.25">
      <c r="F6232">
        <v>6229</v>
      </c>
      <c r="G6232">
        <f ca="1">_xlfn.NORM.INV(RAND(),$M$7,$M$8)</f>
        <v>1.4661085265676521E-2</v>
      </c>
    </row>
    <row r="6233" spans="6:7" x14ac:dyDescent="0.25">
      <c r="F6233">
        <v>6230</v>
      </c>
      <c r="G6233">
        <f ca="1">_xlfn.NORM.INV(RAND(),$M$7,$M$8)</f>
        <v>4.2469550813391387E-3</v>
      </c>
    </row>
    <row r="6234" spans="6:7" x14ac:dyDescent="0.25">
      <c r="F6234">
        <v>6231</v>
      </c>
      <c r="G6234">
        <f ca="1">_xlfn.NORM.INV(RAND(),$M$7,$M$8)</f>
        <v>-9.9850582833963166E-3</v>
      </c>
    </row>
    <row r="6235" spans="6:7" x14ac:dyDescent="0.25">
      <c r="F6235">
        <v>6232</v>
      </c>
      <c r="G6235">
        <f ca="1">_xlfn.NORM.INV(RAND(),$M$7,$M$8)</f>
        <v>2.8915667309552845E-3</v>
      </c>
    </row>
    <row r="6236" spans="6:7" x14ac:dyDescent="0.25">
      <c r="F6236">
        <v>6233</v>
      </c>
      <c r="G6236">
        <f ca="1">_xlfn.NORM.INV(RAND(),$M$7,$M$8)</f>
        <v>-6.4933138556738119E-3</v>
      </c>
    </row>
    <row r="6237" spans="6:7" x14ac:dyDescent="0.25">
      <c r="F6237">
        <v>6234</v>
      </c>
      <c r="G6237">
        <f ca="1">_xlfn.NORM.INV(RAND(),$M$7,$M$8)</f>
        <v>-1.9166504548008615E-2</v>
      </c>
    </row>
    <row r="6238" spans="6:7" x14ac:dyDescent="0.25">
      <c r="F6238">
        <v>6235</v>
      </c>
      <c r="G6238">
        <f ca="1">_xlfn.NORM.INV(RAND(),$M$7,$M$8)</f>
        <v>-6.9805701954345177E-3</v>
      </c>
    </row>
    <row r="6239" spans="6:7" x14ac:dyDescent="0.25">
      <c r="F6239">
        <v>6236</v>
      </c>
      <c r="G6239">
        <f ca="1">_xlfn.NORM.INV(RAND(),$M$7,$M$8)</f>
        <v>-4.5150522303021315E-2</v>
      </c>
    </row>
    <row r="6240" spans="6:7" x14ac:dyDescent="0.25">
      <c r="F6240">
        <v>6237</v>
      </c>
      <c r="G6240">
        <f ca="1">_xlfn.NORM.INV(RAND(),$M$7,$M$8)</f>
        <v>-1.1129144205198165E-3</v>
      </c>
    </row>
    <row r="6241" spans="6:7" x14ac:dyDescent="0.25">
      <c r="F6241">
        <v>6238</v>
      </c>
      <c r="G6241">
        <f ca="1">_xlfn.NORM.INV(RAND(),$M$7,$M$8)</f>
        <v>-2.5375592063210596E-3</v>
      </c>
    </row>
    <row r="6242" spans="6:7" x14ac:dyDescent="0.25">
      <c r="F6242">
        <v>6239</v>
      </c>
      <c r="G6242">
        <f ca="1">_xlfn.NORM.INV(RAND(),$M$7,$M$8)</f>
        <v>-7.1414101465615373E-2</v>
      </c>
    </row>
    <row r="6243" spans="6:7" x14ac:dyDescent="0.25">
      <c r="F6243">
        <v>6240</v>
      </c>
      <c r="G6243">
        <f ca="1">_xlfn.NORM.INV(RAND(),$M$7,$M$8)</f>
        <v>2.2540617718374425E-2</v>
      </c>
    </row>
    <row r="6244" spans="6:7" x14ac:dyDescent="0.25">
      <c r="F6244">
        <v>6241</v>
      </c>
      <c r="G6244">
        <f ca="1">_xlfn.NORM.INV(RAND(),$M$7,$M$8)</f>
        <v>4.406943273122816E-2</v>
      </c>
    </row>
    <row r="6245" spans="6:7" x14ac:dyDescent="0.25">
      <c r="F6245">
        <v>6242</v>
      </c>
      <c r="G6245">
        <f ca="1">_xlfn.NORM.INV(RAND(),$M$7,$M$8)</f>
        <v>4.8768102669663145E-2</v>
      </c>
    </row>
    <row r="6246" spans="6:7" x14ac:dyDescent="0.25">
      <c r="F6246">
        <v>6243</v>
      </c>
      <c r="G6246">
        <f ca="1">_xlfn.NORM.INV(RAND(),$M$7,$M$8)</f>
        <v>5.8042637312669502E-3</v>
      </c>
    </row>
    <row r="6247" spans="6:7" x14ac:dyDescent="0.25">
      <c r="F6247">
        <v>6244</v>
      </c>
      <c r="G6247">
        <f ca="1">_xlfn.NORM.INV(RAND(),$M$7,$M$8)</f>
        <v>1.9413233731275136E-2</v>
      </c>
    </row>
    <row r="6248" spans="6:7" x14ac:dyDescent="0.25">
      <c r="F6248">
        <v>6245</v>
      </c>
      <c r="G6248">
        <f ca="1">_xlfn.NORM.INV(RAND(),$M$7,$M$8)</f>
        <v>7.247175189595308E-3</v>
      </c>
    </row>
    <row r="6249" spans="6:7" x14ac:dyDescent="0.25">
      <c r="F6249">
        <v>6246</v>
      </c>
      <c r="G6249">
        <f ca="1">_xlfn.NORM.INV(RAND(),$M$7,$M$8)</f>
        <v>-1.3232299739546807E-2</v>
      </c>
    </row>
    <row r="6250" spans="6:7" x14ac:dyDescent="0.25">
      <c r="F6250">
        <v>6247</v>
      </c>
      <c r="G6250">
        <f ca="1">_xlfn.NORM.INV(RAND(),$M$7,$M$8)</f>
        <v>2.3603405110741379E-2</v>
      </c>
    </row>
    <row r="6251" spans="6:7" x14ac:dyDescent="0.25">
      <c r="F6251">
        <v>6248</v>
      </c>
      <c r="G6251">
        <f ca="1">_xlfn.NORM.INV(RAND(),$M$7,$M$8)</f>
        <v>-1.5247705406701926E-2</v>
      </c>
    </row>
    <row r="6252" spans="6:7" x14ac:dyDescent="0.25">
      <c r="F6252">
        <v>6249</v>
      </c>
      <c r="G6252">
        <f ca="1">_xlfn.NORM.INV(RAND(),$M$7,$M$8)</f>
        <v>5.5544100319356013E-2</v>
      </c>
    </row>
    <row r="6253" spans="6:7" x14ac:dyDescent="0.25">
      <c r="F6253">
        <v>6250</v>
      </c>
      <c r="G6253">
        <f ca="1">_xlfn.NORM.INV(RAND(),$M$7,$M$8)</f>
        <v>-2.1085515215697976E-2</v>
      </c>
    </row>
    <row r="6254" spans="6:7" x14ac:dyDescent="0.25">
      <c r="F6254">
        <v>6251</v>
      </c>
      <c r="G6254">
        <f ca="1">_xlfn.NORM.INV(RAND(),$M$7,$M$8)</f>
        <v>1.1891107713846482E-2</v>
      </c>
    </row>
    <row r="6255" spans="6:7" x14ac:dyDescent="0.25">
      <c r="F6255">
        <v>6252</v>
      </c>
      <c r="G6255">
        <f ca="1">_xlfn.NORM.INV(RAND(),$M$7,$M$8)</f>
        <v>1.8334370175444401E-2</v>
      </c>
    </row>
    <row r="6256" spans="6:7" x14ac:dyDescent="0.25">
      <c r="F6256">
        <v>6253</v>
      </c>
      <c r="G6256">
        <f ca="1">_xlfn.NORM.INV(RAND(),$M$7,$M$8)</f>
        <v>-7.3412643486578597E-3</v>
      </c>
    </row>
    <row r="6257" spans="6:7" x14ac:dyDescent="0.25">
      <c r="F6257">
        <v>6254</v>
      </c>
      <c r="G6257">
        <f ca="1">_xlfn.NORM.INV(RAND(),$M$7,$M$8)</f>
        <v>3.1585547995592142E-2</v>
      </c>
    </row>
    <row r="6258" spans="6:7" x14ac:dyDescent="0.25">
      <c r="F6258">
        <v>6255</v>
      </c>
      <c r="G6258">
        <f ca="1">_xlfn.NORM.INV(RAND(),$M$7,$M$8)</f>
        <v>8.3932020359450583E-3</v>
      </c>
    </row>
    <row r="6259" spans="6:7" x14ac:dyDescent="0.25">
      <c r="F6259">
        <v>6256</v>
      </c>
      <c r="G6259">
        <f ca="1">_xlfn.NORM.INV(RAND(),$M$7,$M$8)</f>
        <v>-1.9249479959478382E-2</v>
      </c>
    </row>
    <row r="6260" spans="6:7" x14ac:dyDescent="0.25">
      <c r="F6260">
        <v>6257</v>
      </c>
      <c r="G6260">
        <f ca="1">_xlfn.NORM.INV(RAND(),$M$7,$M$8)</f>
        <v>3.0880826017098045E-2</v>
      </c>
    </row>
    <row r="6261" spans="6:7" x14ac:dyDescent="0.25">
      <c r="F6261">
        <v>6258</v>
      </c>
      <c r="G6261">
        <f ca="1">_xlfn.NORM.INV(RAND(),$M$7,$M$8)</f>
        <v>3.4846771167272014E-2</v>
      </c>
    </row>
    <row r="6262" spans="6:7" x14ac:dyDescent="0.25">
      <c r="F6262">
        <v>6259</v>
      </c>
      <c r="G6262">
        <f ca="1">_xlfn.NORM.INV(RAND(),$M$7,$M$8)</f>
        <v>1.2304719714319384E-2</v>
      </c>
    </row>
    <row r="6263" spans="6:7" x14ac:dyDescent="0.25">
      <c r="F6263">
        <v>6260</v>
      </c>
      <c r="G6263">
        <f ca="1">_xlfn.NORM.INV(RAND(),$M$7,$M$8)</f>
        <v>-5.3453568137765972E-3</v>
      </c>
    </row>
    <row r="6264" spans="6:7" x14ac:dyDescent="0.25">
      <c r="F6264">
        <v>6261</v>
      </c>
      <c r="G6264">
        <f ca="1">_xlfn.NORM.INV(RAND(),$M$7,$M$8)</f>
        <v>-4.9277780529074347E-2</v>
      </c>
    </row>
    <row r="6265" spans="6:7" x14ac:dyDescent="0.25">
      <c r="F6265">
        <v>6262</v>
      </c>
      <c r="G6265">
        <f ca="1">_xlfn.NORM.INV(RAND(),$M$7,$M$8)</f>
        <v>2.8480476228108714E-2</v>
      </c>
    </row>
    <row r="6266" spans="6:7" x14ac:dyDescent="0.25">
      <c r="F6266">
        <v>6263</v>
      </c>
      <c r="G6266">
        <f ca="1">_xlfn.NORM.INV(RAND(),$M$7,$M$8)</f>
        <v>-1.0875810290145876E-2</v>
      </c>
    </row>
    <row r="6267" spans="6:7" x14ac:dyDescent="0.25">
      <c r="F6267">
        <v>6264</v>
      </c>
      <c r="G6267">
        <f ca="1">_xlfn.NORM.INV(RAND(),$M$7,$M$8)</f>
        <v>-2.2050749197954963E-2</v>
      </c>
    </row>
    <row r="6268" spans="6:7" x14ac:dyDescent="0.25">
      <c r="F6268">
        <v>6265</v>
      </c>
      <c r="G6268">
        <f ca="1">_xlfn.NORM.INV(RAND(),$M$7,$M$8)</f>
        <v>-1.2820684752048121E-2</v>
      </c>
    </row>
    <row r="6269" spans="6:7" x14ac:dyDescent="0.25">
      <c r="F6269">
        <v>6266</v>
      </c>
      <c r="G6269">
        <f ca="1">_xlfn.NORM.INV(RAND(),$M$7,$M$8)</f>
        <v>-1.8461357068048141E-2</v>
      </c>
    </row>
    <row r="6270" spans="6:7" x14ac:dyDescent="0.25">
      <c r="F6270">
        <v>6267</v>
      </c>
      <c r="G6270">
        <f ca="1">_xlfn.NORM.INV(RAND(),$M$7,$M$8)</f>
        <v>-2.317165526414839E-2</v>
      </c>
    </row>
    <row r="6271" spans="6:7" x14ac:dyDescent="0.25">
      <c r="F6271">
        <v>6268</v>
      </c>
      <c r="G6271">
        <f ca="1">_xlfn.NORM.INV(RAND(),$M$7,$M$8)</f>
        <v>6.0847132626371122E-4</v>
      </c>
    </row>
    <row r="6272" spans="6:7" x14ac:dyDescent="0.25">
      <c r="F6272">
        <v>6269</v>
      </c>
      <c r="G6272">
        <f ca="1">_xlfn.NORM.INV(RAND(),$M$7,$M$8)</f>
        <v>-9.9576556396046307E-3</v>
      </c>
    </row>
    <row r="6273" spans="6:7" x14ac:dyDescent="0.25">
      <c r="F6273">
        <v>6270</v>
      </c>
      <c r="G6273">
        <f ca="1">_xlfn.NORM.INV(RAND(),$M$7,$M$8)</f>
        <v>-1.9963337583265697E-2</v>
      </c>
    </row>
    <row r="6274" spans="6:7" x14ac:dyDescent="0.25">
      <c r="F6274">
        <v>6271</v>
      </c>
      <c r="G6274">
        <f ca="1">_xlfn.NORM.INV(RAND(),$M$7,$M$8)</f>
        <v>-1.7581938976117321E-2</v>
      </c>
    </row>
    <row r="6275" spans="6:7" x14ac:dyDescent="0.25">
      <c r="F6275">
        <v>6272</v>
      </c>
      <c r="G6275">
        <f ca="1">_xlfn.NORM.INV(RAND(),$M$7,$M$8)</f>
        <v>1.55265483806361E-2</v>
      </c>
    </row>
    <row r="6276" spans="6:7" x14ac:dyDescent="0.25">
      <c r="F6276">
        <v>6273</v>
      </c>
      <c r="G6276">
        <f ca="1">_xlfn.NORM.INV(RAND(),$M$7,$M$8)</f>
        <v>-6.7059506867082133E-3</v>
      </c>
    </row>
    <row r="6277" spans="6:7" x14ac:dyDescent="0.25">
      <c r="F6277">
        <v>6274</v>
      </c>
      <c r="G6277">
        <f ca="1">_xlfn.NORM.INV(RAND(),$M$7,$M$8)</f>
        <v>-2.7849240607412697E-2</v>
      </c>
    </row>
    <row r="6278" spans="6:7" x14ac:dyDescent="0.25">
      <c r="F6278">
        <v>6275</v>
      </c>
      <c r="G6278">
        <f ca="1">_xlfn.NORM.INV(RAND(),$M$7,$M$8)</f>
        <v>2.9186789908343964E-2</v>
      </c>
    </row>
    <row r="6279" spans="6:7" x14ac:dyDescent="0.25">
      <c r="F6279">
        <v>6276</v>
      </c>
      <c r="G6279">
        <f ca="1">_xlfn.NORM.INV(RAND(),$M$7,$M$8)</f>
        <v>-9.366369209095126E-3</v>
      </c>
    </row>
    <row r="6280" spans="6:7" x14ac:dyDescent="0.25">
      <c r="F6280">
        <v>6277</v>
      </c>
      <c r="G6280">
        <f ca="1">_xlfn.NORM.INV(RAND(),$M$7,$M$8)</f>
        <v>6.5921814213278935E-3</v>
      </c>
    </row>
    <row r="6281" spans="6:7" x14ac:dyDescent="0.25">
      <c r="F6281">
        <v>6278</v>
      </c>
      <c r="G6281">
        <f ca="1">_xlfn.NORM.INV(RAND(),$M$7,$M$8)</f>
        <v>3.6438323362439601E-2</v>
      </c>
    </row>
    <row r="6282" spans="6:7" x14ac:dyDescent="0.25">
      <c r="F6282">
        <v>6279</v>
      </c>
      <c r="G6282">
        <f ca="1">_xlfn.NORM.INV(RAND(),$M$7,$M$8)</f>
        <v>-2.8593417881526081E-2</v>
      </c>
    </row>
    <row r="6283" spans="6:7" x14ac:dyDescent="0.25">
      <c r="F6283">
        <v>6280</v>
      </c>
      <c r="G6283">
        <f ca="1">_xlfn.NORM.INV(RAND(),$M$7,$M$8)</f>
        <v>2.297935339391342E-2</v>
      </c>
    </row>
    <row r="6284" spans="6:7" x14ac:dyDescent="0.25">
      <c r="F6284">
        <v>6281</v>
      </c>
      <c r="G6284">
        <f ca="1">_xlfn.NORM.INV(RAND(),$M$7,$M$8)</f>
        <v>2.516370886836667E-3</v>
      </c>
    </row>
    <row r="6285" spans="6:7" x14ac:dyDescent="0.25">
      <c r="F6285">
        <v>6282</v>
      </c>
      <c r="G6285">
        <f ca="1">_xlfn.NORM.INV(RAND(),$M$7,$M$8)</f>
        <v>5.8915128717440424E-2</v>
      </c>
    </row>
    <row r="6286" spans="6:7" x14ac:dyDescent="0.25">
      <c r="F6286">
        <v>6283</v>
      </c>
      <c r="G6286">
        <f ca="1">_xlfn.NORM.INV(RAND(),$M$7,$M$8)</f>
        <v>-7.0577475820109443E-3</v>
      </c>
    </row>
    <row r="6287" spans="6:7" x14ac:dyDescent="0.25">
      <c r="F6287">
        <v>6284</v>
      </c>
      <c r="G6287">
        <f ca="1">_xlfn.NORM.INV(RAND(),$M$7,$M$8)</f>
        <v>1.2694953872985994E-2</v>
      </c>
    </row>
    <row r="6288" spans="6:7" x14ac:dyDescent="0.25">
      <c r="F6288">
        <v>6285</v>
      </c>
      <c r="G6288">
        <f ca="1">_xlfn.NORM.INV(RAND(),$M$7,$M$8)</f>
        <v>7.6829590778393839E-3</v>
      </c>
    </row>
    <row r="6289" spans="6:7" x14ac:dyDescent="0.25">
      <c r="F6289">
        <v>6286</v>
      </c>
      <c r="G6289">
        <f ca="1">_xlfn.NORM.INV(RAND(),$M$7,$M$8)</f>
        <v>-1.0456245647921501E-2</v>
      </c>
    </row>
    <row r="6290" spans="6:7" x14ac:dyDescent="0.25">
      <c r="F6290">
        <v>6287</v>
      </c>
      <c r="G6290">
        <f ca="1">_xlfn.NORM.INV(RAND(),$M$7,$M$8)</f>
        <v>4.3477384082403446E-2</v>
      </c>
    </row>
    <row r="6291" spans="6:7" x14ac:dyDescent="0.25">
      <c r="F6291">
        <v>6288</v>
      </c>
      <c r="G6291">
        <f ca="1">_xlfn.NORM.INV(RAND(),$M$7,$M$8)</f>
        <v>-1.3919839092610645E-2</v>
      </c>
    </row>
    <row r="6292" spans="6:7" x14ac:dyDescent="0.25">
      <c r="F6292">
        <v>6289</v>
      </c>
      <c r="G6292">
        <f ca="1">_xlfn.NORM.INV(RAND(),$M$7,$M$8)</f>
        <v>-1.0408835443090554E-2</v>
      </c>
    </row>
    <row r="6293" spans="6:7" x14ac:dyDescent="0.25">
      <c r="F6293">
        <v>6290</v>
      </c>
      <c r="G6293">
        <f ca="1">_xlfn.NORM.INV(RAND(),$M$7,$M$8)</f>
        <v>-8.1559006814393067E-3</v>
      </c>
    </row>
    <row r="6294" spans="6:7" x14ac:dyDescent="0.25">
      <c r="F6294">
        <v>6291</v>
      </c>
      <c r="G6294">
        <f ca="1">_xlfn.NORM.INV(RAND(),$M$7,$M$8)</f>
        <v>-5.2903562612481008E-3</v>
      </c>
    </row>
    <row r="6295" spans="6:7" x14ac:dyDescent="0.25">
      <c r="F6295">
        <v>6292</v>
      </c>
      <c r="G6295">
        <f ca="1">_xlfn.NORM.INV(RAND(),$M$7,$M$8)</f>
        <v>2.0088120841003698E-2</v>
      </c>
    </row>
    <row r="6296" spans="6:7" x14ac:dyDescent="0.25">
      <c r="F6296">
        <v>6293</v>
      </c>
      <c r="G6296">
        <f ca="1">_xlfn.NORM.INV(RAND(),$M$7,$M$8)</f>
        <v>2.939320812922959E-3</v>
      </c>
    </row>
    <row r="6297" spans="6:7" x14ac:dyDescent="0.25">
      <c r="F6297">
        <v>6294</v>
      </c>
      <c r="G6297">
        <f ca="1">_xlfn.NORM.INV(RAND(),$M$7,$M$8)</f>
        <v>-3.0758884627943215E-2</v>
      </c>
    </row>
    <row r="6298" spans="6:7" x14ac:dyDescent="0.25">
      <c r="F6298">
        <v>6295</v>
      </c>
      <c r="G6298">
        <f ca="1">_xlfn.NORM.INV(RAND(),$M$7,$M$8)</f>
        <v>1.3473605676879634E-2</v>
      </c>
    </row>
    <row r="6299" spans="6:7" x14ac:dyDescent="0.25">
      <c r="F6299">
        <v>6296</v>
      </c>
      <c r="G6299">
        <f ca="1">_xlfn.NORM.INV(RAND(),$M$7,$M$8)</f>
        <v>-5.2513610893582224E-2</v>
      </c>
    </row>
    <row r="6300" spans="6:7" x14ac:dyDescent="0.25">
      <c r="F6300">
        <v>6297</v>
      </c>
      <c r="G6300">
        <f ca="1">_xlfn.NORM.INV(RAND(),$M$7,$M$8)</f>
        <v>-1.4765563060105787E-2</v>
      </c>
    </row>
    <row r="6301" spans="6:7" x14ac:dyDescent="0.25">
      <c r="F6301">
        <v>6298</v>
      </c>
      <c r="G6301">
        <f ca="1">_xlfn.NORM.INV(RAND(),$M$7,$M$8)</f>
        <v>3.2478342270149931E-2</v>
      </c>
    </row>
    <row r="6302" spans="6:7" x14ac:dyDescent="0.25">
      <c r="F6302">
        <v>6299</v>
      </c>
      <c r="G6302">
        <f ca="1">_xlfn.NORM.INV(RAND(),$M$7,$M$8)</f>
        <v>-2.1813851149240029E-2</v>
      </c>
    </row>
    <row r="6303" spans="6:7" x14ac:dyDescent="0.25">
      <c r="F6303">
        <v>6300</v>
      </c>
      <c r="G6303">
        <f ca="1">_xlfn.NORM.INV(RAND(),$M$7,$M$8)</f>
        <v>2.4981519417123205E-2</v>
      </c>
    </row>
    <row r="6304" spans="6:7" x14ac:dyDescent="0.25">
      <c r="F6304">
        <v>6301</v>
      </c>
      <c r="G6304">
        <f ca="1">_xlfn.NORM.INV(RAND(),$M$7,$M$8)</f>
        <v>-2.5739630145668949E-2</v>
      </c>
    </row>
    <row r="6305" spans="6:7" x14ac:dyDescent="0.25">
      <c r="F6305">
        <v>6302</v>
      </c>
      <c r="G6305">
        <f ca="1">_xlfn.NORM.INV(RAND(),$M$7,$M$8)</f>
        <v>-1.8879457244096946E-2</v>
      </c>
    </row>
    <row r="6306" spans="6:7" x14ac:dyDescent="0.25">
      <c r="F6306">
        <v>6303</v>
      </c>
      <c r="G6306">
        <f ca="1">_xlfn.NORM.INV(RAND(),$M$7,$M$8)</f>
        <v>1.0742692570984055E-2</v>
      </c>
    </row>
    <row r="6307" spans="6:7" x14ac:dyDescent="0.25">
      <c r="F6307">
        <v>6304</v>
      </c>
      <c r="G6307">
        <f ca="1">_xlfn.NORM.INV(RAND(),$M$7,$M$8)</f>
        <v>-3.0074257718504926E-2</v>
      </c>
    </row>
    <row r="6308" spans="6:7" x14ac:dyDescent="0.25">
      <c r="F6308">
        <v>6305</v>
      </c>
      <c r="G6308">
        <f ca="1">_xlfn.NORM.INV(RAND(),$M$7,$M$8)</f>
        <v>1.3500780639407994E-2</v>
      </c>
    </row>
    <row r="6309" spans="6:7" x14ac:dyDescent="0.25">
      <c r="F6309">
        <v>6306</v>
      </c>
      <c r="G6309">
        <f ca="1">_xlfn.NORM.INV(RAND(),$M$7,$M$8)</f>
        <v>-2.4058126479997863E-2</v>
      </c>
    </row>
    <row r="6310" spans="6:7" x14ac:dyDescent="0.25">
      <c r="F6310">
        <v>6307</v>
      </c>
      <c r="G6310">
        <f ca="1">_xlfn.NORM.INV(RAND(),$M$7,$M$8)</f>
        <v>-1.9243212354082873E-2</v>
      </c>
    </row>
    <row r="6311" spans="6:7" x14ac:dyDescent="0.25">
      <c r="F6311">
        <v>6308</v>
      </c>
      <c r="G6311">
        <f ca="1">_xlfn.NORM.INV(RAND(),$M$7,$M$8)</f>
        <v>4.0863140557055026E-2</v>
      </c>
    </row>
    <row r="6312" spans="6:7" x14ac:dyDescent="0.25">
      <c r="F6312">
        <v>6309</v>
      </c>
      <c r="G6312">
        <f ca="1">_xlfn.NORM.INV(RAND(),$M$7,$M$8)</f>
        <v>2.5468788744543069E-2</v>
      </c>
    </row>
    <row r="6313" spans="6:7" x14ac:dyDescent="0.25">
      <c r="F6313">
        <v>6310</v>
      </c>
      <c r="G6313">
        <f ca="1">_xlfn.NORM.INV(RAND(),$M$7,$M$8)</f>
        <v>-4.6080725132147282E-2</v>
      </c>
    </row>
    <row r="6314" spans="6:7" x14ac:dyDescent="0.25">
      <c r="F6314">
        <v>6311</v>
      </c>
      <c r="G6314">
        <f ca="1">_xlfn.NORM.INV(RAND(),$M$7,$M$8)</f>
        <v>7.2555237034175601E-3</v>
      </c>
    </row>
    <row r="6315" spans="6:7" x14ac:dyDescent="0.25">
      <c r="F6315">
        <v>6312</v>
      </c>
      <c r="G6315">
        <f ca="1">_xlfn.NORM.INV(RAND(),$M$7,$M$8)</f>
        <v>1.9108086226940508E-2</v>
      </c>
    </row>
    <row r="6316" spans="6:7" x14ac:dyDescent="0.25">
      <c r="F6316">
        <v>6313</v>
      </c>
      <c r="G6316">
        <f ca="1">_xlfn.NORM.INV(RAND(),$M$7,$M$8)</f>
        <v>-9.6987913518288213E-3</v>
      </c>
    </row>
    <row r="6317" spans="6:7" x14ac:dyDescent="0.25">
      <c r="F6317">
        <v>6314</v>
      </c>
      <c r="G6317">
        <f ca="1">_xlfn.NORM.INV(RAND(),$M$7,$M$8)</f>
        <v>1.389250894579783E-2</v>
      </c>
    </row>
    <row r="6318" spans="6:7" x14ac:dyDescent="0.25">
      <c r="F6318">
        <v>6315</v>
      </c>
      <c r="G6318">
        <f ca="1">_xlfn.NORM.INV(RAND(),$M$7,$M$8)</f>
        <v>-1.0879777685348641E-2</v>
      </c>
    </row>
    <row r="6319" spans="6:7" x14ac:dyDescent="0.25">
      <c r="F6319">
        <v>6316</v>
      </c>
      <c r="G6319">
        <f ca="1">_xlfn.NORM.INV(RAND(),$M$7,$M$8)</f>
        <v>-2.601486446642504E-2</v>
      </c>
    </row>
    <row r="6320" spans="6:7" x14ac:dyDescent="0.25">
      <c r="F6320">
        <v>6317</v>
      </c>
      <c r="G6320">
        <f ca="1">_xlfn.NORM.INV(RAND(),$M$7,$M$8)</f>
        <v>1.1092638025822518E-3</v>
      </c>
    </row>
    <row r="6321" spans="6:7" x14ac:dyDescent="0.25">
      <c r="F6321">
        <v>6318</v>
      </c>
      <c r="G6321">
        <f ca="1">_xlfn.NORM.INV(RAND(),$M$7,$M$8)</f>
        <v>-1.6923556453640524E-2</v>
      </c>
    </row>
    <row r="6322" spans="6:7" x14ac:dyDescent="0.25">
      <c r="F6322">
        <v>6319</v>
      </c>
      <c r="G6322">
        <f ca="1">_xlfn.NORM.INV(RAND(),$M$7,$M$8)</f>
        <v>-3.280195850110864E-2</v>
      </c>
    </row>
    <row r="6323" spans="6:7" x14ac:dyDescent="0.25">
      <c r="F6323">
        <v>6320</v>
      </c>
      <c r="G6323">
        <f ca="1">_xlfn.NORM.INV(RAND(),$M$7,$M$8)</f>
        <v>1.7203539074387052E-2</v>
      </c>
    </row>
    <row r="6324" spans="6:7" x14ac:dyDescent="0.25">
      <c r="F6324">
        <v>6321</v>
      </c>
      <c r="G6324">
        <f ca="1">_xlfn.NORM.INV(RAND(),$M$7,$M$8)</f>
        <v>1.1664471295109981E-2</v>
      </c>
    </row>
    <row r="6325" spans="6:7" x14ac:dyDescent="0.25">
      <c r="F6325">
        <v>6322</v>
      </c>
      <c r="G6325">
        <f ca="1">_xlfn.NORM.INV(RAND(),$M$7,$M$8)</f>
        <v>-7.9545157912228551E-3</v>
      </c>
    </row>
    <row r="6326" spans="6:7" x14ac:dyDescent="0.25">
      <c r="F6326">
        <v>6323</v>
      </c>
      <c r="G6326">
        <f ca="1">_xlfn.NORM.INV(RAND(),$M$7,$M$8)</f>
        <v>-4.9334672663103797E-2</v>
      </c>
    </row>
    <row r="6327" spans="6:7" x14ac:dyDescent="0.25">
      <c r="F6327">
        <v>6324</v>
      </c>
      <c r="G6327">
        <f ca="1">_xlfn.NORM.INV(RAND(),$M$7,$M$8)</f>
        <v>2.535908805876326E-2</v>
      </c>
    </row>
    <row r="6328" spans="6:7" x14ac:dyDescent="0.25">
      <c r="F6328">
        <v>6325</v>
      </c>
      <c r="G6328">
        <f ca="1">_xlfn.NORM.INV(RAND(),$M$7,$M$8)</f>
        <v>3.1646003586214867E-2</v>
      </c>
    </row>
    <row r="6329" spans="6:7" x14ac:dyDescent="0.25">
      <c r="F6329">
        <v>6326</v>
      </c>
      <c r="G6329">
        <f ca="1">_xlfn.NORM.INV(RAND(),$M$7,$M$8)</f>
        <v>-2.5867621566020775E-3</v>
      </c>
    </row>
    <row r="6330" spans="6:7" x14ac:dyDescent="0.25">
      <c r="F6330">
        <v>6327</v>
      </c>
      <c r="G6330">
        <f ca="1">_xlfn.NORM.INV(RAND(),$M$7,$M$8)</f>
        <v>-2.4146406784931525E-2</v>
      </c>
    </row>
    <row r="6331" spans="6:7" x14ac:dyDescent="0.25">
      <c r="F6331">
        <v>6328</v>
      </c>
      <c r="G6331">
        <f ca="1">_xlfn.NORM.INV(RAND(),$M$7,$M$8)</f>
        <v>-1.3295646196846884E-2</v>
      </c>
    </row>
    <row r="6332" spans="6:7" x14ac:dyDescent="0.25">
      <c r="F6332">
        <v>6329</v>
      </c>
      <c r="G6332">
        <f ca="1">_xlfn.NORM.INV(RAND(),$M$7,$M$8)</f>
        <v>-4.7987252180322799E-2</v>
      </c>
    </row>
    <row r="6333" spans="6:7" x14ac:dyDescent="0.25">
      <c r="F6333">
        <v>6330</v>
      </c>
      <c r="G6333">
        <f ca="1">_xlfn.NORM.INV(RAND(),$M$7,$M$8)</f>
        <v>-4.9551692549994746E-2</v>
      </c>
    </row>
    <row r="6334" spans="6:7" x14ac:dyDescent="0.25">
      <c r="F6334">
        <v>6331</v>
      </c>
      <c r="G6334">
        <f ca="1">_xlfn.NORM.INV(RAND(),$M$7,$M$8)</f>
        <v>9.1672954126355982E-3</v>
      </c>
    </row>
    <row r="6335" spans="6:7" x14ac:dyDescent="0.25">
      <c r="F6335">
        <v>6332</v>
      </c>
      <c r="G6335">
        <f ca="1">_xlfn.NORM.INV(RAND(),$M$7,$M$8)</f>
        <v>3.9941648661489318E-2</v>
      </c>
    </row>
    <row r="6336" spans="6:7" x14ac:dyDescent="0.25">
      <c r="F6336">
        <v>6333</v>
      </c>
      <c r="G6336">
        <f ca="1">_xlfn.NORM.INV(RAND(),$M$7,$M$8)</f>
        <v>-1.6142444515575768E-2</v>
      </c>
    </row>
    <row r="6337" spans="6:7" x14ac:dyDescent="0.25">
      <c r="F6337">
        <v>6334</v>
      </c>
      <c r="G6337">
        <f ca="1">_xlfn.NORM.INV(RAND(),$M$7,$M$8)</f>
        <v>-1.2600571202408732E-2</v>
      </c>
    </row>
    <row r="6338" spans="6:7" x14ac:dyDescent="0.25">
      <c r="F6338">
        <v>6335</v>
      </c>
      <c r="G6338">
        <f ca="1">_xlfn.NORM.INV(RAND(),$M$7,$M$8)</f>
        <v>2.1715269316774879E-2</v>
      </c>
    </row>
    <row r="6339" spans="6:7" x14ac:dyDescent="0.25">
      <c r="F6339">
        <v>6336</v>
      </c>
      <c r="G6339">
        <f ca="1">_xlfn.NORM.INV(RAND(),$M$7,$M$8)</f>
        <v>-1.7779278884097867E-2</v>
      </c>
    </row>
    <row r="6340" spans="6:7" x14ac:dyDescent="0.25">
      <c r="F6340">
        <v>6337</v>
      </c>
      <c r="G6340">
        <f ca="1">_xlfn.NORM.INV(RAND(),$M$7,$M$8)</f>
        <v>1.6124059494328678E-2</v>
      </c>
    </row>
    <row r="6341" spans="6:7" x14ac:dyDescent="0.25">
      <c r="F6341">
        <v>6338</v>
      </c>
      <c r="G6341">
        <f ca="1">_xlfn.NORM.INV(RAND(),$M$7,$M$8)</f>
        <v>-5.9654092433476715E-3</v>
      </c>
    </row>
    <row r="6342" spans="6:7" x14ac:dyDescent="0.25">
      <c r="F6342">
        <v>6339</v>
      </c>
      <c r="G6342">
        <f ca="1">_xlfn.NORM.INV(RAND(),$M$7,$M$8)</f>
        <v>-2.3245131502581003E-2</v>
      </c>
    </row>
    <row r="6343" spans="6:7" x14ac:dyDescent="0.25">
      <c r="F6343">
        <v>6340</v>
      </c>
      <c r="G6343">
        <f ca="1">_xlfn.NORM.INV(RAND(),$M$7,$M$8)</f>
        <v>-2.6055297745541467E-2</v>
      </c>
    </row>
    <row r="6344" spans="6:7" x14ac:dyDescent="0.25">
      <c r="F6344">
        <v>6341</v>
      </c>
      <c r="G6344">
        <f ca="1">_xlfn.NORM.INV(RAND(),$M$7,$M$8)</f>
        <v>5.0880073700239684E-3</v>
      </c>
    </row>
    <row r="6345" spans="6:7" x14ac:dyDescent="0.25">
      <c r="F6345">
        <v>6342</v>
      </c>
      <c r="G6345">
        <f ca="1">_xlfn.NORM.INV(RAND(),$M$7,$M$8)</f>
        <v>2.8991201994172122E-3</v>
      </c>
    </row>
    <row r="6346" spans="6:7" x14ac:dyDescent="0.25">
      <c r="F6346">
        <v>6343</v>
      </c>
      <c r="G6346">
        <f ca="1">_xlfn.NORM.INV(RAND(),$M$7,$M$8)</f>
        <v>4.9863065582236583E-2</v>
      </c>
    </row>
    <row r="6347" spans="6:7" x14ac:dyDescent="0.25">
      <c r="F6347">
        <v>6344</v>
      </c>
      <c r="G6347">
        <f ca="1">_xlfn.NORM.INV(RAND(),$M$7,$M$8)</f>
        <v>-3.15630100858805E-2</v>
      </c>
    </row>
    <row r="6348" spans="6:7" x14ac:dyDescent="0.25">
      <c r="F6348">
        <v>6345</v>
      </c>
      <c r="G6348">
        <f ca="1">_xlfn.NORM.INV(RAND(),$M$7,$M$8)</f>
        <v>-4.1703623838267534E-2</v>
      </c>
    </row>
    <row r="6349" spans="6:7" x14ac:dyDescent="0.25">
      <c r="F6349">
        <v>6346</v>
      </c>
      <c r="G6349">
        <f ca="1">_xlfn.NORM.INV(RAND(),$M$7,$M$8)</f>
        <v>-1.6427923212797433E-2</v>
      </c>
    </row>
    <row r="6350" spans="6:7" x14ac:dyDescent="0.25">
      <c r="F6350">
        <v>6347</v>
      </c>
      <c r="G6350">
        <f ca="1">_xlfn.NORM.INV(RAND(),$M$7,$M$8)</f>
        <v>2.9036415799061004E-2</v>
      </c>
    </row>
    <row r="6351" spans="6:7" x14ac:dyDescent="0.25">
      <c r="F6351">
        <v>6348</v>
      </c>
      <c r="G6351">
        <f ca="1">_xlfn.NORM.INV(RAND(),$M$7,$M$8)</f>
        <v>2.6382105583124375E-2</v>
      </c>
    </row>
    <row r="6352" spans="6:7" x14ac:dyDescent="0.25">
      <c r="F6352">
        <v>6349</v>
      </c>
      <c r="G6352">
        <f ca="1">_xlfn.NORM.INV(RAND(),$M$7,$M$8)</f>
        <v>1.0399146368129426E-2</v>
      </c>
    </row>
    <row r="6353" spans="6:7" x14ac:dyDescent="0.25">
      <c r="F6353">
        <v>6350</v>
      </c>
      <c r="G6353">
        <f ca="1">_xlfn.NORM.INV(RAND(),$M$7,$M$8)</f>
        <v>2.5594374634126064E-2</v>
      </c>
    </row>
    <row r="6354" spans="6:7" x14ac:dyDescent="0.25">
      <c r="F6354">
        <v>6351</v>
      </c>
      <c r="G6354">
        <f ca="1">_xlfn.NORM.INV(RAND(),$M$7,$M$8)</f>
        <v>2.4599249603943645E-2</v>
      </c>
    </row>
    <row r="6355" spans="6:7" x14ac:dyDescent="0.25">
      <c r="F6355">
        <v>6352</v>
      </c>
      <c r="G6355">
        <f ca="1">_xlfn.NORM.INV(RAND(),$M$7,$M$8)</f>
        <v>-2.3990662492880691E-2</v>
      </c>
    </row>
    <row r="6356" spans="6:7" x14ac:dyDescent="0.25">
      <c r="F6356">
        <v>6353</v>
      </c>
      <c r="G6356">
        <f ca="1">_xlfn.NORM.INV(RAND(),$M$7,$M$8)</f>
        <v>-1.6709732716056009E-4</v>
      </c>
    </row>
    <row r="6357" spans="6:7" x14ac:dyDescent="0.25">
      <c r="F6357">
        <v>6354</v>
      </c>
      <c r="G6357">
        <f ca="1">_xlfn.NORM.INV(RAND(),$M$7,$M$8)</f>
        <v>-2.5825301566891789E-2</v>
      </c>
    </row>
    <row r="6358" spans="6:7" x14ac:dyDescent="0.25">
      <c r="F6358">
        <v>6355</v>
      </c>
      <c r="G6358">
        <f ca="1">_xlfn.NORM.INV(RAND(),$M$7,$M$8)</f>
        <v>4.4243825258177605E-2</v>
      </c>
    </row>
    <row r="6359" spans="6:7" x14ac:dyDescent="0.25">
      <c r="F6359">
        <v>6356</v>
      </c>
      <c r="G6359">
        <f ca="1">_xlfn.NORM.INV(RAND(),$M$7,$M$8)</f>
        <v>3.3693429268300865E-2</v>
      </c>
    </row>
    <row r="6360" spans="6:7" x14ac:dyDescent="0.25">
      <c r="F6360">
        <v>6357</v>
      </c>
      <c r="G6360">
        <f ca="1">_xlfn.NORM.INV(RAND(),$M$7,$M$8)</f>
        <v>4.9830451662026716E-2</v>
      </c>
    </row>
    <row r="6361" spans="6:7" x14ac:dyDescent="0.25">
      <c r="F6361">
        <v>6358</v>
      </c>
      <c r="G6361">
        <f ca="1">_xlfn.NORM.INV(RAND(),$M$7,$M$8)</f>
        <v>2.6617314834324442E-2</v>
      </c>
    </row>
    <row r="6362" spans="6:7" x14ac:dyDescent="0.25">
      <c r="F6362">
        <v>6359</v>
      </c>
      <c r="G6362">
        <f ca="1">_xlfn.NORM.INV(RAND(),$M$7,$M$8)</f>
        <v>-1.8745523821119412E-2</v>
      </c>
    </row>
    <row r="6363" spans="6:7" x14ac:dyDescent="0.25">
      <c r="F6363">
        <v>6360</v>
      </c>
      <c r="G6363">
        <f ca="1">_xlfn.NORM.INV(RAND(),$M$7,$M$8)</f>
        <v>1.9349430498758678E-2</v>
      </c>
    </row>
    <row r="6364" spans="6:7" x14ac:dyDescent="0.25">
      <c r="F6364">
        <v>6361</v>
      </c>
      <c r="G6364">
        <f ca="1">_xlfn.NORM.INV(RAND(),$M$7,$M$8)</f>
        <v>-5.1332977991367639E-3</v>
      </c>
    </row>
    <row r="6365" spans="6:7" x14ac:dyDescent="0.25">
      <c r="F6365">
        <v>6362</v>
      </c>
      <c r="G6365">
        <f ca="1">_xlfn.NORM.INV(RAND(),$M$7,$M$8)</f>
        <v>4.7553483544974223E-3</v>
      </c>
    </row>
    <row r="6366" spans="6:7" x14ac:dyDescent="0.25">
      <c r="F6366">
        <v>6363</v>
      </c>
      <c r="G6366">
        <f ca="1">_xlfn.NORM.INV(RAND(),$M$7,$M$8)</f>
        <v>-7.638410609535554E-3</v>
      </c>
    </row>
    <row r="6367" spans="6:7" x14ac:dyDescent="0.25">
      <c r="F6367">
        <v>6364</v>
      </c>
      <c r="G6367">
        <f ca="1">_xlfn.NORM.INV(RAND(),$M$7,$M$8)</f>
        <v>1.6801704737709564E-2</v>
      </c>
    </row>
    <row r="6368" spans="6:7" x14ac:dyDescent="0.25">
      <c r="F6368">
        <v>6365</v>
      </c>
      <c r="G6368">
        <f ca="1">_xlfn.NORM.INV(RAND(),$M$7,$M$8)</f>
        <v>-7.4304992417623117E-3</v>
      </c>
    </row>
    <row r="6369" spans="6:7" x14ac:dyDescent="0.25">
      <c r="F6369">
        <v>6366</v>
      </c>
      <c r="G6369">
        <f ca="1">_xlfn.NORM.INV(RAND(),$M$7,$M$8)</f>
        <v>-5.3127385361078874E-2</v>
      </c>
    </row>
    <row r="6370" spans="6:7" x14ac:dyDescent="0.25">
      <c r="F6370">
        <v>6367</v>
      </c>
      <c r="G6370">
        <f ca="1">_xlfn.NORM.INV(RAND(),$M$7,$M$8)</f>
        <v>1.4813005445593481E-2</v>
      </c>
    </row>
    <row r="6371" spans="6:7" x14ac:dyDescent="0.25">
      <c r="F6371">
        <v>6368</v>
      </c>
      <c r="G6371">
        <f ca="1">_xlfn.NORM.INV(RAND(),$M$7,$M$8)</f>
        <v>-3.8865863681531785E-3</v>
      </c>
    </row>
    <row r="6372" spans="6:7" x14ac:dyDescent="0.25">
      <c r="F6372">
        <v>6369</v>
      </c>
      <c r="G6372">
        <f ca="1">_xlfn.NORM.INV(RAND(),$M$7,$M$8)</f>
        <v>4.9146928430733886E-2</v>
      </c>
    </row>
    <row r="6373" spans="6:7" x14ac:dyDescent="0.25">
      <c r="F6373">
        <v>6370</v>
      </c>
      <c r="G6373">
        <f ca="1">_xlfn.NORM.INV(RAND(),$M$7,$M$8)</f>
        <v>1.6930656395635259E-2</v>
      </c>
    </row>
    <row r="6374" spans="6:7" x14ac:dyDescent="0.25">
      <c r="F6374">
        <v>6371</v>
      </c>
      <c r="G6374">
        <f ca="1">_xlfn.NORM.INV(RAND(),$M$7,$M$8)</f>
        <v>1.8400749957651185E-2</v>
      </c>
    </row>
    <row r="6375" spans="6:7" x14ac:dyDescent="0.25">
      <c r="F6375">
        <v>6372</v>
      </c>
      <c r="G6375">
        <f ca="1">_xlfn.NORM.INV(RAND(),$M$7,$M$8)</f>
        <v>2.8470049775945413E-2</v>
      </c>
    </row>
    <row r="6376" spans="6:7" x14ac:dyDescent="0.25">
      <c r="F6376">
        <v>6373</v>
      </c>
      <c r="G6376">
        <f ca="1">_xlfn.NORM.INV(RAND(),$M$7,$M$8)</f>
        <v>-9.6498402514107757E-3</v>
      </c>
    </row>
    <row r="6377" spans="6:7" x14ac:dyDescent="0.25">
      <c r="F6377">
        <v>6374</v>
      </c>
      <c r="G6377">
        <f ca="1">_xlfn.NORM.INV(RAND(),$M$7,$M$8)</f>
        <v>1.9310468336350022E-2</v>
      </c>
    </row>
    <row r="6378" spans="6:7" x14ac:dyDescent="0.25">
      <c r="F6378">
        <v>6375</v>
      </c>
      <c r="G6378">
        <f ca="1">_xlfn.NORM.INV(RAND(),$M$7,$M$8)</f>
        <v>9.3632680135540772E-4</v>
      </c>
    </row>
    <row r="6379" spans="6:7" x14ac:dyDescent="0.25">
      <c r="F6379">
        <v>6376</v>
      </c>
      <c r="G6379">
        <f ca="1">_xlfn.NORM.INV(RAND(),$M$7,$M$8)</f>
        <v>2.5428362598656093E-2</v>
      </c>
    </row>
    <row r="6380" spans="6:7" x14ac:dyDescent="0.25">
      <c r="F6380">
        <v>6377</v>
      </c>
      <c r="G6380">
        <f ca="1">_xlfn.NORM.INV(RAND(),$M$7,$M$8)</f>
        <v>-1.0362899907511011E-2</v>
      </c>
    </row>
    <row r="6381" spans="6:7" x14ac:dyDescent="0.25">
      <c r="F6381">
        <v>6378</v>
      </c>
      <c r="G6381">
        <f ca="1">_xlfn.NORM.INV(RAND(),$M$7,$M$8)</f>
        <v>1.7454133285348529E-4</v>
      </c>
    </row>
    <row r="6382" spans="6:7" x14ac:dyDescent="0.25">
      <c r="F6382">
        <v>6379</v>
      </c>
      <c r="G6382">
        <f ca="1">_xlfn.NORM.INV(RAND(),$M$7,$M$8)</f>
        <v>-1.4791073052803215E-2</v>
      </c>
    </row>
    <row r="6383" spans="6:7" x14ac:dyDescent="0.25">
      <c r="F6383">
        <v>6380</v>
      </c>
      <c r="G6383">
        <f ca="1">_xlfn.NORM.INV(RAND(),$M$7,$M$8)</f>
        <v>-4.3215205616186445E-3</v>
      </c>
    </row>
    <row r="6384" spans="6:7" x14ac:dyDescent="0.25">
      <c r="F6384">
        <v>6381</v>
      </c>
      <c r="G6384">
        <f ca="1">_xlfn.NORM.INV(RAND(),$M$7,$M$8)</f>
        <v>7.2623248199280115E-3</v>
      </c>
    </row>
    <row r="6385" spans="6:7" x14ac:dyDescent="0.25">
      <c r="F6385">
        <v>6382</v>
      </c>
      <c r="G6385">
        <f ca="1">_xlfn.NORM.INV(RAND(),$M$7,$M$8)</f>
        <v>1.6683467483712657E-2</v>
      </c>
    </row>
    <row r="6386" spans="6:7" x14ac:dyDescent="0.25">
      <c r="F6386">
        <v>6383</v>
      </c>
      <c r="G6386">
        <f ca="1">_xlfn.NORM.INV(RAND(),$M$7,$M$8)</f>
        <v>2.8810599931838741E-2</v>
      </c>
    </row>
    <row r="6387" spans="6:7" x14ac:dyDescent="0.25">
      <c r="F6387">
        <v>6384</v>
      </c>
      <c r="G6387">
        <f ca="1">_xlfn.NORM.INV(RAND(),$M$7,$M$8)</f>
        <v>1.7975163303115441E-2</v>
      </c>
    </row>
    <row r="6388" spans="6:7" x14ac:dyDescent="0.25">
      <c r="F6388">
        <v>6385</v>
      </c>
      <c r="G6388">
        <f ca="1">_xlfn.NORM.INV(RAND(),$M$7,$M$8)</f>
        <v>-2.6750773250030515E-4</v>
      </c>
    </row>
    <row r="6389" spans="6:7" x14ac:dyDescent="0.25">
      <c r="F6389">
        <v>6386</v>
      </c>
      <c r="G6389">
        <f ca="1">_xlfn.NORM.INV(RAND(),$M$7,$M$8)</f>
        <v>9.6018812183668659E-3</v>
      </c>
    </row>
    <row r="6390" spans="6:7" x14ac:dyDescent="0.25">
      <c r="F6390">
        <v>6387</v>
      </c>
      <c r="G6390">
        <f ca="1">_xlfn.NORM.INV(RAND(),$M$7,$M$8)</f>
        <v>6.0880835066242974E-3</v>
      </c>
    </row>
    <row r="6391" spans="6:7" x14ac:dyDescent="0.25">
      <c r="F6391">
        <v>6388</v>
      </c>
      <c r="G6391">
        <f ca="1">_xlfn.NORM.INV(RAND(),$M$7,$M$8)</f>
        <v>6.1484473454188632E-3</v>
      </c>
    </row>
    <row r="6392" spans="6:7" x14ac:dyDescent="0.25">
      <c r="F6392">
        <v>6389</v>
      </c>
      <c r="G6392">
        <f ca="1">_xlfn.NORM.INV(RAND(),$M$7,$M$8)</f>
        <v>4.7024021926825268E-2</v>
      </c>
    </row>
    <row r="6393" spans="6:7" x14ac:dyDescent="0.25">
      <c r="F6393">
        <v>6390</v>
      </c>
      <c r="G6393">
        <f ca="1">_xlfn.NORM.INV(RAND(),$M$7,$M$8)</f>
        <v>-3.8667417034027811E-2</v>
      </c>
    </row>
    <row r="6394" spans="6:7" x14ac:dyDescent="0.25">
      <c r="F6394">
        <v>6391</v>
      </c>
      <c r="G6394">
        <f ca="1">_xlfn.NORM.INV(RAND(),$M$7,$M$8)</f>
        <v>-5.1357821728332219E-3</v>
      </c>
    </row>
    <row r="6395" spans="6:7" x14ac:dyDescent="0.25">
      <c r="F6395">
        <v>6392</v>
      </c>
      <c r="G6395">
        <f ca="1">_xlfn.NORM.INV(RAND(),$M$7,$M$8)</f>
        <v>6.8209039878589957E-3</v>
      </c>
    </row>
    <row r="6396" spans="6:7" x14ac:dyDescent="0.25">
      <c r="F6396">
        <v>6393</v>
      </c>
      <c r="G6396">
        <f ca="1">_xlfn.NORM.INV(RAND(),$M$7,$M$8)</f>
        <v>2.5899345385557875E-2</v>
      </c>
    </row>
    <row r="6397" spans="6:7" x14ac:dyDescent="0.25">
      <c r="F6397">
        <v>6394</v>
      </c>
      <c r="G6397">
        <f ca="1">_xlfn.NORM.INV(RAND(),$M$7,$M$8)</f>
        <v>-2.3633874004848596E-2</v>
      </c>
    </row>
    <row r="6398" spans="6:7" x14ac:dyDescent="0.25">
      <c r="F6398">
        <v>6395</v>
      </c>
      <c r="G6398">
        <f ca="1">_xlfn.NORM.INV(RAND(),$M$7,$M$8)</f>
        <v>-1.4361540067817462E-2</v>
      </c>
    </row>
    <row r="6399" spans="6:7" x14ac:dyDescent="0.25">
      <c r="F6399">
        <v>6396</v>
      </c>
      <c r="G6399">
        <f ca="1">_xlfn.NORM.INV(RAND(),$M$7,$M$8)</f>
        <v>-6.5304166570415005E-4</v>
      </c>
    </row>
    <row r="6400" spans="6:7" x14ac:dyDescent="0.25">
      <c r="F6400">
        <v>6397</v>
      </c>
      <c r="G6400">
        <f ca="1">_xlfn.NORM.INV(RAND(),$M$7,$M$8)</f>
        <v>-2.4249635541401682E-2</v>
      </c>
    </row>
    <row r="6401" spans="6:7" x14ac:dyDescent="0.25">
      <c r="F6401">
        <v>6398</v>
      </c>
      <c r="G6401">
        <f ca="1">_xlfn.NORM.INV(RAND(),$M$7,$M$8)</f>
        <v>1.1790523160901312E-2</v>
      </c>
    </row>
    <row r="6402" spans="6:7" x14ac:dyDescent="0.25">
      <c r="F6402">
        <v>6399</v>
      </c>
      <c r="G6402">
        <f ca="1">_xlfn.NORM.INV(RAND(),$M$7,$M$8)</f>
        <v>2.5553856679724901E-2</v>
      </c>
    </row>
    <row r="6403" spans="6:7" x14ac:dyDescent="0.25">
      <c r="F6403">
        <v>6400</v>
      </c>
      <c r="G6403">
        <f ca="1">_xlfn.NORM.INV(RAND(),$M$7,$M$8)</f>
        <v>4.1898961070867789E-2</v>
      </c>
    </row>
    <row r="6404" spans="6:7" x14ac:dyDescent="0.25">
      <c r="F6404">
        <v>6401</v>
      </c>
      <c r="G6404">
        <f ca="1">_xlfn.NORM.INV(RAND(),$M$7,$M$8)</f>
        <v>-1.3105257511915464E-2</v>
      </c>
    </row>
    <row r="6405" spans="6:7" x14ac:dyDescent="0.25">
      <c r="F6405">
        <v>6402</v>
      </c>
      <c r="G6405">
        <f ca="1">_xlfn.NORM.INV(RAND(),$M$7,$M$8)</f>
        <v>-1.7616884167579786E-2</v>
      </c>
    </row>
    <row r="6406" spans="6:7" x14ac:dyDescent="0.25">
      <c r="F6406">
        <v>6403</v>
      </c>
      <c r="G6406">
        <f ca="1">_xlfn.NORM.INV(RAND(),$M$7,$M$8)</f>
        <v>3.0174282532691533E-2</v>
      </c>
    </row>
    <row r="6407" spans="6:7" x14ac:dyDescent="0.25">
      <c r="F6407">
        <v>6404</v>
      </c>
      <c r="G6407">
        <f ca="1">_xlfn.NORM.INV(RAND(),$M$7,$M$8)</f>
        <v>2.562632184211542E-2</v>
      </c>
    </row>
    <row r="6408" spans="6:7" x14ac:dyDescent="0.25">
      <c r="F6408">
        <v>6405</v>
      </c>
      <c r="G6408">
        <f ca="1">_xlfn.NORM.INV(RAND(),$M$7,$M$8)</f>
        <v>-3.1048185967487821E-2</v>
      </c>
    </row>
    <row r="6409" spans="6:7" x14ac:dyDescent="0.25">
      <c r="F6409">
        <v>6406</v>
      </c>
      <c r="G6409">
        <f ca="1">_xlfn.NORM.INV(RAND(),$M$7,$M$8)</f>
        <v>2.7159237328544188E-2</v>
      </c>
    </row>
    <row r="6410" spans="6:7" x14ac:dyDescent="0.25">
      <c r="F6410">
        <v>6407</v>
      </c>
      <c r="G6410">
        <f ca="1">_xlfn.NORM.INV(RAND(),$M$7,$M$8)</f>
        <v>1.2418516768862562E-3</v>
      </c>
    </row>
    <row r="6411" spans="6:7" x14ac:dyDescent="0.25">
      <c r="F6411">
        <v>6408</v>
      </c>
      <c r="G6411">
        <f ca="1">_xlfn.NORM.INV(RAND(),$M$7,$M$8)</f>
        <v>3.2283254258477806E-2</v>
      </c>
    </row>
    <row r="6412" spans="6:7" x14ac:dyDescent="0.25">
      <c r="F6412">
        <v>6409</v>
      </c>
      <c r="G6412">
        <f ca="1">_xlfn.NORM.INV(RAND(),$M$7,$M$8)</f>
        <v>2.0088331508191799E-2</v>
      </c>
    </row>
    <row r="6413" spans="6:7" x14ac:dyDescent="0.25">
      <c r="F6413">
        <v>6410</v>
      </c>
      <c r="G6413">
        <f ca="1">_xlfn.NORM.INV(RAND(),$M$7,$M$8)</f>
        <v>-3.1494118848871475E-2</v>
      </c>
    </row>
    <row r="6414" spans="6:7" x14ac:dyDescent="0.25">
      <c r="F6414">
        <v>6411</v>
      </c>
      <c r="G6414">
        <f ca="1">_xlfn.NORM.INV(RAND(),$M$7,$M$8)</f>
        <v>-1.9471738277132822E-2</v>
      </c>
    </row>
    <row r="6415" spans="6:7" x14ac:dyDescent="0.25">
      <c r="F6415">
        <v>6412</v>
      </c>
      <c r="G6415">
        <f ca="1">_xlfn.NORM.INV(RAND(),$M$7,$M$8)</f>
        <v>2.4700844158583209E-2</v>
      </c>
    </row>
    <row r="6416" spans="6:7" x14ac:dyDescent="0.25">
      <c r="F6416">
        <v>6413</v>
      </c>
      <c r="G6416">
        <f ca="1">_xlfn.NORM.INV(RAND(),$M$7,$M$8)</f>
        <v>-1.8135892251165305E-3</v>
      </c>
    </row>
    <row r="6417" spans="6:7" x14ac:dyDescent="0.25">
      <c r="F6417">
        <v>6414</v>
      </c>
      <c r="G6417">
        <f ca="1">_xlfn.NORM.INV(RAND(),$M$7,$M$8)</f>
        <v>-2.8402042526936105E-2</v>
      </c>
    </row>
    <row r="6418" spans="6:7" x14ac:dyDescent="0.25">
      <c r="F6418">
        <v>6415</v>
      </c>
      <c r="G6418">
        <f ca="1">_xlfn.NORM.INV(RAND(),$M$7,$M$8)</f>
        <v>-3.4239094002931625E-2</v>
      </c>
    </row>
    <row r="6419" spans="6:7" x14ac:dyDescent="0.25">
      <c r="F6419">
        <v>6416</v>
      </c>
      <c r="G6419">
        <f ca="1">_xlfn.NORM.INV(RAND(),$M$7,$M$8)</f>
        <v>-2.9412469538767184E-2</v>
      </c>
    </row>
    <row r="6420" spans="6:7" x14ac:dyDescent="0.25">
      <c r="F6420">
        <v>6417</v>
      </c>
      <c r="G6420">
        <f ca="1">_xlfn.NORM.INV(RAND(),$M$7,$M$8)</f>
        <v>-1.51956662880855E-2</v>
      </c>
    </row>
    <row r="6421" spans="6:7" x14ac:dyDescent="0.25">
      <c r="F6421">
        <v>6418</v>
      </c>
      <c r="G6421">
        <f ca="1">_xlfn.NORM.INV(RAND(),$M$7,$M$8)</f>
        <v>7.3741861631669992E-4</v>
      </c>
    </row>
    <row r="6422" spans="6:7" x14ac:dyDescent="0.25">
      <c r="F6422">
        <v>6419</v>
      </c>
      <c r="G6422">
        <f ca="1">_xlfn.NORM.INV(RAND(),$M$7,$M$8)</f>
        <v>5.478351152529334E-3</v>
      </c>
    </row>
    <row r="6423" spans="6:7" x14ac:dyDescent="0.25">
      <c r="F6423">
        <v>6420</v>
      </c>
      <c r="G6423">
        <f ca="1">_xlfn.NORM.INV(RAND(),$M$7,$M$8)</f>
        <v>-1.9266453547402237E-2</v>
      </c>
    </row>
    <row r="6424" spans="6:7" x14ac:dyDescent="0.25">
      <c r="F6424">
        <v>6421</v>
      </c>
      <c r="G6424">
        <f ca="1">_xlfn.NORM.INV(RAND(),$M$7,$M$8)</f>
        <v>1.7446508124587423E-2</v>
      </c>
    </row>
    <row r="6425" spans="6:7" x14ac:dyDescent="0.25">
      <c r="F6425">
        <v>6422</v>
      </c>
      <c r="G6425">
        <f ca="1">_xlfn.NORM.INV(RAND(),$M$7,$M$8)</f>
        <v>1.3149288372782128E-2</v>
      </c>
    </row>
    <row r="6426" spans="6:7" x14ac:dyDescent="0.25">
      <c r="F6426">
        <v>6423</v>
      </c>
      <c r="G6426">
        <f ca="1">_xlfn.NORM.INV(RAND(),$M$7,$M$8)</f>
        <v>1.6166098438232832E-2</v>
      </c>
    </row>
    <row r="6427" spans="6:7" x14ac:dyDescent="0.25">
      <c r="F6427">
        <v>6424</v>
      </c>
      <c r="G6427">
        <f ca="1">_xlfn.NORM.INV(RAND(),$M$7,$M$8)</f>
        <v>2.1631840733277528E-2</v>
      </c>
    </row>
    <row r="6428" spans="6:7" x14ac:dyDescent="0.25">
      <c r="F6428">
        <v>6425</v>
      </c>
      <c r="G6428">
        <f ca="1">_xlfn.NORM.INV(RAND(),$M$7,$M$8)</f>
        <v>-9.1759730472254948E-3</v>
      </c>
    </row>
    <row r="6429" spans="6:7" x14ac:dyDescent="0.25">
      <c r="F6429">
        <v>6426</v>
      </c>
      <c r="G6429">
        <f ca="1">_xlfn.NORM.INV(RAND(),$M$7,$M$8)</f>
        <v>6.8147257350490448E-3</v>
      </c>
    </row>
    <row r="6430" spans="6:7" x14ac:dyDescent="0.25">
      <c r="F6430">
        <v>6427</v>
      </c>
      <c r="G6430">
        <f ca="1">_xlfn.NORM.INV(RAND(),$M$7,$M$8)</f>
        <v>-1.4159445344790536E-2</v>
      </c>
    </row>
    <row r="6431" spans="6:7" x14ac:dyDescent="0.25">
      <c r="F6431">
        <v>6428</v>
      </c>
      <c r="G6431">
        <f ca="1">_xlfn.NORM.INV(RAND(),$M$7,$M$8)</f>
        <v>3.7991721676931925E-4</v>
      </c>
    </row>
    <row r="6432" spans="6:7" x14ac:dyDescent="0.25">
      <c r="F6432">
        <v>6429</v>
      </c>
      <c r="G6432">
        <f ca="1">_xlfn.NORM.INV(RAND(),$M$7,$M$8)</f>
        <v>-6.351912021781897E-3</v>
      </c>
    </row>
    <row r="6433" spans="6:7" x14ac:dyDescent="0.25">
      <c r="F6433">
        <v>6430</v>
      </c>
      <c r="G6433">
        <f ca="1">_xlfn.NORM.INV(RAND(),$M$7,$M$8)</f>
        <v>4.8308723822817694E-2</v>
      </c>
    </row>
    <row r="6434" spans="6:7" x14ac:dyDescent="0.25">
      <c r="F6434">
        <v>6431</v>
      </c>
      <c r="G6434">
        <f ca="1">_xlfn.NORM.INV(RAND(),$M$7,$M$8)</f>
        <v>2.8819008915413648E-3</v>
      </c>
    </row>
    <row r="6435" spans="6:7" x14ac:dyDescent="0.25">
      <c r="F6435">
        <v>6432</v>
      </c>
      <c r="G6435">
        <f ca="1">_xlfn.NORM.INV(RAND(),$M$7,$M$8)</f>
        <v>-2.1042866067573961E-2</v>
      </c>
    </row>
    <row r="6436" spans="6:7" x14ac:dyDescent="0.25">
      <c r="F6436">
        <v>6433</v>
      </c>
      <c r="G6436">
        <f ca="1">_xlfn.NORM.INV(RAND(),$M$7,$M$8)</f>
        <v>2.6834614240439439E-2</v>
      </c>
    </row>
    <row r="6437" spans="6:7" x14ac:dyDescent="0.25">
      <c r="F6437">
        <v>6434</v>
      </c>
      <c r="G6437">
        <f ca="1">_xlfn.NORM.INV(RAND(),$M$7,$M$8)</f>
        <v>7.680682906262417E-3</v>
      </c>
    </row>
    <row r="6438" spans="6:7" x14ac:dyDescent="0.25">
      <c r="F6438">
        <v>6435</v>
      </c>
      <c r="G6438">
        <f ca="1">_xlfn.NORM.INV(RAND(),$M$7,$M$8)</f>
        <v>2.1684502907475384E-2</v>
      </c>
    </row>
    <row r="6439" spans="6:7" x14ac:dyDescent="0.25">
      <c r="F6439">
        <v>6436</v>
      </c>
      <c r="G6439">
        <f ca="1">_xlfn.NORM.INV(RAND(),$M$7,$M$8)</f>
        <v>-1.1389884330603594E-2</v>
      </c>
    </row>
    <row r="6440" spans="6:7" x14ac:dyDescent="0.25">
      <c r="F6440">
        <v>6437</v>
      </c>
      <c r="G6440">
        <f ca="1">_xlfn.NORM.INV(RAND(),$M$7,$M$8)</f>
        <v>-1.9203427165999373E-2</v>
      </c>
    </row>
    <row r="6441" spans="6:7" x14ac:dyDescent="0.25">
      <c r="F6441">
        <v>6438</v>
      </c>
      <c r="G6441">
        <f ca="1">_xlfn.NORM.INV(RAND(),$M$7,$M$8)</f>
        <v>-1.2174069960291582E-2</v>
      </c>
    </row>
    <row r="6442" spans="6:7" x14ac:dyDescent="0.25">
      <c r="F6442">
        <v>6439</v>
      </c>
      <c r="G6442">
        <f ca="1">_xlfn.NORM.INV(RAND(),$M$7,$M$8)</f>
        <v>-3.1563415837256123E-2</v>
      </c>
    </row>
    <row r="6443" spans="6:7" x14ac:dyDescent="0.25">
      <c r="F6443">
        <v>6440</v>
      </c>
      <c r="G6443">
        <f ca="1">_xlfn.NORM.INV(RAND(),$M$7,$M$8)</f>
        <v>-3.1349786437163671E-2</v>
      </c>
    </row>
    <row r="6444" spans="6:7" x14ac:dyDescent="0.25">
      <c r="F6444">
        <v>6441</v>
      </c>
      <c r="G6444">
        <f ca="1">_xlfn.NORM.INV(RAND(),$M$7,$M$8)</f>
        <v>-9.5993575872141308E-3</v>
      </c>
    </row>
    <row r="6445" spans="6:7" x14ac:dyDescent="0.25">
      <c r="F6445">
        <v>6442</v>
      </c>
      <c r="G6445">
        <f ca="1">_xlfn.NORM.INV(RAND(),$M$7,$M$8)</f>
        <v>-3.0561032713874305E-2</v>
      </c>
    </row>
    <row r="6446" spans="6:7" x14ac:dyDescent="0.25">
      <c r="F6446">
        <v>6443</v>
      </c>
      <c r="G6446">
        <f ca="1">_xlfn.NORM.INV(RAND(),$M$7,$M$8)</f>
        <v>-2.2145583547082178E-2</v>
      </c>
    </row>
    <row r="6447" spans="6:7" x14ac:dyDescent="0.25">
      <c r="F6447">
        <v>6444</v>
      </c>
      <c r="G6447">
        <f ca="1">_xlfn.NORM.INV(RAND(),$M$7,$M$8)</f>
        <v>-2.4770893791351122E-2</v>
      </c>
    </row>
    <row r="6448" spans="6:7" x14ac:dyDescent="0.25">
      <c r="F6448">
        <v>6445</v>
      </c>
      <c r="G6448">
        <f ca="1">_xlfn.NORM.INV(RAND(),$M$7,$M$8)</f>
        <v>-1.8112949030330795E-3</v>
      </c>
    </row>
    <row r="6449" spans="6:7" x14ac:dyDescent="0.25">
      <c r="F6449">
        <v>6446</v>
      </c>
      <c r="G6449">
        <f ca="1">_xlfn.NORM.INV(RAND(),$M$7,$M$8)</f>
        <v>-1.0626395821256431E-2</v>
      </c>
    </row>
    <row r="6450" spans="6:7" x14ac:dyDescent="0.25">
      <c r="F6450">
        <v>6447</v>
      </c>
      <c r="G6450">
        <f ca="1">_xlfn.NORM.INV(RAND(),$M$7,$M$8)</f>
        <v>-7.4372805377194151E-3</v>
      </c>
    </row>
    <row r="6451" spans="6:7" x14ac:dyDescent="0.25">
      <c r="F6451">
        <v>6448</v>
      </c>
      <c r="G6451">
        <f ca="1">_xlfn.NORM.INV(RAND(),$M$7,$M$8)</f>
        <v>8.6233284135992551E-3</v>
      </c>
    </row>
    <row r="6452" spans="6:7" x14ac:dyDescent="0.25">
      <c r="F6452">
        <v>6449</v>
      </c>
      <c r="G6452">
        <f ca="1">_xlfn.NORM.INV(RAND(),$M$7,$M$8)</f>
        <v>6.0828537184149066E-3</v>
      </c>
    </row>
    <row r="6453" spans="6:7" x14ac:dyDescent="0.25">
      <c r="F6453">
        <v>6450</v>
      </c>
      <c r="G6453">
        <f ca="1">_xlfn.NORM.INV(RAND(),$M$7,$M$8)</f>
        <v>4.0138135962530977E-2</v>
      </c>
    </row>
    <row r="6454" spans="6:7" x14ac:dyDescent="0.25">
      <c r="F6454">
        <v>6451</v>
      </c>
      <c r="G6454">
        <f ca="1">_xlfn.NORM.INV(RAND(),$M$7,$M$8)</f>
        <v>1.508446819929927E-2</v>
      </c>
    </row>
    <row r="6455" spans="6:7" x14ac:dyDescent="0.25">
      <c r="F6455">
        <v>6452</v>
      </c>
      <c r="G6455">
        <f ca="1">_xlfn.NORM.INV(RAND(),$M$7,$M$8)</f>
        <v>-1.6586937906823737E-2</v>
      </c>
    </row>
    <row r="6456" spans="6:7" x14ac:dyDescent="0.25">
      <c r="F6456">
        <v>6453</v>
      </c>
      <c r="G6456">
        <f ca="1">_xlfn.NORM.INV(RAND(),$M$7,$M$8)</f>
        <v>-1.9149440610707284E-2</v>
      </c>
    </row>
    <row r="6457" spans="6:7" x14ac:dyDescent="0.25">
      <c r="F6457">
        <v>6454</v>
      </c>
      <c r="G6457">
        <f ca="1">_xlfn.NORM.INV(RAND(),$M$7,$M$8)</f>
        <v>2.1922096021467437E-2</v>
      </c>
    </row>
    <row r="6458" spans="6:7" x14ac:dyDescent="0.25">
      <c r="F6458">
        <v>6455</v>
      </c>
      <c r="G6458">
        <f ca="1">_xlfn.NORM.INV(RAND(),$M$7,$M$8)</f>
        <v>-8.1084288850444639E-3</v>
      </c>
    </row>
    <row r="6459" spans="6:7" x14ac:dyDescent="0.25">
      <c r="F6459">
        <v>6456</v>
      </c>
      <c r="G6459">
        <f ca="1">_xlfn.NORM.INV(RAND(),$M$7,$M$8)</f>
        <v>-1.2295385433913942E-2</v>
      </c>
    </row>
    <row r="6460" spans="6:7" x14ac:dyDescent="0.25">
      <c r="F6460">
        <v>6457</v>
      </c>
      <c r="G6460">
        <f ca="1">_xlfn.NORM.INV(RAND(),$M$7,$M$8)</f>
        <v>-3.4634657823064928E-2</v>
      </c>
    </row>
    <row r="6461" spans="6:7" x14ac:dyDescent="0.25">
      <c r="F6461">
        <v>6458</v>
      </c>
      <c r="G6461">
        <f ca="1">_xlfn.NORM.INV(RAND(),$M$7,$M$8)</f>
        <v>1.2925029666016842E-2</v>
      </c>
    </row>
    <row r="6462" spans="6:7" x14ac:dyDescent="0.25">
      <c r="F6462">
        <v>6459</v>
      </c>
      <c r="G6462">
        <f ca="1">_xlfn.NORM.INV(RAND(),$M$7,$M$8)</f>
        <v>-6.9938168606624353E-3</v>
      </c>
    </row>
    <row r="6463" spans="6:7" x14ac:dyDescent="0.25">
      <c r="F6463">
        <v>6460</v>
      </c>
      <c r="G6463">
        <f ca="1">_xlfn.NORM.INV(RAND(),$M$7,$M$8)</f>
        <v>3.0166561308015975E-2</v>
      </c>
    </row>
    <row r="6464" spans="6:7" x14ac:dyDescent="0.25">
      <c r="F6464">
        <v>6461</v>
      </c>
      <c r="G6464">
        <f ca="1">_xlfn.NORM.INV(RAND(),$M$7,$M$8)</f>
        <v>-5.4076078290925238E-3</v>
      </c>
    </row>
    <row r="6465" spans="6:7" x14ac:dyDescent="0.25">
      <c r="F6465">
        <v>6462</v>
      </c>
      <c r="G6465">
        <f ca="1">_xlfn.NORM.INV(RAND(),$M$7,$M$8)</f>
        <v>2.7775725829948757E-2</v>
      </c>
    </row>
    <row r="6466" spans="6:7" x14ac:dyDescent="0.25">
      <c r="F6466">
        <v>6463</v>
      </c>
      <c r="G6466">
        <f ca="1">_xlfn.NORM.INV(RAND(),$M$7,$M$8)</f>
        <v>-3.6700280550750107E-2</v>
      </c>
    </row>
    <row r="6467" spans="6:7" x14ac:dyDescent="0.25">
      <c r="F6467">
        <v>6464</v>
      </c>
      <c r="G6467">
        <f ca="1">_xlfn.NORM.INV(RAND(),$M$7,$M$8)</f>
        <v>5.0184059721179348E-3</v>
      </c>
    </row>
    <row r="6468" spans="6:7" x14ac:dyDescent="0.25">
      <c r="F6468">
        <v>6465</v>
      </c>
      <c r="G6468">
        <f ca="1">_xlfn.NORM.INV(RAND(),$M$7,$M$8)</f>
        <v>3.8685477256587906E-4</v>
      </c>
    </row>
    <row r="6469" spans="6:7" x14ac:dyDescent="0.25">
      <c r="F6469">
        <v>6466</v>
      </c>
      <c r="G6469">
        <f ca="1">_xlfn.NORM.INV(RAND(),$M$7,$M$8)</f>
        <v>1.9983954227366103E-2</v>
      </c>
    </row>
    <row r="6470" spans="6:7" x14ac:dyDescent="0.25">
      <c r="F6470">
        <v>6467</v>
      </c>
      <c r="G6470">
        <f ca="1">_xlfn.NORM.INV(RAND(),$M$7,$M$8)</f>
        <v>4.1564694888137438E-2</v>
      </c>
    </row>
    <row r="6471" spans="6:7" x14ac:dyDescent="0.25">
      <c r="F6471">
        <v>6468</v>
      </c>
      <c r="G6471">
        <f ca="1">_xlfn.NORM.INV(RAND(),$M$7,$M$8)</f>
        <v>-2.6492813165887839E-2</v>
      </c>
    </row>
    <row r="6472" spans="6:7" x14ac:dyDescent="0.25">
      <c r="F6472">
        <v>6469</v>
      </c>
      <c r="G6472">
        <f ca="1">_xlfn.NORM.INV(RAND(),$M$7,$M$8)</f>
        <v>2.550598428520108E-2</v>
      </c>
    </row>
    <row r="6473" spans="6:7" x14ac:dyDescent="0.25">
      <c r="F6473">
        <v>6470</v>
      </c>
      <c r="G6473">
        <f ca="1">_xlfn.NORM.INV(RAND(),$M$7,$M$8)</f>
        <v>2.6391942021069684E-3</v>
      </c>
    </row>
    <row r="6474" spans="6:7" x14ac:dyDescent="0.25">
      <c r="F6474">
        <v>6471</v>
      </c>
      <c r="G6474">
        <f ca="1">_xlfn.NORM.INV(RAND(),$M$7,$M$8)</f>
        <v>1.500437386135145E-2</v>
      </c>
    </row>
    <row r="6475" spans="6:7" x14ac:dyDescent="0.25">
      <c r="F6475">
        <v>6472</v>
      </c>
      <c r="G6475">
        <f ca="1">_xlfn.NORM.INV(RAND(),$M$7,$M$8)</f>
        <v>1.4977420083087655E-2</v>
      </c>
    </row>
    <row r="6476" spans="6:7" x14ac:dyDescent="0.25">
      <c r="F6476">
        <v>6473</v>
      </c>
      <c r="G6476">
        <f ca="1">_xlfn.NORM.INV(RAND(),$M$7,$M$8)</f>
        <v>-6.421115644057146E-3</v>
      </c>
    </row>
    <row r="6477" spans="6:7" x14ac:dyDescent="0.25">
      <c r="F6477">
        <v>6474</v>
      </c>
      <c r="G6477">
        <f ca="1">_xlfn.NORM.INV(RAND(),$M$7,$M$8)</f>
        <v>2.0634289212510528E-3</v>
      </c>
    </row>
    <row r="6478" spans="6:7" x14ac:dyDescent="0.25">
      <c r="F6478">
        <v>6475</v>
      </c>
      <c r="G6478">
        <f ca="1">_xlfn.NORM.INV(RAND(),$M$7,$M$8)</f>
        <v>-1.1880978017051062E-2</v>
      </c>
    </row>
    <row r="6479" spans="6:7" x14ac:dyDescent="0.25">
      <c r="F6479">
        <v>6476</v>
      </c>
      <c r="G6479">
        <f ca="1">_xlfn.NORM.INV(RAND(),$M$7,$M$8)</f>
        <v>-4.3175075385650102E-3</v>
      </c>
    </row>
    <row r="6480" spans="6:7" x14ac:dyDescent="0.25">
      <c r="F6480">
        <v>6477</v>
      </c>
      <c r="G6480">
        <f ca="1">_xlfn.NORM.INV(RAND(),$M$7,$M$8)</f>
        <v>2.7976896260270548E-3</v>
      </c>
    </row>
    <row r="6481" spans="6:7" x14ac:dyDescent="0.25">
      <c r="F6481">
        <v>6478</v>
      </c>
      <c r="G6481">
        <f ca="1">_xlfn.NORM.INV(RAND(),$M$7,$M$8)</f>
        <v>2.2499946487418699E-2</v>
      </c>
    </row>
    <row r="6482" spans="6:7" x14ac:dyDescent="0.25">
      <c r="F6482">
        <v>6479</v>
      </c>
      <c r="G6482">
        <f ca="1">_xlfn.NORM.INV(RAND(),$M$7,$M$8)</f>
        <v>-3.7789675785997741E-2</v>
      </c>
    </row>
    <row r="6483" spans="6:7" x14ac:dyDescent="0.25">
      <c r="F6483">
        <v>6480</v>
      </c>
      <c r="G6483">
        <f ca="1">_xlfn.NORM.INV(RAND(),$M$7,$M$8)</f>
        <v>6.5327549431795556E-2</v>
      </c>
    </row>
    <row r="6484" spans="6:7" x14ac:dyDescent="0.25">
      <c r="F6484">
        <v>6481</v>
      </c>
      <c r="G6484">
        <f ca="1">_xlfn.NORM.INV(RAND(),$M$7,$M$8)</f>
        <v>-2.3236833137670949E-2</v>
      </c>
    </row>
    <row r="6485" spans="6:7" x14ac:dyDescent="0.25">
      <c r="F6485">
        <v>6482</v>
      </c>
      <c r="G6485">
        <f ca="1">_xlfn.NORM.INV(RAND(),$M$7,$M$8)</f>
        <v>-1.0039303150217869E-2</v>
      </c>
    </row>
    <row r="6486" spans="6:7" x14ac:dyDescent="0.25">
      <c r="F6486">
        <v>6483</v>
      </c>
      <c r="G6486">
        <f ca="1">_xlfn.NORM.INV(RAND(),$M$7,$M$8)</f>
        <v>2.1580480612234408E-2</v>
      </c>
    </row>
    <row r="6487" spans="6:7" x14ac:dyDescent="0.25">
      <c r="F6487">
        <v>6484</v>
      </c>
      <c r="G6487">
        <f ca="1">_xlfn.NORM.INV(RAND(),$M$7,$M$8)</f>
        <v>-1.4155900008318486E-2</v>
      </c>
    </row>
    <row r="6488" spans="6:7" x14ac:dyDescent="0.25">
      <c r="F6488">
        <v>6485</v>
      </c>
      <c r="G6488">
        <f ca="1">_xlfn.NORM.INV(RAND(),$M$7,$M$8)</f>
        <v>-5.90582615382736E-3</v>
      </c>
    </row>
    <row r="6489" spans="6:7" x14ac:dyDescent="0.25">
      <c r="F6489">
        <v>6486</v>
      </c>
      <c r="G6489">
        <f ca="1">_xlfn.NORM.INV(RAND(),$M$7,$M$8)</f>
        <v>1.0086786977605247E-2</v>
      </c>
    </row>
    <row r="6490" spans="6:7" x14ac:dyDescent="0.25">
      <c r="F6490">
        <v>6487</v>
      </c>
      <c r="G6490">
        <f ca="1">_xlfn.NORM.INV(RAND(),$M$7,$M$8)</f>
        <v>5.9186304772926211E-2</v>
      </c>
    </row>
    <row r="6491" spans="6:7" x14ac:dyDescent="0.25">
      <c r="F6491">
        <v>6488</v>
      </c>
      <c r="G6491">
        <f ca="1">_xlfn.NORM.INV(RAND(),$M$7,$M$8)</f>
        <v>-2.3660011510553674E-2</v>
      </c>
    </row>
    <row r="6492" spans="6:7" x14ac:dyDescent="0.25">
      <c r="F6492">
        <v>6489</v>
      </c>
      <c r="G6492">
        <f ca="1">_xlfn.NORM.INV(RAND(),$M$7,$M$8)</f>
        <v>1.5102918943883353E-2</v>
      </c>
    </row>
    <row r="6493" spans="6:7" x14ac:dyDescent="0.25">
      <c r="F6493">
        <v>6490</v>
      </c>
      <c r="G6493">
        <f ca="1">_xlfn.NORM.INV(RAND(),$M$7,$M$8)</f>
        <v>-2.3587532526597229E-2</v>
      </c>
    </row>
    <row r="6494" spans="6:7" x14ac:dyDescent="0.25">
      <c r="F6494">
        <v>6491</v>
      </c>
      <c r="G6494">
        <f ca="1">_xlfn.NORM.INV(RAND(),$M$7,$M$8)</f>
        <v>3.7150177640444017E-2</v>
      </c>
    </row>
    <row r="6495" spans="6:7" x14ac:dyDescent="0.25">
      <c r="F6495">
        <v>6492</v>
      </c>
      <c r="G6495">
        <f ca="1">_xlfn.NORM.INV(RAND(),$M$7,$M$8)</f>
        <v>-3.2627730355746301E-2</v>
      </c>
    </row>
    <row r="6496" spans="6:7" x14ac:dyDescent="0.25">
      <c r="F6496">
        <v>6493</v>
      </c>
      <c r="G6496">
        <f ca="1">_xlfn.NORM.INV(RAND(),$M$7,$M$8)</f>
        <v>-1.8552135338860628E-2</v>
      </c>
    </row>
    <row r="6497" spans="6:7" x14ac:dyDescent="0.25">
      <c r="F6497">
        <v>6494</v>
      </c>
      <c r="G6497">
        <f ca="1">_xlfn.NORM.INV(RAND(),$M$7,$M$8)</f>
        <v>1.6344853818522614E-3</v>
      </c>
    </row>
    <row r="6498" spans="6:7" x14ac:dyDescent="0.25">
      <c r="F6498">
        <v>6495</v>
      </c>
      <c r="G6498">
        <f ca="1">_xlfn.NORM.INV(RAND(),$M$7,$M$8)</f>
        <v>2.9144570506144662E-3</v>
      </c>
    </row>
    <row r="6499" spans="6:7" x14ac:dyDescent="0.25">
      <c r="F6499">
        <v>6496</v>
      </c>
      <c r="G6499">
        <f ca="1">_xlfn.NORM.INV(RAND(),$M$7,$M$8)</f>
        <v>-5.4607437796916122E-3</v>
      </c>
    </row>
    <row r="6500" spans="6:7" x14ac:dyDescent="0.25">
      <c r="F6500">
        <v>6497</v>
      </c>
      <c r="G6500">
        <f ca="1">_xlfn.NORM.INV(RAND(),$M$7,$M$8)</f>
        <v>5.299015701596884E-2</v>
      </c>
    </row>
    <row r="6501" spans="6:7" x14ac:dyDescent="0.25">
      <c r="F6501">
        <v>6498</v>
      </c>
      <c r="G6501">
        <f ca="1">_xlfn.NORM.INV(RAND(),$M$7,$M$8)</f>
        <v>-7.5857798703608519E-3</v>
      </c>
    </row>
    <row r="6502" spans="6:7" x14ac:dyDescent="0.25">
      <c r="F6502">
        <v>6499</v>
      </c>
      <c r="G6502">
        <f ca="1">_xlfn.NORM.INV(RAND(),$M$7,$M$8)</f>
        <v>-1.2522102094457267E-2</v>
      </c>
    </row>
    <row r="6503" spans="6:7" x14ac:dyDescent="0.25">
      <c r="F6503">
        <v>6500</v>
      </c>
      <c r="G6503">
        <f ca="1">_xlfn.NORM.INV(RAND(),$M$7,$M$8)</f>
        <v>3.1305854412925917E-2</v>
      </c>
    </row>
    <row r="6504" spans="6:7" x14ac:dyDescent="0.25">
      <c r="F6504">
        <v>6501</v>
      </c>
      <c r="G6504">
        <f ca="1">_xlfn.NORM.INV(RAND(),$M$7,$M$8)</f>
        <v>4.8606698107846437E-2</v>
      </c>
    </row>
    <row r="6505" spans="6:7" x14ac:dyDescent="0.25">
      <c r="F6505">
        <v>6502</v>
      </c>
      <c r="G6505">
        <f ca="1">_xlfn.NORM.INV(RAND(),$M$7,$M$8)</f>
        <v>3.1482622304705048E-2</v>
      </c>
    </row>
    <row r="6506" spans="6:7" x14ac:dyDescent="0.25">
      <c r="F6506">
        <v>6503</v>
      </c>
      <c r="G6506">
        <f ca="1">_xlfn.NORM.INV(RAND(),$M$7,$M$8)</f>
        <v>-2.5911527859160212E-2</v>
      </c>
    </row>
    <row r="6507" spans="6:7" x14ac:dyDescent="0.25">
      <c r="F6507">
        <v>6504</v>
      </c>
      <c r="G6507">
        <f ca="1">_xlfn.NORM.INV(RAND(),$M$7,$M$8)</f>
        <v>3.8080171443057469E-2</v>
      </c>
    </row>
    <row r="6508" spans="6:7" x14ac:dyDescent="0.25">
      <c r="F6508">
        <v>6505</v>
      </c>
      <c r="G6508">
        <f ca="1">_xlfn.NORM.INV(RAND(),$M$7,$M$8)</f>
        <v>2.0408310307320949E-2</v>
      </c>
    </row>
    <row r="6509" spans="6:7" x14ac:dyDescent="0.25">
      <c r="F6509">
        <v>6506</v>
      </c>
      <c r="G6509">
        <f ca="1">_xlfn.NORM.INV(RAND(),$M$7,$M$8)</f>
        <v>2.6997790583485452E-2</v>
      </c>
    </row>
    <row r="6510" spans="6:7" x14ac:dyDescent="0.25">
      <c r="F6510">
        <v>6507</v>
      </c>
      <c r="G6510">
        <f ca="1">_xlfn.NORM.INV(RAND(),$M$7,$M$8)</f>
        <v>1.1711982586077928E-2</v>
      </c>
    </row>
    <row r="6511" spans="6:7" x14ac:dyDescent="0.25">
      <c r="F6511">
        <v>6508</v>
      </c>
      <c r="G6511">
        <f ca="1">_xlfn.NORM.INV(RAND(),$M$7,$M$8)</f>
        <v>-1.0433941443633925E-2</v>
      </c>
    </row>
    <row r="6512" spans="6:7" x14ac:dyDescent="0.25">
      <c r="F6512">
        <v>6509</v>
      </c>
      <c r="G6512">
        <f ca="1">_xlfn.NORM.INV(RAND(),$M$7,$M$8)</f>
        <v>-5.2885505554204709E-2</v>
      </c>
    </row>
    <row r="6513" spans="6:7" x14ac:dyDescent="0.25">
      <c r="F6513">
        <v>6510</v>
      </c>
      <c r="G6513">
        <f ca="1">_xlfn.NORM.INV(RAND(),$M$7,$M$8)</f>
        <v>-1.8447151128617112E-2</v>
      </c>
    </row>
    <row r="6514" spans="6:7" x14ac:dyDescent="0.25">
      <c r="F6514">
        <v>6511</v>
      </c>
      <c r="G6514">
        <f ca="1">_xlfn.NORM.INV(RAND(),$M$7,$M$8)</f>
        <v>-5.10391531050974E-3</v>
      </c>
    </row>
    <row r="6515" spans="6:7" x14ac:dyDescent="0.25">
      <c r="F6515">
        <v>6512</v>
      </c>
      <c r="G6515">
        <f ca="1">_xlfn.NORM.INV(RAND(),$M$7,$M$8)</f>
        <v>-8.363865853164492E-3</v>
      </c>
    </row>
    <row r="6516" spans="6:7" x14ac:dyDescent="0.25">
      <c r="F6516">
        <v>6513</v>
      </c>
      <c r="G6516">
        <f ca="1">_xlfn.NORM.INV(RAND(),$M$7,$M$8)</f>
        <v>-2.2662937634029916E-2</v>
      </c>
    </row>
    <row r="6517" spans="6:7" x14ac:dyDescent="0.25">
      <c r="F6517">
        <v>6514</v>
      </c>
      <c r="G6517">
        <f ca="1">_xlfn.NORM.INV(RAND(),$M$7,$M$8)</f>
        <v>2.0408229643051274E-3</v>
      </c>
    </row>
    <row r="6518" spans="6:7" x14ac:dyDescent="0.25">
      <c r="F6518">
        <v>6515</v>
      </c>
      <c r="G6518">
        <f ca="1">_xlfn.NORM.INV(RAND(),$M$7,$M$8)</f>
        <v>-1.4296767088055214E-2</v>
      </c>
    </row>
    <row r="6519" spans="6:7" x14ac:dyDescent="0.25">
      <c r="F6519">
        <v>6516</v>
      </c>
      <c r="G6519">
        <f ca="1">_xlfn.NORM.INV(RAND(),$M$7,$M$8)</f>
        <v>1.1466869625616552E-3</v>
      </c>
    </row>
    <row r="6520" spans="6:7" x14ac:dyDescent="0.25">
      <c r="F6520">
        <v>6517</v>
      </c>
      <c r="G6520">
        <f ca="1">_xlfn.NORM.INV(RAND(),$M$7,$M$8)</f>
        <v>9.8530644282459161E-3</v>
      </c>
    </row>
    <row r="6521" spans="6:7" x14ac:dyDescent="0.25">
      <c r="F6521">
        <v>6518</v>
      </c>
      <c r="G6521">
        <f ca="1">_xlfn.NORM.INV(RAND(),$M$7,$M$8)</f>
        <v>1.3536729514991831E-2</v>
      </c>
    </row>
    <row r="6522" spans="6:7" x14ac:dyDescent="0.25">
      <c r="F6522">
        <v>6519</v>
      </c>
      <c r="G6522">
        <f ca="1">_xlfn.NORM.INV(RAND(),$M$7,$M$8)</f>
        <v>-4.4647517712490779E-3</v>
      </c>
    </row>
    <row r="6523" spans="6:7" x14ac:dyDescent="0.25">
      <c r="F6523">
        <v>6520</v>
      </c>
      <c r="G6523">
        <f ca="1">_xlfn.NORM.INV(RAND(),$M$7,$M$8)</f>
        <v>4.9107725551189772E-2</v>
      </c>
    </row>
    <row r="6524" spans="6:7" x14ac:dyDescent="0.25">
      <c r="F6524">
        <v>6521</v>
      </c>
      <c r="G6524">
        <f ca="1">_xlfn.NORM.INV(RAND(),$M$7,$M$8)</f>
        <v>-1.871910536254965E-2</v>
      </c>
    </row>
    <row r="6525" spans="6:7" x14ac:dyDescent="0.25">
      <c r="F6525">
        <v>6522</v>
      </c>
      <c r="G6525">
        <f ca="1">_xlfn.NORM.INV(RAND(),$M$7,$M$8)</f>
        <v>-1.2273167499538672E-3</v>
      </c>
    </row>
    <row r="6526" spans="6:7" x14ac:dyDescent="0.25">
      <c r="F6526">
        <v>6523</v>
      </c>
      <c r="G6526">
        <f ca="1">_xlfn.NORM.INV(RAND(),$M$7,$M$8)</f>
        <v>-8.5522865862343814E-3</v>
      </c>
    </row>
    <row r="6527" spans="6:7" x14ac:dyDescent="0.25">
      <c r="F6527">
        <v>6524</v>
      </c>
      <c r="G6527">
        <f ca="1">_xlfn.NORM.INV(RAND(),$M$7,$M$8)</f>
        <v>2.7298325877887483E-2</v>
      </c>
    </row>
    <row r="6528" spans="6:7" x14ac:dyDescent="0.25">
      <c r="F6528">
        <v>6525</v>
      </c>
      <c r="G6528">
        <f ca="1">_xlfn.NORM.INV(RAND(),$M$7,$M$8)</f>
        <v>-2.1327883352878545E-2</v>
      </c>
    </row>
    <row r="6529" spans="6:7" x14ac:dyDescent="0.25">
      <c r="F6529">
        <v>6526</v>
      </c>
      <c r="G6529">
        <f ca="1">_xlfn.NORM.INV(RAND(),$M$7,$M$8)</f>
        <v>3.8555896380285774E-2</v>
      </c>
    </row>
    <row r="6530" spans="6:7" x14ac:dyDescent="0.25">
      <c r="F6530">
        <v>6527</v>
      </c>
      <c r="G6530">
        <f ca="1">_xlfn.NORM.INV(RAND(),$M$7,$M$8)</f>
        <v>3.3802146831354823E-2</v>
      </c>
    </row>
    <row r="6531" spans="6:7" x14ac:dyDescent="0.25">
      <c r="F6531">
        <v>6528</v>
      </c>
      <c r="G6531">
        <f ca="1">_xlfn.NORM.INV(RAND(),$M$7,$M$8)</f>
        <v>-2.7281784197496876E-4</v>
      </c>
    </row>
    <row r="6532" spans="6:7" x14ac:dyDescent="0.25">
      <c r="F6532">
        <v>6529</v>
      </c>
      <c r="G6532">
        <f ca="1">_xlfn.NORM.INV(RAND(),$M$7,$M$8)</f>
        <v>5.2049676664381577E-3</v>
      </c>
    </row>
    <row r="6533" spans="6:7" x14ac:dyDescent="0.25">
      <c r="F6533">
        <v>6530</v>
      </c>
      <c r="G6533">
        <f ca="1">_xlfn.NORM.INV(RAND(),$M$7,$M$8)</f>
        <v>1.7129757780636329E-2</v>
      </c>
    </row>
    <row r="6534" spans="6:7" x14ac:dyDescent="0.25">
      <c r="F6534">
        <v>6531</v>
      </c>
      <c r="G6534">
        <f ca="1">_xlfn.NORM.INV(RAND(),$M$7,$M$8)</f>
        <v>-2.7453442683686647E-2</v>
      </c>
    </row>
    <row r="6535" spans="6:7" x14ac:dyDescent="0.25">
      <c r="F6535">
        <v>6532</v>
      </c>
      <c r="G6535">
        <f ca="1">_xlfn.NORM.INV(RAND(),$M$7,$M$8)</f>
        <v>-2.3100664495765613E-2</v>
      </c>
    </row>
    <row r="6536" spans="6:7" x14ac:dyDescent="0.25">
      <c r="F6536">
        <v>6533</v>
      </c>
      <c r="G6536">
        <f ca="1">_xlfn.NORM.INV(RAND(),$M$7,$M$8)</f>
        <v>-2.2834494255630264E-2</v>
      </c>
    </row>
    <row r="6537" spans="6:7" x14ac:dyDescent="0.25">
      <c r="F6537">
        <v>6534</v>
      </c>
      <c r="G6537">
        <f ca="1">_xlfn.NORM.INV(RAND(),$M$7,$M$8)</f>
        <v>3.480423346328803E-2</v>
      </c>
    </row>
    <row r="6538" spans="6:7" x14ac:dyDescent="0.25">
      <c r="F6538">
        <v>6535</v>
      </c>
      <c r="G6538">
        <f ca="1">_xlfn.NORM.INV(RAND(),$M$7,$M$8)</f>
        <v>-1.5048232931056518E-2</v>
      </c>
    </row>
    <row r="6539" spans="6:7" x14ac:dyDescent="0.25">
      <c r="F6539">
        <v>6536</v>
      </c>
      <c r="G6539">
        <f ca="1">_xlfn.NORM.INV(RAND(),$M$7,$M$8)</f>
        <v>-5.0794347997766311E-3</v>
      </c>
    </row>
    <row r="6540" spans="6:7" x14ac:dyDescent="0.25">
      <c r="F6540">
        <v>6537</v>
      </c>
      <c r="G6540">
        <f ca="1">_xlfn.NORM.INV(RAND(),$M$7,$M$8)</f>
        <v>9.2567809552273998E-3</v>
      </c>
    </row>
    <row r="6541" spans="6:7" x14ac:dyDescent="0.25">
      <c r="F6541">
        <v>6538</v>
      </c>
      <c r="G6541">
        <f ca="1">_xlfn.NORM.INV(RAND(),$M$7,$M$8)</f>
        <v>-2.6246799580239916E-2</v>
      </c>
    </row>
    <row r="6542" spans="6:7" x14ac:dyDescent="0.25">
      <c r="F6542">
        <v>6539</v>
      </c>
      <c r="G6542">
        <f ca="1">_xlfn.NORM.INV(RAND(),$M$7,$M$8)</f>
        <v>-2.0553392882563429E-2</v>
      </c>
    </row>
    <row r="6543" spans="6:7" x14ac:dyDescent="0.25">
      <c r="F6543">
        <v>6540</v>
      </c>
      <c r="G6543">
        <f ca="1">_xlfn.NORM.INV(RAND(),$M$7,$M$8)</f>
        <v>1.7013084935361255E-2</v>
      </c>
    </row>
    <row r="6544" spans="6:7" x14ac:dyDescent="0.25">
      <c r="F6544">
        <v>6541</v>
      </c>
      <c r="G6544">
        <f ca="1">_xlfn.NORM.INV(RAND(),$M$7,$M$8)</f>
        <v>1.5562258016256577E-2</v>
      </c>
    </row>
    <row r="6545" spans="6:7" x14ac:dyDescent="0.25">
      <c r="F6545">
        <v>6542</v>
      </c>
      <c r="G6545">
        <f ca="1">_xlfn.NORM.INV(RAND(),$M$7,$M$8)</f>
        <v>-4.7505744129549155E-3</v>
      </c>
    </row>
    <row r="6546" spans="6:7" x14ac:dyDescent="0.25">
      <c r="F6546">
        <v>6543</v>
      </c>
      <c r="G6546">
        <f ca="1">_xlfn.NORM.INV(RAND(),$M$7,$M$8)</f>
        <v>2.0211310996586726E-2</v>
      </c>
    </row>
    <row r="6547" spans="6:7" x14ac:dyDescent="0.25">
      <c r="F6547">
        <v>6544</v>
      </c>
      <c r="G6547">
        <f ca="1">_xlfn.NORM.INV(RAND(),$M$7,$M$8)</f>
        <v>-2.2795592514916113E-2</v>
      </c>
    </row>
    <row r="6548" spans="6:7" x14ac:dyDescent="0.25">
      <c r="F6548">
        <v>6545</v>
      </c>
      <c r="G6548">
        <f ca="1">_xlfn.NORM.INV(RAND(),$M$7,$M$8)</f>
        <v>3.4915557663467121E-2</v>
      </c>
    </row>
    <row r="6549" spans="6:7" x14ac:dyDescent="0.25">
      <c r="F6549">
        <v>6546</v>
      </c>
      <c r="G6549">
        <f ca="1">_xlfn.NORM.INV(RAND(),$M$7,$M$8)</f>
        <v>1.8799725961815495E-2</v>
      </c>
    </row>
    <row r="6550" spans="6:7" x14ac:dyDescent="0.25">
      <c r="F6550">
        <v>6547</v>
      </c>
      <c r="G6550">
        <f ca="1">_xlfn.NORM.INV(RAND(),$M$7,$M$8)</f>
        <v>4.0324558159442449E-2</v>
      </c>
    </row>
    <row r="6551" spans="6:7" x14ac:dyDescent="0.25">
      <c r="F6551">
        <v>6548</v>
      </c>
      <c r="G6551">
        <f ca="1">_xlfn.NORM.INV(RAND(),$M$7,$M$8)</f>
        <v>1.1537215620731345E-2</v>
      </c>
    </row>
    <row r="6552" spans="6:7" x14ac:dyDescent="0.25">
      <c r="F6552">
        <v>6549</v>
      </c>
      <c r="G6552">
        <f ca="1">_xlfn.NORM.INV(RAND(),$M$7,$M$8)</f>
        <v>1.7994831235100699E-2</v>
      </c>
    </row>
    <row r="6553" spans="6:7" x14ac:dyDescent="0.25">
      <c r="F6553">
        <v>6550</v>
      </c>
      <c r="G6553">
        <f ca="1">_xlfn.NORM.INV(RAND(),$M$7,$M$8)</f>
        <v>2.4704535577997736E-2</v>
      </c>
    </row>
    <row r="6554" spans="6:7" x14ac:dyDescent="0.25">
      <c r="F6554">
        <v>6551</v>
      </c>
      <c r="G6554">
        <f ca="1">_xlfn.NORM.INV(RAND(),$M$7,$M$8)</f>
        <v>5.5073408720419402E-2</v>
      </c>
    </row>
    <row r="6555" spans="6:7" x14ac:dyDescent="0.25">
      <c r="F6555">
        <v>6552</v>
      </c>
      <c r="G6555">
        <f ca="1">_xlfn.NORM.INV(RAND(),$M$7,$M$8)</f>
        <v>-5.1379759351091979E-3</v>
      </c>
    </row>
    <row r="6556" spans="6:7" x14ac:dyDescent="0.25">
      <c r="F6556">
        <v>6553</v>
      </c>
      <c r="G6556">
        <f ca="1">_xlfn.NORM.INV(RAND(),$M$7,$M$8)</f>
        <v>1.1837188963754698E-3</v>
      </c>
    </row>
    <row r="6557" spans="6:7" x14ac:dyDescent="0.25">
      <c r="F6557">
        <v>6554</v>
      </c>
      <c r="G6557">
        <f ca="1">_xlfn.NORM.INV(RAND(),$M$7,$M$8)</f>
        <v>-2.2570622956035128E-2</v>
      </c>
    </row>
    <row r="6558" spans="6:7" x14ac:dyDescent="0.25">
      <c r="F6558">
        <v>6555</v>
      </c>
      <c r="G6558">
        <f ca="1">_xlfn.NORM.INV(RAND(),$M$7,$M$8)</f>
        <v>-2.1570802711295984E-2</v>
      </c>
    </row>
    <row r="6559" spans="6:7" x14ac:dyDescent="0.25">
      <c r="F6559">
        <v>6556</v>
      </c>
      <c r="G6559">
        <f ca="1">_xlfn.NORM.INV(RAND(),$M$7,$M$8)</f>
        <v>2.8917123766360874E-2</v>
      </c>
    </row>
    <row r="6560" spans="6:7" x14ac:dyDescent="0.25">
      <c r="F6560">
        <v>6557</v>
      </c>
      <c r="G6560">
        <f ca="1">_xlfn.NORM.INV(RAND(),$M$7,$M$8)</f>
        <v>-1.1207572424932042E-2</v>
      </c>
    </row>
    <row r="6561" spans="6:7" x14ac:dyDescent="0.25">
      <c r="F6561">
        <v>6558</v>
      </c>
      <c r="G6561">
        <f ca="1">_xlfn.NORM.INV(RAND(),$M$7,$M$8)</f>
        <v>-9.3858057210476561E-3</v>
      </c>
    </row>
    <row r="6562" spans="6:7" x14ac:dyDescent="0.25">
      <c r="F6562">
        <v>6559</v>
      </c>
      <c r="G6562">
        <f ca="1">_xlfn.NORM.INV(RAND(),$M$7,$M$8)</f>
        <v>2.5775026695823287E-2</v>
      </c>
    </row>
    <row r="6563" spans="6:7" x14ac:dyDescent="0.25">
      <c r="F6563">
        <v>6560</v>
      </c>
      <c r="G6563">
        <f ca="1">_xlfn.NORM.INV(RAND(),$M$7,$M$8)</f>
        <v>-9.8885321804091254E-3</v>
      </c>
    </row>
    <row r="6564" spans="6:7" x14ac:dyDescent="0.25">
      <c r="F6564">
        <v>6561</v>
      </c>
      <c r="G6564">
        <f ca="1">_xlfn.NORM.INV(RAND(),$M$7,$M$8)</f>
        <v>4.4696818141028091E-3</v>
      </c>
    </row>
    <row r="6565" spans="6:7" x14ac:dyDescent="0.25">
      <c r="F6565">
        <v>6562</v>
      </c>
      <c r="G6565">
        <f ca="1">_xlfn.NORM.INV(RAND(),$M$7,$M$8)</f>
        <v>-5.1079544066100924E-3</v>
      </c>
    </row>
    <row r="6566" spans="6:7" x14ac:dyDescent="0.25">
      <c r="F6566">
        <v>6563</v>
      </c>
      <c r="G6566">
        <f ca="1">_xlfn.NORM.INV(RAND(),$M$7,$M$8)</f>
        <v>1.5388382171896454E-3</v>
      </c>
    </row>
    <row r="6567" spans="6:7" x14ac:dyDescent="0.25">
      <c r="F6567">
        <v>6564</v>
      </c>
      <c r="G6567">
        <f ca="1">_xlfn.NORM.INV(RAND(),$M$7,$M$8)</f>
        <v>1.4805202452951177E-2</v>
      </c>
    </row>
    <row r="6568" spans="6:7" x14ac:dyDescent="0.25">
      <c r="F6568">
        <v>6565</v>
      </c>
      <c r="G6568">
        <f ca="1">_xlfn.NORM.INV(RAND(),$M$7,$M$8)</f>
        <v>2.7939421605067426E-2</v>
      </c>
    </row>
    <row r="6569" spans="6:7" x14ac:dyDescent="0.25">
      <c r="F6569">
        <v>6566</v>
      </c>
      <c r="G6569">
        <f ca="1">_xlfn.NORM.INV(RAND(),$M$7,$M$8)</f>
        <v>2.7794514384609836E-2</v>
      </c>
    </row>
    <row r="6570" spans="6:7" x14ac:dyDescent="0.25">
      <c r="F6570">
        <v>6567</v>
      </c>
      <c r="G6570">
        <f ca="1">_xlfn.NORM.INV(RAND(),$M$7,$M$8)</f>
        <v>-2.3348306848494718E-2</v>
      </c>
    </row>
    <row r="6571" spans="6:7" x14ac:dyDescent="0.25">
      <c r="F6571">
        <v>6568</v>
      </c>
      <c r="G6571">
        <f ca="1">_xlfn.NORM.INV(RAND(),$M$7,$M$8)</f>
        <v>3.3871412099701632E-2</v>
      </c>
    </row>
    <row r="6572" spans="6:7" x14ac:dyDescent="0.25">
      <c r="F6572">
        <v>6569</v>
      </c>
      <c r="G6572">
        <f ca="1">_xlfn.NORM.INV(RAND(),$M$7,$M$8)</f>
        <v>1.0268135826672816E-2</v>
      </c>
    </row>
    <row r="6573" spans="6:7" x14ac:dyDescent="0.25">
      <c r="F6573">
        <v>6570</v>
      </c>
      <c r="G6573">
        <f ca="1">_xlfn.NORM.INV(RAND(),$M$7,$M$8)</f>
        <v>1.9967376812156774E-2</v>
      </c>
    </row>
    <row r="6574" spans="6:7" x14ac:dyDescent="0.25">
      <c r="F6574">
        <v>6571</v>
      </c>
      <c r="G6574">
        <f ca="1">_xlfn.NORM.INV(RAND(),$M$7,$M$8)</f>
        <v>1.6659110379263393E-2</v>
      </c>
    </row>
    <row r="6575" spans="6:7" x14ac:dyDescent="0.25">
      <c r="F6575">
        <v>6572</v>
      </c>
      <c r="G6575">
        <f ca="1">_xlfn.NORM.INV(RAND(),$M$7,$M$8)</f>
        <v>-1.8322890273134531E-3</v>
      </c>
    </row>
    <row r="6576" spans="6:7" x14ac:dyDescent="0.25">
      <c r="F6576">
        <v>6573</v>
      </c>
      <c r="G6576">
        <f ca="1">_xlfn.NORM.INV(RAND(),$M$7,$M$8)</f>
        <v>-7.1628267821227699E-3</v>
      </c>
    </row>
    <row r="6577" spans="6:7" x14ac:dyDescent="0.25">
      <c r="F6577">
        <v>6574</v>
      </c>
      <c r="G6577">
        <f ca="1">_xlfn.NORM.INV(RAND(),$M$7,$M$8)</f>
        <v>7.9738479516928257E-4</v>
      </c>
    </row>
    <row r="6578" spans="6:7" x14ac:dyDescent="0.25">
      <c r="F6578">
        <v>6575</v>
      </c>
      <c r="G6578">
        <f ca="1">_xlfn.NORM.INV(RAND(),$M$7,$M$8)</f>
        <v>4.9256318541314875E-3</v>
      </c>
    </row>
    <row r="6579" spans="6:7" x14ac:dyDescent="0.25">
      <c r="F6579">
        <v>6576</v>
      </c>
      <c r="G6579">
        <f ca="1">_xlfn.NORM.INV(RAND(),$M$7,$M$8)</f>
        <v>1.0206939561978818E-2</v>
      </c>
    </row>
    <row r="6580" spans="6:7" x14ac:dyDescent="0.25">
      <c r="F6580">
        <v>6577</v>
      </c>
      <c r="G6580">
        <f ca="1">_xlfn.NORM.INV(RAND(),$M$7,$M$8)</f>
        <v>8.2126382907884185E-4</v>
      </c>
    </row>
    <row r="6581" spans="6:7" x14ac:dyDescent="0.25">
      <c r="F6581">
        <v>6578</v>
      </c>
      <c r="G6581">
        <f ca="1">_xlfn.NORM.INV(RAND(),$M$7,$M$8)</f>
        <v>1.9450715199919196E-2</v>
      </c>
    </row>
    <row r="6582" spans="6:7" x14ac:dyDescent="0.25">
      <c r="F6582">
        <v>6579</v>
      </c>
      <c r="G6582">
        <f ca="1">_xlfn.NORM.INV(RAND(),$M$7,$M$8)</f>
        <v>-3.3863378556853278E-2</v>
      </c>
    </row>
    <row r="6583" spans="6:7" x14ac:dyDescent="0.25">
      <c r="F6583">
        <v>6580</v>
      </c>
      <c r="G6583">
        <f ca="1">_xlfn.NORM.INV(RAND(),$M$7,$M$8)</f>
        <v>-2.356956473274379E-2</v>
      </c>
    </row>
    <row r="6584" spans="6:7" x14ac:dyDescent="0.25">
      <c r="F6584">
        <v>6581</v>
      </c>
      <c r="G6584">
        <f ca="1">_xlfn.NORM.INV(RAND(),$M$7,$M$8)</f>
        <v>2.424222381166621E-2</v>
      </c>
    </row>
    <row r="6585" spans="6:7" x14ac:dyDescent="0.25">
      <c r="F6585">
        <v>6582</v>
      </c>
      <c r="G6585">
        <f ca="1">_xlfn.NORM.INV(RAND(),$M$7,$M$8)</f>
        <v>4.3411314392072606E-3</v>
      </c>
    </row>
    <row r="6586" spans="6:7" x14ac:dyDescent="0.25">
      <c r="F6586">
        <v>6583</v>
      </c>
      <c r="G6586">
        <f ca="1">_xlfn.NORM.INV(RAND(),$M$7,$M$8)</f>
        <v>4.3619418109377237E-2</v>
      </c>
    </row>
    <row r="6587" spans="6:7" x14ac:dyDescent="0.25">
      <c r="F6587">
        <v>6584</v>
      </c>
      <c r="G6587">
        <f ca="1">_xlfn.NORM.INV(RAND(),$M$7,$M$8)</f>
        <v>-3.9581463094474134E-2</v>
      </c>
    </row>
    <row r="6588" spans="6:7" x14ac:dyDescent="0.25">
      <c r="F6588">
        <v>6585</v>
      </c>
      <c r="G6588">
        <f ca="1">_xlfn.NORM.INV(RAND(),$M$7,$M$8)</f>
        <v>4.2369454358385128E-2</v>
      </c>
    </row>
    <row r="6589" spans="6:7" x14ac:dyDescent="0.25">
      <c r="F6589">
        <v>6586</v>
      </c>
      <c r="G6589">
        <f ca="1">_xlfn.NORM.INV(RAND(),$M$7,$M$8)</f>
        <v>-7.6186041325453174E-2</v>
      </c>
    </row>
    <row r="6590" spans="6:7" x14ac:dyDescent="0.25">
      <c r="F6590">
        <v>6587</v>
      </c>
      <c r="G6590">
        <f ca="1">_xlfn.NORM.INV(RAND(),$M$7,$M$8)</f>
        <v>2.6764035631675342E-2</v>
      </c>
    </row>
    <row r="6591" spans="6:7" x14ac:dyDescent="0.25">
      <c r="F6591">
        <v>6588</v>
      </c>
      <c r="G6591">
        <f ca="1">_xlfn.NORM.INV(RAND(),$M$7,$M$8)</f>
        <v>2.5648166915272906E-2</v>
      </c>
    </row>
    <row r="6592" spans="6:7" x14ac:dyDescent="0.25">
      <c r="F6592">
        <v>6589</v>
      </c>
      <c r="G6592">
        <f ca="1">_xlfn.NORM.INV(RAND(),$M$7,$M$8)</f>
        <v>7.5553344638114323E-3</v>
      </c>
    </row>
    <row r="6593" spans="6:7" x14ac:dyDescent="0.25">
      <c r="F6593">
        <v>6590</v>
      </c>
      <c r="G6593">
        <f ca="1">_xlfn.NORM.INV(RAND(),$M$7,$M$8)</f>
        <v>-6.8932328441266913E-3</v>
      </c>
    </row>
    <row r="6594" spans="6:7" x14ac:dyDescent="0.25">
      <c r="F6594">
        <v>6591</v>
      </c>
      <c r="G6594">
        <f ca="1">_xlfn.NORM.INV(RAND(),$M$7,$M$8)</f>
        <v>1.6043623020360095E-2</v>
      </c>
    </row>
    <row r="6595" spans="6:7" x14ac:dyDescent="0.25">
      <c r="F6595">
        <v>6592</v>
      </c>
      <c r="G6595">
        <f ca="1">_xlfn.NORM.INV(RAND(),$M$7,$M$8)</f>
        <v>-2.1326081058415606E-3</v>
      </c>
    </row>
    <row r="6596" spans="6:7" x14ac:dyDescent="0.25">
      <c r="F6596">
        <v>6593</v>
      </c>
      <c r="G6596">
        <f ca="1">_xlfn.NORM.INV(RAND(),$M$7,$M$8)</f>
        <v>-5.2441250500046121E-3</v>
      </c>
    </row>
    <row r="6597" spans="6:7" x14ac:dyDescent="0.25">
      <c r="F6597">
        <v>6594</v>
      </c>
      <c r="G6597">
        <f ca="1">_xlfn.NORM.INV(RAND(),$M$7,$M$8)</f>
        <v>1.6774963561025591E-2</v>
      </c>
    </row>
    <row r="6598" spans="6:7" x14ac:dyDescent="0.25">
      <c r="F6598">
        <v>6595</v>
      </c>
      <c r="G6598">
        <f ca="1">_xlfn.NORM.INV(RAND(),$M$7,$M$8)</f>
        <v>-1.1887207663195285E-3</v>
      </c>
    </row>
    <row r="6599" spans="6:7" x14ac:dyDescent="0.25">
      <c r="F6599">
        <v>6596</v>
      </c>
      <c r="G6599">
        <f ca="1">_xlfn.NORM.INV(RAND(),$M$7,$M$8)</f>
        <v>-1.425566877828306E-2</v>
      </c>
    </row>
    <row r="6600" spans="6:7" x14ac:dyDescent="0.25">
      <c r="F6600">
        <v>6597</v>
      </c>
      <c r="G6600">
        <f ca="1">_xlfn.NORM.INV(RAND(),$M$7,$M$8)</f>
        <v>-9.2741034213491662E-3</v>
      </c>
    </row>
    <row r="6601" spans="6:7" x14ac:dyDescent="0.25">
      <c r="F6601">
        <v>6598</v>
      </c>
      <c r="G6601">
        <f ca="1">_xlfn.NORM.INV(RAND(),$M$7,$M$8)</f>
        <v>-2.7994924411389736E-2</v>
      </c>
    </row>
    <row r="6602" spans="6:7" x14ac:dyDescent="0.25">
      <c r="F6602">
        <v>6599</v>
      </c>
      <c r="G6602">
        <f ca="1">_xlfn.NORM.INV(RAND(),$M$7,$M$8)</f>
        <v>1.4480209839038605E-2</v>
      </c>
    </row>
    <row r="6603" spans="6:7" x14ac:dyDescent="0.25">
      <c r="F6603">
        <v>6600</v>
      </c>
      <c r="G6603">
        <f ca="1">_xlfn.NORM.INV(RAND(),$M$7,$M$8)</f>
        <v>2.8330467291526443E-2</v>
      </c>
    </row>
    <row r="6604" spans="6:7" x14ac:dyDescent="0.25">
      <c r="F6604">
        <v>6601</v>
      </c>
      <c r="G6604">
        <f ca="1">_xlfn.NORM.INV(RAND(),$M$7,$M$8)</f>
        <v>-3.9203562721036908E-2</v>
      </c>
    </row>
    <row r="6605" spans="6:7" x14ac:dyDescent="0.25">
      <c r="F6605">
        <v>6602</v>
      </c>
      <c r="G6605">
        <f ca="1">_xlfn.NORM.INV(RAND(),$M$7,$M$8)</f>
        <v>5.4925588562806712E-3</v>
      </c>
    </row>
    <row r="6606" spans="6:7" x14ac:dyDescent="0.25">
      <c r="F6606">
        <v>6603</v>
      </c>
      <c r="G6606">
        <f ca="1">_xlfn.NORM.INV(RAND(),$M$7,$M$8)</f>
        <v>-2.8973899579329918E-2</v>
      </c>
    </row>
    <row r="6607" spans="6:7" x14ac:dyDescent="0.25">
      <c r="F6607">
        <v>6604</v>
      </c>
      <c r="G6607">
        <f ca="1">_xlfn.NORM.INV(RAND(),$M$7,$M$8)</f>
        <v>-1.4208071892440634E-2</v>
      </c>
    </row>
    <row r="6608" spans="6:7" x14ac:dyDescent="0.25">
      <c r="F6608">
        <v>6605</v>
      </c>
      <c r="G6608">
        <f ca="1">_xlfn.NORM.INV(RAND(),$M$7,$M$8)</f>
        <v>8.9890722917974532E-3</v>
      </c>
    </row>
    <row r="6609" spans="6:7" x14ac:dyDescent="0.25">
      <c r="F6609">
        <v>6606</v>
      </c>
      <c r="G6609">
        <f ca="1">_xlfn.NORM.INV(RAND(),$M$7,$M$8)</f>
        <v>2.5149002639209751E-2</v>
      </c>
    </row>
    <row r="6610" spans="6:7" x14ac:dyDescent="0.25">
      <c r="F6610">
        <v>6607</v>
      </c>
      <c r="G6610">
        <f ca="1">_xlfn.NORM.INV(RAND(),$M$7,$M$8)</f>
        <v>1.0764478254186506E-2</v>
      </c>
    </row>
    <row r="6611" spans="6:7" x14ac:dyDescent="0.25">
      <c r="F6611">
        <v>6608</v>
      </c>
      <c r="G6611">
        <f ca="1">_xlfn.NORM.INV(RAND(),$M$7,$M$8)</f>
        <v>8.8643895205375526E-3</v>
      </c>
    </row>
    <row r="6612" spans="6:7" x14ac:dyDescent="0.25">
      <c r="F6612">
        <v>6609</v>
      </c>
      <c r="G6612">
        <f ca="1">_xlfn.NORM.INV(RAND(),$M$7,$M$8)</f>
        <v>-4.2380769582158077E-2</v>
      </c>
    </row>
    <row r="6613" spans="6:7" x14ac:dyDescent="0.25">
      <c r="F6613">
        <v>6610</v>
      </c>
      <c r="G6613">
        <f ca="1">_xlfn.NORM.INV(RAND(),$M$7,$M$8)</f>
        <v>1.9577249156529117E-2</v>
      </c>
    </row>
    <row r="6614" spans="6:7" x14ac:dyDescent="0.25">
      <c r="F6614">
        <v>6611</v>
      </c>
      <c r="G6614">
        <f ca="1">_xlfn.NORM.INV(RAND(),$M$7,$M$8)</f>
        <v>1.2309882449483252E-2</v>
      </c>
    </row>
    <row r="6615" spans="6:7" x14ac:dyDescent="0.25">
      <c r="F6615">
        <v>6612</v>
      </c>
      <c r="G6615">
        <f ca="1">_xlfn.NORM.INV(RAND(),$M$7,$M$8)</f>
        <v>-1.7241214293099147E-2</v>
      </c>
    </row>
    <row r="6616" spans="6:7" x14ac:dyDescent="0.25">
      <c r="F6616">
        <v>6613</v>
      </c>
      <c r="G6616">
        <f ca="1">_xlfn.NORM.INV(RAND(),$M$7,$M$8)</f>
        <v>-5.5890679483233272E-2</v>
      </c>
    </row>
    <row r="6617" spans="6:7" x14ac:dyDescent="0.25">
      <c r="F6617">
        <v>6614</v>
      </c>
      <c r="G6617">
        <f ca="1">_xlfn.NORM.INV(RAND(),$M$7,$M$8)</f>
        <v>-1.0947194989407629E-2</v>
      </c>
    </row>
    <row r="6618" spans="6:7" x14ac:dyDescent="0.25">
      <c r="F6618">
        <v>6615</v>
      </c>
      <c r="G6618">
        <f ca="1">_xlfn.NORM.INV(RAND(),$M$7,$M$8)</f>
        <v>-1.3464162441984679E-3</v>
      </c>
    </row>
    <row r="6619" spans="6:7" x14ac:dyDescent="0.25">
      <c r="F6619">
        <v>6616</v>
      </c>
      <c r="G6619">
        <f ca="1">_xlfn.NORM.INV(RAND(),$M$7,$M$8)</f>
        <v>4.2047032491706823E-4</v>
      </c>
    </row>
    <row r="6620" spans="6:7" x14ac:dyDescent="0.25">
      <c r="F6620">
        <v>6617</v>
      </c>
      <c r="G6620">
        <f ca="1">_xlfn.NORM.INV(RAND(),$M$7,$M$8)</f>
        <v>3.154506856562528E-3</v>
      </c>
    </row>
    <row r="6621" spans="6:7" x14ac:dyDescent="0.25">
      <c r="F6621">
        <v>6618</v>
      </c>
      <c r="G6621">
        <f ca="1">_xlfn.NORM.INV(RAND(),$M$7,$M$8)</f>
        <v>-4.8524343303350051E-3</v>
      </c>
    </row>
    <row r="6622" spans="6:7" x14ac:dyDescent="0.25">
      <c r="F6622">
        <v>6619</v>
      </c>
      <c r="G6622">
        <f ca="1">_xlfn.NORM.INV(RAND(),$M$7,$M$8)</f>
        <v>1.796137860999189E-2</v>
      </c>
    </row>
    <row r="6623" spans="6:7" x14ac:dyDescent="0.25">
      <c r="F6623">
        <v>6620</v>
      </c>
      <c r="G6623">
        <f ca="1">_xlfn.NORM.INV(RAND(),$M$7,$M$8)</f>
        <v>1.1437981111856239E-2</v>
      </c>
    </row>
    <row r="6624" spans="6:7" x14ac:dyDescent="0.25">
      <c r="F6624">
        <v>6621</v>
      </c>
      <c r="G6624">
        <f ca="1">_xlfn.NORM.INV(RAND(),$M$7,$M$8)</f>
        <v>-2.3753651732047534E-3</v>
      </c>
    </row>
    <row r="6625" spans="6:7" x14ac:dyDescent="0.25">
      <c r="F6625">
        <v>6622</v>
      </c>
      <c r="G6625">
        <f ca="1">_xlfn.NORM.INV(RAND(),$M$7,$M$8)</f>
        <v>-2.3519799141642043E-2</v>
      </c>
    </row>
    <row r="6626" spans="6:7" x14ac:dyDescent="0.25">
      <c r="F6626">
        <v>6623</v>
      </c>
      <c r="G6626">
        <f ca="1">_xlfn.NORM.INV(RAND(),$M$7,$M$8)</f>
        <v>-7.2154932458644017E-3</v>
      </c>
    </row>
    <row r="6627" spans="6:7" x14ac:dyDescent="0.25">
      <c r="F6627">
        <v>6624</v>
      </c>
      <c r="G6627">
        <f ca="1">_xlfn.NORM.INV(RAND(),$M$7,$M$8)</f>
        <v>6.1585610054380555E-2</v>
      </c>
    </row>
    <row r="6628" spans="6:7" x14ac:dyDescent="0.25">
      <c r="F6628">
        <v>6625</v>
      </c>
      <c r="G6628">
        <f ca="1">_xlfn.NORM.INV(RAND(),$M$7,$M$8)</f>
        <v>3.0138102001310833E-2</v>
      </c>
    </row>
    <row r="6629" spans="6:7" x14ac:dyDescent="0.25">
      <c r="F6629">
        <v>6626</v>
      </c>
      <c r="G6629">
        <f ca="1">_xlfn.NORM.INV(RAND(),$M$7,$M$8)</f>
        <v>-1.5014131638044634E-2</v>
      </c>
    </row>
    <row r="6630" spans="6:7" x14ac:dyDescent="0.25">
      <c r="F6630">
        <v>6627</v>
      </c>
      <c r="G6630">
        <f ca="1">_xlfn.NORM.INV(RAND(),$M$7,$M$8)</f>
        <v>-6.1132912021478539E-3</v>
      </c>
    </row>
    <row r="6631" spans="6:7" x14ac:dyDescent="0.25">
      <c r="F6631">
        <v>6628</v>
      </c>
      <c r="G6631">
        <f ca="1">_xlfn.NORM.INV(RAND(),$M$7,$M$8)</f>
        <v>2.0341200896020463E-2</v>
      </c>
    </row>
    <row r="6632" spans="6:7" x14ac:dyDescent="0.25">
      <c r="F6632">
        <v>6629</v>
      </c>
      <c r="G6632">
        <f ca="1">_xlfn.NORM.INV(RAND(),$M$7,$M$8)</f>
        <v>9.3512998719000994E-3</v>
      </c>
    </row>
    <row r="6633" spans="6:7" x14ac:dyDescent="0.25">
      <c r="F6633">
        <v>6630</v>
      </c>
      <c r="G6633">
        <f ca="1">_xlfn.NORM.INV(RAND(),$M$7,$M$8)</f>
        <v>-2.1768309718904054E-2</v>
      </c>
    </row>
    <row r="6634" spans="6:7" x14ac:dyDescent="0.25">
      <c r="F6634">
        <v>6631</v>
      </c>
      <c r="G6634">
        <f ca="1">_xlfn.NORM.INV(RAND(),$M$7,$M$8)</f>
        <v>2.6079478515269067E-2</v>
      </c>
    </row>
    <row r="6635" spans="6:7" x14ac:dyDescent="0.25">
      <c r="F6635">
        <v>6632</v>
      </c>
      <c r="G6635">
        <f ca="1">_xlfn.NORM.INV(RAND(),$M$7,$M$8)</f>
        <v>-1.3408242505833792E-2</v>
      </c>
    </row>
    <row r="6636" spans="6:7" x14ac:dyDescent="0.25">
      <c r="F6636">
        <v>6633</v>
      </c>
      <c r="G6636">
        <f ca="1">_xlfn.NORM.INV(RAND(),$M$7,$M$8)</f>
        <v>2.1668642053337E-2</v>
      </c>
    </row>
    <row r="6637" spans="6:7" x14ac:dyDescent="0.25">
      <c r="F6637">
        <v>6634</v>
      </c>
      <c r="G6637">
        <f ca="1">_xlfn.NORM.INV(RAND(),$M$7,$M$8)</f>
        <v>2.7994379337120168E-2</v>
      </c>
    </row>
    <row r="6638" spans="6:7" x14ac:dyDescent="0.25">
      <c r="F6638">
        <v>6635</v>
      </c>
      <c r="G6638">
        <f ca="1">_xlfn.NORM.INV(RAND(),$M$7,$M$8)</f>
        <v>9.3053602916774881E-3</v>
      </c>
    </row>
    <row r="6639" spans="6:7" x14ac:dyDescent="0.25">
      <c r="F6639">
        <v>6636</v>
      </c>
      <c r="G6639">
        <f ca="1">_xlfn.NORM.INV(RAND(),$M$7,$M$8)</f>
        <v>1.3695021527878075E-2</v>
      </c>
    </row>
    <row r="6640" spans="6:7" x14ac:dyDescent="0.25">
      <c r="F6640">
        <v>6637</v>
      </c>
      <c r="G6640">
        <f ca="1">_xlfn.NORM.INV(RAND(),$M$7,$M$8)</f>
        <v>4.0407175229301637E-2</v>
      </c>
    </row>
    <row r="6641" spans="6:7" x14ac:dyDescent="0.25">
      <c r="F6641">
        <v>6638</v>
      </c>
      <c r="G6641">
        <f ca="1">_xlfn.NORM.INV(RAND(),$M$7,$M$8)</f>
        <v>-1.1070806121715753E-2</v>
      </c>
    </row>
    <row r="6642" spans="6:7" x14ac:dyDescent="0.25">
      <c r="F6642">
        <v>6639</v>
      </c>
      <c r="G6642">
        <f ca="1">_xlfn.NORM.INV(RAND(),$M$7,$M$8)</f>
        <v>-2.68692978491296E-2</v>
      </c>
    </row>
    <row r="6643" spans="6:7" x14ac:dyDescent="0.25">
      <c r="F6643">
        <v>6640</v>
      </c>
      <c r="G6643">
        <f ca="1">_xlfn.NORM.INV(RAND(),$M$7,$M$8)</f>
        <v>-2.4854877910295808E-2</v>
      </c>
    </row>
    <row r="6644" spans="6:7" x14ac:dyDescent="0.25">
      <c r="F6644">
        <v>6641</v>
      </c>
      <c r="G6644">
        <f ca="1">_xlfn.NORM.INV(RAND(),$M$7,$M$8)</f>
        <v>-2.6659298656023046E-2</v>
      </c>
    </row>
    <row r="6645" spans="6:7" x14ac:dyDescent="0.25">
      <c r="F6645">
        <v>6642</v>
      </c>
      <c r="G6645">
        <f ca="1">_xlfn.NORM.INV(RAND(),$M$7,$M$8)</f>
        <v>-4.1681753845372552E-2</v>
      </c>
    </row>
    <row r="6646" spans="6:7" x14ac:dyDescent="0.25">
      <c r="F6646">
        <v>6643</v>
      </c>
      <c r="G6646">
        <f ca="1">_xlfn.NORM.INV(RAND(),$M$7,$M$8)</f>
        <v>-9.7761232801786232E-5</v>
      </c>
    </row>
    <row r="6647" spans="6:7" x14ac:dyDescent="0.25">
      <c r="F6647">
        <v>6644</v>
      </c>
      <c r="G6647">
        <f ca="1">_xlfn.NORM.INV(RAND(),$M$7,$M$8)</f>
        <v>-1.1781216551902627E-2</v>
      </c>
    </row>
    <row r="6648" spans="6:7" x14ac:dyDescent="0.25">
      <c r="F6648">
        <v>6645</v>
      </c>
      <c r="G6648">
        <f ca="1">_xlfn.NORM.INV(RAND(),$M$7,$M$8)</f>
        <v>-1.8539737964339668E-2</v>
      </c>
    </row>
    <row r="6649" spans="6:7" x14ac:dyDescent="0.25">
      <c r="F6649">
        <v>6646</v>
      </c>
      <c r="G6649">
        <f ca="1">_xlfn.NORM.INV(RAND(),$M$7,$M$8)</f>
        <v>-5.7150043023476834E-4</v>
      </c>
    </row>
    <row r="6650" spans="6:7" x14ac:dyDescent="0.25">
      <c r="F6650">
        <v>6647</v>
      </c>
      <c r="G6650">
        <f ca="1">_xlfn.NORM.INV(RAND(),$M$7,$M$8)</f>
        <v>2.5038044070000817E-2</v>
      </c>
    </row>
    <row r="6651" spans="6:7" x14ac:dyDescent="0.25">
      <c r="F6651">
        <v>6648</v>
      </c>
      <c r="G6651">
        <f ca="1">_xlfn.NORM.INV(RAND(),$M$7,$M$8)</f>
        <v>4.2554603598373375E-2</v>
      </c>
    </row>
    <row r="6652" spans="6:7" x14ac:dyDescent="0.25">
      <c r="F6652">
        <v>6649</v>
      </c>
      <c r="G6652">
        <f ca="1">_xlfn.NORM.INV(RAND(),$M$7,$M$8)</f>
        <v>3.498060279500277E-3</v>
      </c>
    </row>
    <row r="6653" spans="6:7" x14ac:dyDescent="0.25">
      <c r="F6653">
        <v>6650</v>
      </c>
      <c r="G6653">
        <f ca="1">_xlfn.NORM.INV(RAND(),$M$7,$M$8)</f>
        <v>-2.1754664318929914E-2</v>
      </c>
    </row>
    <row r="6654" spans="6:7" x14ac:dyDescent="0.25">
      <c r="F6654">
        <v>6651</v>
      </c>
      <c r="G6654">
        <f ca="1">_xlfn.NORM.INV(RAND(),$M$7,$M$8)</f>
        <v>-9.3990765673293147E-3</v>
      </c>
    </row>
    <row r="6655" spans="6:7" x14ac:dyDescent="0.25">
      <c r="F6655">
        <v>6652</v>
      </c>
      <c r="G6655">
        <f ca="1">_xlfn.NORM.INV(RAND(),$M$7,$M$8)</f>
        <v>-1.6973669935662003E-2</v>
      </c>
    </row>
    <row r="6656" spans="6:7" x14ac:dyDescent="0.25">
      <c r="F6656">
        <v>6653</v>
      </c>
      <c r="G6656">
        <f ca="1">_xlfn.NORM.INV(RAND(),$M$7,$M$8)</f>
        <v>-6.917878600868569E-4</v>
      </c>
    </row>
    <row r="6657" spans="6:7" x14ac:dyDescent="0.25">
      <c r="F6657">
        <v>6654</v>
      </c>
      <c r="G6657">
        <f ca="1">_xlfn.NORM.INV(RAND(),$M$7,$M$8)</f>
        <v>-2.5562927040001123E-2</v>
      </c>
    </row>
    <row r="6658" spans="6:7" x14ac:dyDescent="0.25">
      <c r="F6658">
        <v>6655</v>
      </c>
      <c r="G6658">
        <f ca="1">_xlfn.NORM.INV(RAND(),$M$7,$M$8)</f>
        <v>-1.0180494638993251E-2</v>
      </c>
    </row>
    <row r="6659" spans="6:7" x14ac:dyDescent="0.25">
      <c r="F6659">
        <v>6656</v>
      </c>
      <c r="G6659">
        <f ca="1">_xlfn.NORM.INV(RAND(),$M$7,$M$8)</f>
        <v>4.0712499855605835E-2</v>
      </c>
    </row>
    <row r="6660" spans="6:7" x14ac:dyDescent="0.25">
      <c r="F6660">
        <v>6657</v>
      </c>
      <c r="G6660">
        <f ca="1">_xlfn.NORM.INV(RAND(),$M$7,$M$8)</f>
        <v>-2.4657332774425576E-2</v>
      </c>
    </row>
    <row r="6661" spans="6:7" x14ac:dyDescent="0.25">
      <c r="F6661">
        <v>6658</v>
      </c>
      <c r="G6661">
        <f ca="1">_xlfn.NORM.INV(RAND(),$M$7,$M$8)</f>
        <v>-2.775055323849928E-2</v>
      </c>
    </row>
    <row r="6662" spans="6:7" x14ac:dyDescent="0.25">
      <c r="F6662">
        <v>6659</v>
      </c>
      <c r="G6662">
        <f ca="1">_xlfn.NORM.INV(RAND(),$M$7,$M$8)</f>
        <v>-2.6191436329717193E-2</v>
      </c>
    </row>
    <row r="6663" spans="6:7" x14ac:dyDescent="0.25">
      <c r="F6663">
        <v>6660</v>
      </c>
      <c r="G6663">
        <f ca="1">_xlfn.NORM.INV(RAND(),$M$7,$M$8)</f>
        <v>4.5086708416239817E-2</v>
      </c>
    </row>
    <row r="6664" spans="6:7" x14ac:dyDescent="0.25">
      <c r="F6664">
        <v>6661</v>
      </c>
      <c r="G6664">
        <f ca="1">_xlfn.NORM.INV(RAND(),$M$7,$M$8)</f>
        <v>2.4158784415433857E-2</v>
      </c>
    </row>
    <row r="6665" spans="6:7" x14ac:dyDescent="0.25">
      <c r="F6665">
        <v>6662</v>
      </c>
      <c r="G6665">
        <f ca="1">_xlfn.NORM.INV(RAND(),$M$7,$M$8)</f>
        <v>1.5089255765536458E-2</v>
      </c>
    </row>
    <row r="6666" spans="6:7" x14ac:dyDescent="0.25">
      <c r="F6666">
        <v>6663</v>
      </c>
      <c r="G6666">
        <f ca="1">_xlfn.NORM.INV(RAND(),$M$7,$M$8)</f>
        <v>-2.4796708402558338E-2</v>
      </c>
    </row>
    <row r="6667" spans="6:7" x14ac:dyDescent="0.25">
      <c r="F6667">
        <v>6664</v>
      </c>
      <c r="G6667">
        <f ca="1">_xlfn.NORM.INV(RAND(),$M$7,$M$8)</f>
        <v>-2.0489004907609746E-2</v>
      </c>
    </row>
    <row r="6668" spans="6:7" x14ac:dyDescent="0.25">
      <c r="F6668">
        <v>6665</v>
      </c>
      <c r="G6668">
        <f ca="1">_xlfn.NORM.INV(RAND(),$M$7,$M$8)</f>
        <v>3.7419916883789511E-2</v>
      </c>
    </row>
    <row r="6669" spans="6:7" x14ac:dyDescent="0.25">
      <c r="F6669">
        <v>6666</v>
      </c>
      <c r="G6669">
        <f ca="1">_xlfn.NORM.INV(RAND(),$M$7,$M$8)</f>
        <v>-4.8843283253948024E-2</v>
      </c>
    </row>
    <row r="6670" spans="6:7" x14ac:dyDescent="0.25">
      <c r="F6670">
        <v>6667</v>
      </c>
      <c r="G6670">
        <f ca="1">_xlfn.NORM.INV(RAND(),$M$7,$M$8)</f>
        <v>-1.5417276346955947E-2</v>
      </c>
    </row>
    <row r="6671" spans="6:7" x14ac:dyDescent="0.25">
      <c r="F6671">
        <v>6668</v>
      </c>
      <c r="G6671">
        <f ca="1">_xlfn.NORM.INV(RAND(),$M$7,$M$8)</f>
        <v>4.5749303120865198E-2</v>
      </c>
    </row>
    <row r="6672" spans="6:7" x14ac:dyDescent="0.25">
      <c r="F6672">
        <v>6669</v>
      </c>
      <c r="G6672">
        <f ca="1">_xlfn.NORM.INV(RAND(),$M$7,$M$8)</f>
        <v>3.2596280330965365E-2</v>
      </c>
    </row>
    <row r="6673" spans="6:7" x14ac:dyDescent="0.25">
      <c r="F6673">
        <v>6670</v>
      </c>
      <c r="G6673">
        <f ca="1">_xlfn.NORM.INV(RAND(),$M$7,$M$8)</f>
        <v>-1.6741698601691959E-2</v>
      </c>
    </row>
    <row r="6674" spans="6:7" x14ac:dyDescent="0.25">
      <c r="F6674">
        <v>6671</v>
      </c>
      <c r="G6674">
        <f ca="1">_xlfn.NORM.INV(RAND(),$M$7,$M$8)</f>
        <v>-1.1581681824520417E-2</v>
      </c>
    </row>
    <row r="6675" spans="6:7" x14ac:dyDescent="0.25">
      <c r="F6675">
        <v>6672</v>
      </c>
      <c r="G6675">
        <f ca="1">_xlfn.NORM.INV(RAND(),$M$7,$M$8)</f>
        <v>2.632154257335019E-3</v>
      </c>
    </row>
    <row r="6676" spans="6:7" x14ac:dyDescent="0.25">
      <c r="F6676">
        <v>6673</v>
      </c>
      <c r="G6676">
        <f ca="1">_xlfn.NORM.INV(RAND(),$M$7,$M$8)</f>
        <v>5.9369168182378633E-2</v>
      </c>
    </row>
    <row r="6677" spans="6:7" x14ac:dyDescent="0.25">
      <c r="F6677">
        <v>6674</v>
      </c>
      <c r="G6677">
        <f ca="1">_xlfn.NORM.INV(RAND(),$M$7,$M$8)</f>
        <v>-3.3387500672079337E-2</v>
      </c>
    </row>
    <row r="6678" spans="6:7" x14ac:dyDescent="0.25">
      <c r="F6678">
        <v>6675</v>
      </c>
      <c r="G6678">
        <f ca="1">_xlfn.NORM.INV(RAND(),$M$7,$M$8)</f>
        <v>2.7397424929156925E-2</v>
      </c>
    </row>
    <row r="6679" spans="6:7" x14ac:dyDescent="0.25">
      <c r="F6679">
        <v>6676</v>
      </c>
      <c r="G6679">
        <f ca="1">_xlfn.NORM.INV(RAND(),$M$7,$M$8)</f>
        <v>-2.974203302369585E-3</v>
      </c>
    </row>
    <row r="6680" spans="6:7" x14ac:dyDescent="0.25">
      <c r="F6680">
        <v>6677</v>
      </c>
      <c r="G6680">
        <f ca="1">_xlfn.NORM.INV(RAND(),$M$7,$M$8)</f>
        <v>1.893754697704976E-2</v>
      </c>
    </row>
    <row r="6681" spans="6:7" x14ac:dyDescent="0.25">
      <c r="F6681">
        <v>6678</v>
      </c>
      <c r="G6681">
        <f ca="1">_xlfn.NORM.INV(RAND(),$M$7,$M$8)</f>
        <v>7.1038252630365555E-3</v>
      </c>
    </row>
    <row r="6682" spans="6:7" x14ac:dyDescent="0.25">
      <c r="F6682">
        <v>6679</v>
      </c>
      <c r="G6682">
        <f ca="1">_xlfn.NORM.INV(RAND(),$M$7,$M$8)</f>
        <v>-9.7789256769026389E-3</v>
      </c>
    </row>
    <row r="6683" spans="6:7" x14ac:dyDescent="0.25">
      <c r="F6683">
        <v>6680</v>
      </c>
      <c r="G6683">
        <f ca="1">_xlfn.NORM.INV(RAND(),$M$7,$M$8)</f>
        <v>4.9881884542488687E-2</v>
      </c>
    </row>
    <row r="6684" spans="6:7" x14ac:dyDescent="0.25">
      <c r="F6684">
        <v>6681</v>
      </c>
      <c r="G6684">
        <f ca="1">_xlfn.NORM.INV(RAND(),$M$7,$M$8)</f>
        <v>-3.2375248011130495E-2</v>
      </c>
    </row>
    <row r="6685" spans="6:7" x14ac:dyDescent="0.25">
      <c r="F6685">
        <v>6682</v>
      </c>
      <c r="G6685">
        <f ca="1">_xlfn.NORM.INV(RAND(),$M$7,$M$8)</f>
        <v>6.2363434900611792E-3</v>
      </c>
    </row>
    <row r="6686" spans="6:7" x14ac:dyDescent="0.25">
      <c r="F6686">
        <v>6683</v>
      </c>
      <c r="G6686">
        <f ca="1">_xlfn.NORM.INV(RAND(),$M$7,$M$8)</f>
        <v>-2.3071990854437511E-2</v>
      </c>
    </row>
    <row r="6687" spans="6:7" x14ac:dyDescent="0.25">
      <c r="F6687">
        <v>6684</v>
      </c>
      <c r="G6687">
        <f ca="1">_xlfn.NORM.INV(RAND(),$M$7,$M$8)</f>
        <v>1.6975277400545025E-2</v>
      </c>
    </row>
    <row r="6688" spans="6:7" x14ac:dyDescent="0.25">
      <c r="F6688">
        <v>6685</v>
      </c>
      <c r="G6688">
        <f ca="1">_xlfn.NORM.INV(RAND(),$M$7,$M$8)</f>
        <v>-2.9407718386826851E-2</v>
      </c>
    </row>
    <row r="6689" spans="6:7" x14ac:dyDescent="0.25">
      <c r="F6689">
        <v>6686</v>
      </c>
      <c r="G6689">
        <f ca="1">_xlfn.NORM.INV(RAND(),$M$7,$M$8)</f>
        <v>2.4063336550584739E-2</v>
      </c>
    </row>
    <row r="6690" spans="6:7" x14ac:dyDescent="0.25">
      <c r="F6690">
        <v>6687</v>
      </c>
      <c r="G6690">
        <f ca="1">_xlfn.NORM.INV(RAND(),$M$7,$M$8)</f>
        <v>8.0438219501787374E-3</v>
      </c>
    </row>
    <row r="6691" spans="6:7" x14ac:dyDescent="0.25">
      <c r="F6691">
        <v>6688</v>
      </c>
      <c r="G6691">
        <f ca="1">_xlfn.NORM.INV(RAND(),$M$7,$M$8)</f>
        <v>-1.4951767925377311E-2</v>
      </c>
    </row>
    <row r="6692" spans="6:7" x14ac:dyDescent="0.25">
      <c r="F6692">
        <v>6689</v>
      </c>
      <c r="G6692">
        <f ca="1">_xlfn.NORM.INV(RAND(),$M$7,$M$8)</f>
        <v>3.62405658018859E-2</v>
      </c>
    </row>
    <row r="6693" spans="6:7" x14ac:dyDescent="0.25">
      <c r="F6693">
        <v>6690</v>
      </c>
      <c r="G6693">
        <f ca="1">_xlfn.NORM.INV(RAND(),$M$7,$M$8)</f>
        <v>5.6536054898490579E-3</v>
      </c>
    </row>
    <row r="6694" spans="6:7" x14ac:dyDescent="0.25">
      <c r="F6694">
        <v>6691</v>
      </c>
      <c r="G6694">
        <f ca="1">_xlfn.NORM.INV(RAND(),$M$7,$M$8)</f>
        <v>1.7799358363246691E-2</v>
      </c>
    </row>
    <row r="6695" spans="6:7" x14ac:dyDescent="0.25">
      <c r="F6695">
        <v>6692</v>
      </c>
      <c r="G6695">
        <f ca="1">_xlfn.NORM.INV(RAND(),$M$7,$M$8)</f>
        <v>-2.3809395035539006E-2</v>
      </c>
    </row>
    <row r="6696" spans="6:7" x14ac:dyDescent="0.25">
      <c r="F6696">
        <v>6693</v>
      </c>
      <c r="G6696">
        <f ca="1">_xlfn.NORM.INV(RAND(),$M$7,$M$8)</f>
        <v>-3.8469095892503476E-2</v>
      </c>
    </row>
    <row r="6697" spans="6:7" x14ac:dyDescent="0.25">
      <c r="F6697">
        <v>6694</v>
      </c>
      <c r="G6697">
        <f ca="1">_xlfn.NORM.INV(RAND(),$M$7,$M$8)</f>
        <v>2.6811105853058233E-3</v>
      </c>
    </row>
    <row r="6698" spans="6:7" x14ac:dyDescent="0.25">
      <c r="F6698">
        <v>6695</v>
      </c>
      <c r="G6698">
        <f ca="1">_xlfn.NORM.INV(RAND(),$M$7,$M$8)</f>
        <v>3.6879372800666249E-2</v>
      </c>
    </row>
    <row r="6699" spans="6:7" x14ac:dyDescent="0.25">
      <c r="F6699">
        <v>6696</v>
      </c>
      <c r="G6699">
        <f ca="1">_xlfn.NORM.INV(RAND(),$M$7,$M$8)</f>
        <v>2.3671311404902676E-3</v>
      </c>
    </row>
    <row r="6700" spans="6:7" x14ac:dyDescent="0.25">
      <c r="F6700">
        <v>6697</v>
      </c>
      <c r="G6700">
        <f ca="1">_xlfn.NORM.INV(RAND(),$M$7,$M$8)</f>
        <v>1.126795672708945E-2</v>
      </c>
    </row>
    <row r="6701" spans="6:7" x14ac:dyDescent="0.25">
      <c r="F6701">
        <v>6698</v>
      </c>
      <c r="G6701">
        <f ca="1">_xlfn.NORM.INV(RAND(),$M$7,$M$8)</f>
        <v>-3.1711906281346361E-2</v>
      </c>
    </row>
    <row r="6702" spans="6:7" x14ac:dyDescent="0.25">
      <c r="F6702">
        <v>6699</v>
      </c>
      <c r="G6702">
        <f ca="1">_xlfn.NORM.INV(RAND(),$M$7,$M$8)</f>
        <v>-5.4143427552260574E-4</v>
      </c>
    </row>
    <row r="6703" spans="6:7" x14ac:dyDescent="0.25">
      <c r="F6703">
        <v>6700</v>
      </c>
      <c r="G6703">
        <f ca="1">_xlfn.NORM.INV(RAND(),$M$7,$M$8)</f>
        <v>1.5618685176607156E-2</v>
      </c>
    </row>
    <row r="6704" spans="6:7" x14ac:dyDescent="0.25">
      <c r="F6704">
        <v>6701</v>
      </c>
      <c r="G6704">
        <f ca="1">_xlfn.NORM.INV(RAND(),$M$7,$M$8)</f>
        <v>6.8575233092980706E-3</v>
      </c>
    </row>
    <row r="6705" spans="6:7" x14ac:dyDescent="0.25">
      <c r="F6705">
        <v>6702</v>
      </c>
      <c r="G6705">
        <f ca="1">_xlfn.NORM.INV(RAND(),$M$7,$M$8)</f>
        <v>-1.1587417169671533E-2</v>
      </c>
    </row>
    <row r="6706" spans="6:7" x14ac:dyDescent="0.25">
      <c r="F6706">
        <v>6703</v>
      </c>
      <c r="G6706">
        <f ca="1">_xlfn.NORM.INV(RAND(),$M$7,$M$8)</f>
        <v>-1.8240466692512221E-2</v>
      </c>
    </row>
    <row r="6707" spans="6:7" x14ac:dyDescent="0.25">
      <c r="F6707">
        <v>6704</v>
      </c>
      <c r="G6707">
        <f ca="1">_xlfn.NORM.INV(RAND(),$M$7,$M$8)</f>
        <v>-2.2321359660271014E-2</v>
      </c>
    </row>
    <row r="6708" spans="6:7" x14ac:dyDescent="0.25">
      <c r="F6708">
        <v>6705</v>
      </c>
      <c r="G6708">
        <f ca="1">_xlfn.NORM.INV(RAND(),$M$7,$M$8)</f>
        <v>-5.1865083592530913E-2</v>
      </c>
    </row>
    <row r="6709" spans="6:7" x14ac:dyDescent="0.25">
      <c r="F6709">
        <v>6706</v>
      </c>
      <c r="G6709">
        <f ca="1">_xlfn.NORM.INV(RAND(),$M$7,$M$8)</f>
        <v>-5.1117049673993654E-3</v>
      </c>
    </row>
    <row r="6710" spans="6:7" x14ac:dyDescent="0.25">
      <c r="F6710">
        <v>6707</v>
      </c>
      <c r="G6710">
        <f ca="1">_xlfn.NORM.INV(RAND(),$M$7,$M$8)</f>
        <v>-2.5551882921958841E-2</v>
      </c>
    </row>
    <row r="6711" spans="6:7" x14ac:dyDescent="0.25">
      <c r="F6711">
        <v>6708</v>
      </c>
      <c r="G6711">
        <f ca="1">_xlfn.NORM.INV(RAND(),$M$7,$M$8)</f>
        <v>1.1892717448674995E-2</v>
      </c>
    </row>
    <row r="6712" spans="6:7" x14ac:dyDescent="0.25">
      <c r="F6712">
        <v>6709</v>
      </c>
      <c r="G6712">
        <f ca="1">_xlfn.NORM.INV(RAND(),$M$7,$M$8)</f>
        <v>2.1372962121052511E-2</v>
      </c>
    </row>
    <row r="6713" spans="6:7" x14ac:dyDescent="0.25">
      <c r="F6713">
        <v>6710</v>
      </c>
      <c r="G6713">
        <f ca="1">_xlfn.NORM.INV(RAND(),$M$7,$M$8)</f>
        <v>2.4496723516995413E-2</v>
      </c>
    </row>
    <row r="6714" spans="6:7" x14ac:dyDescent="0.25">
      <c r="F6714">
        <v>6711</v>
      </c>
      <c r="G6714">
        <f ca="1">_xlfn.NORM.INV(RAND(),$M$7,$M$8)</f>
        <v>-5.8072258249297001E-3</v>
      </c>
    </row>
    <row r="6715" spans="6:7" x14ac:dyDescent="0.25">
      <c r="F6715">
        <v>6712</v>
      </c>
      <c r="G6715">
        <f ca="1">_xlfn.NORM.INV(RAND(),$M$7,$M$8)</f>
        <v>1.1208220340437666E-2</v>
      </c>
    </row>
    <row r="6716" spans="6:7" x14ac:dyDescent="0.25">
      <c r="F6716">
        <v>6713</v>
      </c>
      <c r="G6716">
        <f ca="1">_xlfn.NORM.INV(RAND(),$M$7,$M$8)</f>
        <v>6.8565485336160945E-3</v>
      </c>
    </row>
    <row r="6717" spans="6:7" x14ac:dyDescent="0.25">
      <c r="F6717">
        <v>6714</v>
      </c>
      <c r="G6717">
        <f ca="1">_xlfn.NORM.INV(RAND(),$M$7,$M$8)</f>
        <v>-4.7470610003211428E-2</v>
      </c>
    </row>
    <row r="6718" spans="6:7" x14ac:dyDescent="0.25">
      <c r="F6718">
        <v>6715</v>
      </c>
      <c r="G6718">
        <f ca="1">_xlfn.NORM.INV(RAND(),$M$7,$M$8)</f>
        <v>3.9324252024327079E-2</v>
      </c>
    </row>
    <row r="6719" spans="6:7" x14ac:dyDescent="0.25">
      <c r="F6719">
        <v>6716</v>
      </c>
      <c r="G6719">
        <f ca="1">_xlfn.NORM.INV(RAND(),$M$7,$M$8)</f>
        <v>2.0176281715401336E-2</v>
      </c>
    </row>
    <row r="6720" spans="6:7" x14ac:dyDescent="0.25">
      <c r="F6720">
        <v>6717</v>
      </c>
      <c r="G6720">
        <f ca="1">_xlfn.NORM.INV(RAND(),$M$7,$M$8)</f>
        <v>-2.6874989635584476E-2</v>
      </c>
    </row>
    <row r="6721" spans="6:7" x14ac:dyDescent="0.25">
      <c r="F6721">
        <v>6718</v>
      </c>
      <c r="G6721">
        <f ca="1">_xlfn.NORM.INV(RAND(),$M$7,$M$8)</f>
        <v>2.1533464462417697E-3</v>
      </c>
    </row>
    <row r="6722" spans="6:7" x14ac:dyDescent="0.25">
      <c r="F6722">
        <v>6719</v>
      </c>
      <c r="G6722">
        <f ca="1">_xlfn.NORM.INV(RAND(),$M$7,$M$8)</f>
        <v>6.0753653164285409E-2</v>
      </c>
    </row>
    <row r="6723" spans="6:7" x14ac:dyDescent="0.25">
      <c r="F6723">
        <v>6720</v>
      </c>
      <c r="G6723">
        <f ca="1">_xlfn.NORM.INV(RAND(),$M$7,$M$8)</f>
        <v>-9.8929776417097989E-3</v>
      </c>
    </row>
    <row r="6724" spans="6:7" x14ac:dyDescent="0.25">
      <c r="F6724">
        <v>6721</v>
      </c>
      <c r="G6724">
        <f ca="1">_xlfn.NORM.INV(RAND(),$M$7,$M$8)</f>
        <v>1.2330524514019858E-3</v>
      </c>
    </row>
    <row r="6725" spans="6:7" x14ac:dyDescent="0.25">
      <c r="F6725">
        <v>6722</v>
      </c>
      <c r="G6725">
        <f ca="1">_xlfn.NORM.INV(RAND(),$M$7,$M$8)</f>
        <v>-9.4859551659103817E-3</v>
      </c>
    </row>
    <row r="6726" spans="6:7" x14ac:dyDescent="0.25">
      <c r="F6726">
        <v>6723</v>
      </c>
      <c r="G6726">
        <f ca="1">_xlfn.NORM.INV(RAND(),$M$7,$M$8)</f>
        <v>3.5670449357128758E-3</v>
      </c>
    </row>
    <row r="6727" spans="6:7" x14ac:dyDescent="0.25">
      <c r="F6727">
        <v>6724</v>
      </c>
      <c r="G6727">
        <f ca="1">_xlfn.NORM.INV(RAND(),$M$7,$M$8)</f>
        <v>-4.0109898539356315E-2</v>
      </c>
    </row>
    <row r="6728" spans="6:7" x14ac:dyDescent="0.25">
      <c r="F6728">
        <v>6725</v>
      </c>
      <c r="G6728">
        <f ca="1">_xlfn.NORM.INV(RAND(),$M$7,$M$8)</f>
        <v>-2.0724235585488467E-2</v>
      </c>
    </row>
    <row r="6729" spans="6:7" x14ac:dyDescent="0.25">
      <c r="F6729">
        <v>6726</v>
      </c>
      <c r="G6729">
        <f ca="1">_xlfn.NORM.INV(RAND(),$M$7,$M$8)</f>
        <v>1.9895239539836615E-2</v>
      </c>
    </row>
    <row r="6730" spans="6:7" x14ac:dyDescent="0.25">
      <c r="F6730">
        <v>6727</v>
      </c>
      <c r="G6730">
        <f ca="1">_xlfn.NORM.INV(RAND(),$M$7,$M$8)</f>
        <v>3.8077456548677438E-3</v>
      </c>
    </row>
    <row r="6731" spans="6:7" x14ac:dyDescent="0.25">
      <c r="F6731">
        <v>6728</v>
      </c>
      <c r="G6731">
        <f ca="1">_xlfn.NORM.INV(RAND(),$M$7,$M$8)</f>
        <v>3.4205272834260732E-2</v>
      </c>
    </row>
    <row r="6732" spans="6:7" x14ac:dyDescent="0.25">
      <c r="F6732">
        <v>6729</v>
      </c>
      <c r="G6732">
        <f ca="1">_xlfn.NORM.INV(RAND(),$M$7,$M$8)</f>
        <v>-1.6722215228459143E-2</v>
      </c>
    </row>
    <row r="6733" spans="6:7" x14ac:dyDescent="0.25">
      <c r="F6733">
        <v>6730</v>
      </c>
      <c r="G6733">
        <f ca="1">_xlfn.NORM.INV(RAND(),$M$7,$M$8)</f>
        <v>-5.1723781327584466E-3</v>
      </c>
    </row>
    <row r="6734" spans="6:7" x14ac:dyDescent="0.25">
      <c r="F6734">
        <v>6731</v>
      </c>
      <c r="G6734">
        <f ca="1">_xlfn.NORM.INV(RAND(),$M$7,$M$8)</f>
        <v>-1.7955443318182829E-2</v>
      </c>
    </row>
    <row r="6735" spans="6:7" x14ac:dyDescent="0.25">
      <c r="F6735">
        <v>6732</v>
      </c>
      <c r="G6735">
        <f ca="1">_xlfn.NORM.INV(RAND(),$M$7,$M$8)</f>
        <v>2.9846670821131394E-2</v>
      </c>
    </row>
    <row r="6736" spans="6:7" x14ac:dyDescent="0.25">
      <c r="F6736">
        <v>6733</v>
      </c>
      <c r="G6736">
        <f ca="1">_xlfn.NORM.INV(RAND(),$M$7,$M$8)</f>
        <v>2.8640827729724083E-3</v>
      </c>
    </row>
    <row r="6737" spans="6:7" x14ac:dyDescent="0.25">
      <c r="F6737">
        <v>6734</v>
      </c>
      <c r="G6737">
        <f ca="1">_xlfn.NORM.INV(RAND(),$M$7,$M$8)</f>
        <v>-6.5021374636886065E-3</v>
      </c>
    </row>
    <row r="6738" spans="6:7" x14ac:dyDescent="0.25">
      <c r="F6738">
        <v>6735</v>
      </c>
      <c r="G6738">
        <f ca="1">_xlfn.NORM.INV(RAND(),$M$7,$M$8)</f>
        <v>2.6587712409507344E-2</v>
      </c>
    </row>
    <row r="6739" spans="6:7" x14ac:dyDescent="0.25">
      <c r="F6739">
        <v>6736</v>
      </c>
      <c r="G6739">
        <f ca="1">_xlfn.NORM.INV(RAND(),$M$7,$M$8)</f>
        <v>2.5077711096564856E-2</v>
      </c>
    </row>
    <row r="6740" spans="6:7" x14ac:dyDescent="0.25">
      <c r="F6740">
        <v>6737</v>
      </c>
      <c r="G6740">
        <f ca="1">_xlfn.NORM.INV(RAND(),$M$7,$M$8)</f>
        <v>1.2978856783960799E-2</v>
      </c>
    </row>
    <row r="6741" spans="6:7" x14ac:dyDescent="0.25">
      <c r="F6741">
        <v>6738</v>
      </c>
      <c r="G6741">
        <f ca="1">_xlfn.NORM.INV(RAND(),$M$7,$M$8)</f>
        <v>1.2502253923554595E-2</v>
      </c>
    </row>
    <row r="6742" spans="6:7" x14ac:dyDescent="0.25">
      <c r="F6742">
        <v>6739</v>
      </c>
      <c r="G6742">
        <f ca="1">_xlfn.NORM.INV(RAND(),$M$7,$M$8)</f>
        <v>9.8613703430804472E-3</v>
      </c>
    </row>
    <row r="6743" spans="6:7" x14ac:dyDescent="0.25">
      <c r="F6743">
        <v>6740</v>
      </c>
      <c r="G6743">
        <f ca="1">_xlfn.NORM.INV(RAND(),$M$7,$M$8)</f>
        <v>2.4223670519903227E-2</v>
      </c>
    </row>
    <row r="6744" spans="6:7" x14ac:dyDescent="0.25">
      <c r="F6744">
        <v>6741</v>
      </c>
      <c r="G6744">
        <f ca="1">_xlfn.NORM.INV(RAND(),$M$7,$M$8)</f>
        <v>6.2102401894249572E-3</v>
      </c>
    </row>
    <row r="6745" spans="6:7" x14ac:dyDescent="0.25">
      <c r="F6745">
        <v>6742</v>
      </c>
      <c r="G6745">
        <f ca="1">_xlfn.NORM.INV(RAND(),$M$7,$M$8)</f>
        <v>1.5778561430419818E-2</v>
      </c>
    </row>
    <row r="6746" spans="6:7" x14ac:dyDescent="0.25">
      <c r="F6746">
        <v>6743</v>
      </c>
      <c r="G6746">
        <f ca="1">_xlfn.NORM.INV(RAND(),$M$7,$M$8)</f>
        <v>-7.5786527958382494E-3</v>
      </c>
    </row>
    <row r="6747" spans="6:7" x14ac:dyDescent="0.25">
      <c r="F6747">
        <v>6744</v>
      </c>
      <c r="G6747">
        <f ca="1">_xlfn.NORM.INV(RAND(),$M$7,$M$8)</f>
        <v>6.136615707849756E-2</v>
      </c>
    </row>
    <row r="6748" spans="6:7" x14ac:dyDescent="0.25">
      <c r="F6748">
        <v>6745</v>
      </c>
      <c r="G6748">
        <f ca="1">_xlfn.NORM.INV(RAND(),$M$7,$M$8)</f>
        <v>-2.320729493313501E-2</v>
      </c>
    </row>
    <row r="6749" spans="6:7" x14ac:dyDescent="0.25">
      <c r="F6749">
        <v>6746</v>
      </c>
      <c r="G6749">
        <f ca="1">_xlfn.NORM.INV(RAND(),$M$7,$M$8)</f>
        <v>3.2388704577216897E-2</v>
      </c>
    </row>
    <row r="6750" spans="6:7" x14ac:dyDescent="0.25">
      <c r="F6750">
        <v>6747</v>
      </c>
      <c r="G6750">
        <f ca="1">_xlfn.NORM.INV(RAND(),$M$7,$M$8)</f>
        <v>2.5069861702376559E-2</v>
      </c>
    </row>
    <row r="6751" spans="6:7" x14ac:dyDescent="0.25">
      <c r="F6751">
        <v>6748</v>
      </c>
      <c r="G6751">
        <f ca="1">_xlfn.NORM.INV(RAND(),$M$7,$M$8)</f>
        <v>2.7723729179527631E-2</v>
      </c>
    </row>
    <row r="6752" spans="6:7" x14ac:dyDescent="0.25">
      <c r="F6752">
        <v>6749</v>
      </c>
      <c r="G6752">
        <f ca="1">_xlfn.NORM.INV(RAND(),$M$7,$M$8)</f>
        <v>1.2587735539365845E-2</v>
      </c>
    </row>
    <row r="6753" spans="6:7" x14ac:dyDescent="0.25">
      <c r="F6753">
        <v>6750</v>
      </c>
      <c r="G6753">
        <f ca="1">_xlfn.NORM.INV(RAND(),$M$7,$M$8)</f>
        <v>3.7413944144242831E-2</v>
      </c>
    </row>
    <row r="6754" spans="6:7" x14ac:dyDescent="0.25">
      <c r="F6754">
        <v>6751</v>
      </c>
      <c r="G6754">
        <f ca="1">_xlfn.NORM.INV(RAND(),$M$7,$M$8)</f>
        <v>7.7143281585158006E-3</v>
      </c>
    </row>
    <row r="6755" spans="6:7" x14ac:dyDescent="0.25">
      <c r="F6755">
        <v>6752</v>
      </c>
      <c r="G6755">
        <f ca="1">_xlfn.NORM.INV(RAND(),$M$7,$M$8)</f>
        <v>1.3002546374189787E-2</v>
      </c>
    </row>
    <row r="6756" spans="6:7" x14ac:dyDescent="0.25">
      <c r="F6756">
        <v>6753</v>
      </c>
      <c r="G6756">
        <f ca="1">_xlfn.NORM.INV(RAND(),$M$7,$M$8)</f>
        <v>3.4484896426009104E-2</v>
      </c>
    </row>
    <row r="6757" spans="6:7" x14ac:dyDescent="0.25">
      <c r="F6757">
        <v>6754</v>
      </c>
      <c r="G6757">
        <f ca="1">_xlfn.NORM.INV(RAND(),$M$7,$M$8)</f>
        <v>-6.9726582514964951E-3</v>
      </c>
    </row>
    <row r="6758" spans="6:7" x14ac:dyDescent="0.25">
      <c r="F6758">
        <v>6755</v>
      </c>
      <c r="G6758">
        <f ca="1">_xlfn.NORM.INV(RAND(),$M$7,$M$8)</f>
        <v>1.7839970838057401E-2</v>
      </c>
    </row>
    <row r="6759" spans="6:7" x14ac:dyDescent="0.25">
      <c r="F6759">
        <v>6756</v>
      </c>
      <c r="G6759">
        <f ca="1">_xlfn.NORM.INV(RAND(),$M$7,$M$8)</f>
        <v>-2.9046081315597962E-2</v>
      </c>
    </row>
    <row r="6760" spans="6:7" x14ac:dyDescent="0.25">
      <c r="F6760">
        <v>6757</v>
      </c>
      <c r="G6760">
        <f ca="1">_xlfn.NORM.INV(RAND(),$M$7,$M$8)</f>
        <v>4.0262072003940035E-4</v>
      </c>
    </row>
    <row r="6761" spans="6:7" x14ac:dyDescent="0.25">
      <c r="F6761">
        <v>6758</v>
      </c>
      <c r="G6761">
        <f ca="1">_xlfn.NORM.INV(RAND(),$M$7,$M$8)</f>
        <v>1.3453072492703241E-2</v>
      </c>
    </row>
    <row r="6762" spans="6:7" x14ac:dyDescent="0.25">
      <c r="F6762">
        <v>6759</v>
      </c>
      <c r="G6762">
        <f ca="1">_xlfn.NORM.INV(RAND(),$M$7,$M$8)</f>
        <v>-2.0027564310959693E-2</v>
      </c>
    </row>
    <row r="6763" spans="6:7" x14ac:dyDescent="0.25">
      <c r="F6763">
        <v>6760</v>
      </c>
      <c r="G6763">
        <f ca="1">_xlfn.NORM.INV(RAND(),$M$7,$M$8)</f>
        <v>3.0262025565819407E-2</v>
      </c>
    </row>
    <row r="6764" spans="6:7" x14ac:dyDescent="0.25">
      <c r="F6764">
        <v>6761</v>
      </c>
      <c r="G6764">
        <f ca="1">_xlfn.NORM.INV(RAND(),$M$7,$M$8)</f>
        <v>3.9745938094960187E-2</v>
      </c>
    </row>
    <row r="6765" spans="6:7" x14ac:dyDescent="0.25">
      <c r="F6765">
        <v>6762</v>
      </c>
      <c r="G6765">
        <f ca="1">_xlfn.NORM.INV(RAND(),$M$7,$M$8)</f>
        <v>-2.0796340486165667E-2</v>
      </c>
    </row>
    <row r="6766" spans="6:7" x14ac:dyDescent="0.25">
      <c r="F6766">
        <v>6763</v>
      </c>
      <c r="G6766">
        <f ca="1">_xlfn.NORM.INV(RAND(),$M$7,$M$8)</f>
        <v>4.8599224071457591E-4</v>
      </c>
    </row>
    <row r="6767" spans="6:7" x14ac:dyDescent="0.25">
      <c r="F6767">
        <v>6764</v>
      </c>
      <c r="G6767">
        <f ca="1">_xlfn.NORM.INV(RAND(),$M$7,$M$8)</f>
        <v>-5.251722218349358E-3</v>
      </c>
    </row>
    <row r="6768" spans="6:7" x14ac:dyDescent="0.25">
      <c r="F6768">
        <v>6765</v>
      </c>
      <c r="G6768">
        <f ca="1">_xlfn.NORM.INV(RAND(),$M$7,$M$8)</f>
        <v>1.3007512328000261E-2</v>
      </c>
    </row>
    <row r="6769" spans="6:7" x14ac:dyDescent="0.25">
      <c r="F6769">
        <v>6766</v>
      </c>
      <c r="G6769">
        <f ca="1">_xlfn.NORM.INV(RAND(),$M$7,$M$8)</f>
        <v>4.3261900097300562E-2</v>
      </c>
    </row>
    <row r="6770" spans="6:7" x14ac:dyDescent="0.25">
      <c r="F6770">
        <v>6767</v>
      </c>
      <c r="G6770">
        <f ca="1">_xlfn.NORM.INV(RAND(),$M$7,$M$8)</f>
        <v>9.7904415048467378E-3</v>
      </c>
    </row>
    <row r="6771" spans="6:7" x14ac:dyDescent="0.25">
      <c r="F6771">
        <v>6768</v>
      </c>
      <c r="G6771">
        <f ca="1">_xlfn.NORM.INV(RAND(),$M$7,$M$8)</f>
        <v>4.7296261221118768E-3</v>
      </c>
    </row>
    <row r="6772" spans="6:7" x14ac:dyDescent="0.25">
      <c r="F6772">
        <v>6769</v>
      </c>
      <c r="G6772">
        <f ca="1">_xlfn.NORM.INV(RAND(),$M$7,$M$8)</f>
        <v>-1.9470780843131585E-2</v>
      </c>
    </row>
    <row r="6773" spans="6:7" x14ac:dyDescent="0.25">
      <c r="F6773">
        <v>6770</v>
      </c>
      <c r="G6773">
        <f ca="1">_xlfn.NORM.INV(RAND(),$M$7,$M$8)</f>
        <v>2.3477213655413078E-3</v>
      </c>
    </row>
    <row r="6774" spans="6:7" x14ac:dyDescent="0.25">
      <c r="F6774">
        <v>6771</v>
      </c>
      <c r="G6774">
        <f ca="1">_xlfn.NORM.INV(RAND(),$M$7,$M$8)</f>
        <v>3.1073027709018267E-2</v>
      </c>
    </row>
    <row r="6775" spans="6:7" x14ac:dyDescent="0.25">
      <c r="F6775">
        <v>6772</v>
      </c>
      <c r="G6775">
        <f ca="1">_xlfn.NORM.INV(RAND(),$M$7,$M$8)</f>
        <v>2.9530069971613129E-2</v>
      </c>
    </row>
    <row r="6776" spans="6:7" x14ac:dyDescent="0.25">
      <c r="F6776">
        <v>6773</v>
      </c>
      <c r="G6776">
        <f ca="1">_xlfn.NORM.INV(RAND(),$M$7,$M$8)</f>
        <v>-7.5272059182793314E-3</v>
      </c>
    </row>
    <row r="6777" spans="6:7" x14ac:dyDescent="0.25">
      <c r="F6777">
        <v>6774</v>
      </c>
      <c r="G6777">
        <f ca="1">_xlfn.NORM.INV(RAND(),$M$7,$M$8)</f>
        <v>-1.7999821202979875E-2</v>
      </c>
    </row>
    <row r="6778" spans="6:7" x14ac:dyDescent="0.25">
      <c r="F6778">
        <v>6775</v>
      </c>
      <c r="G6778">
        <f ca="1">_xlfn.NORM.INV(RAND(),$M$7,$M$8)</f>
        <v>5.0644928535063753E-3</v>
      </c>
    </row>
    <row r="6779" spans="6:7" x14ac:dyDescent="0.25">
      <c r="F6779">
        <v>6776</v>
      </c>
      <c r="G6779">
        <f ca="1">_xlfn.NORM.INV(RAND(),$M$7,$M$8)</f>
        <v>-1.0178303752328475E-2</v>
      </c>
    </row>
    <row r="6780" spans="6:7" x14ac:dyDescent="0.25">
      <c r="F6780">
        <v>6777</v>
      </c>
      <c r="G6780">
        <f ca="1">_xlfn.NORM.INV(RAND(),$M$7,$M$8)</f>
        <v>3.1472778423122451E-3</v>
      </c>
    </row>
    <row r="6781" spans="6:7" x14ac:dyDescent="0.25">
      <c r="F6781">
        <v>6778</v>
      </c>
      <c r="G6781">
        <f ca="1">_xlfn.NORM.INV(RAND(),$M$7,$M$8)</f>
        <v>2.6724401446204847E-3</v>
      </c>
    </row>
    <row r="6782" spans="6:7" x14ac:dyDescent="0.25">
      <c r="F6782">
        <v>6779</v>
      </c>
      <c r="G6782">
        <f ca="1">_xlfn.NORM.INV(RAND(),$M$7,$M$8)</f>
        <v>2.2885085906192608E-3</v>
      </c>
    </row>
    <row r="6783" spans="6:7" x14ac:dyDescent="0.25">
      <c r="F6783">
        <v>6780</v>
      </c>
      <c r="G6783">
        <f ca="1">_xlfn.NORM.INV(RAND(),$M$7,$M$8)</f>
        <v>9.1001628386861676E-3</v>
      </c>
    </row>
    <row r="6784" spans="6:7" x14ac:dyDescent="0.25">
      <c r="F6784">
        <v>6781</v>
      </c>
      <c r="G6784">
        <f ca="1">_xlfn.NORM.INV(RAND(),$M$7,$M$8)</f>
        <v>3.1919351915304102E-2</v>
      </c>
    </row>
    <row r="6785" spans="6:7" x14ac:dyDescent="0.25">
      <c r="F6785">
        <v>6782</v>
      </c>
      <c r="G6785">
        <f ca="1">_xlfn.NORM.INV(RAND(),$M$7,$M$8)</f>
        <v>3.2702258874984937E-2</v>
      </c>
    </row>
    <row r="6786" spans="6:7" x14ac:dyDescent="0.25">
      <c r="F6786">
        <v>6783</v>
      </c>
      <c r="G6786">
        <f ca="1">_xlfn.NORM.INV(RAND(),$M$7,$M$8)</f>
        <v>3.4044211626740914E-2</v>
      </c>
    </row>
    <row r="6787" spans="6:7" x14ac:dyDescent="0.25">
      <c r="F6787">
        <v>6784</v>
      </c>
      <c r="G6787">
        <f ca="1">_xlfn.NORM.INV(RAND(),$M$7,$M$8)</f>
        <v>3.6736292609512874E-2</v>
      </c>
    </row>
    <row r="6788" spans="6:7" x14ac:dyDescent="0.25">
      <c r="F6788">
        <v>6785</v>
      </c>
      <c r="G6788">
        <f ca="1">_xlfn.NORM.INV(RAND(),$M$7,$M$8)</f>
        <v>-3.0618864898703833E-2</v>
      </c>
    </row>
    <row r="6789" spans="6:7" x14ac:dyDescent="0.25">
      <c r="F6789">
        <v>6786</v>
      </c>
      <c r="G6789">
        <f ca="1">_xlfn.NORM.INV(RAND(),$M$7,$M$8)</f>
        <v>2.7264394936430382E-2</v>
      </c>
    </row>
    <row r="6790" spans="6:7" x14ac:dyDescent="0.25">
      <c r="F6790">
        <v>6787</v>
      </c>
      <c r="G6790">
        <f ca="1">_xlfn.NORM.INV(RAND(),$M$7,$M$8)</f>
        <v>2.8174959645435722E-2</v>
      </c>
    </row>
    <row r="6791" spans="6:7" x14ac:dyDescent="0.25">
      <c r="F6791">
        <v>6788</v>
      </c>
      <c r="G6791">
        <f ca="1">_xlfn.NORM.INV(RAND(),$M$7,$M$8)</f>
        <v>2.1711474780570682E-2</v>
      </c>
    </row>
    <row r="6792" spans="6:7" x14ac:dyDescent="0.25">
      <c r="F6792">
        <v>6789</v>
      </c>
      <c r="G6792">
        <f ca="1">_xlfn.NORM.INV(RAND(),$M$7,$M$8)</f>
        <v>-5.3932768496452069E-4</v>
      </c>
    </row>
    <row r="6793" spans="6:7" x14ac:dyDescent="0.25">
      <c r="F6793">
        <v>6790</v>
      </c>
      <c r="G6793">
        <f ca="1">_xlfn.NORM.INV(RAND(),$M$7,$M$8)</f>
        <v>-2.3434149390088255E-2</v>
      </c>
    </row>
    <row r="6794" spans="6:7" x14ac:dyDescent="0.25">
      <c r="F6794">
        <v>6791</v>
      </c>
      <c r="G6794">
        <f ca="1">_xlfn.NORM.INV(RAND(),$M$7,$M$8)</f>
        <v>-2.1461641664248143E-2</v>
      </c>
    </row>
    <row r="6795" spans="6:7" x14ac:dyDescent="0.25">
      <c r="F6795">
        <v>6792</v>
      </c>
      <c r="G6795">
        <f ca="1">_xlfn.NORM.INV(RAND(),$M$7,$M$8)</f>
        <v>2.629435020242939E-2</v>
      </c>
    </row>
    <row r="6796" spans="6:7" x14ac:dyDescent="0.25">
      <c r="F6796">
        <v>6793</v>
      </c>
      <c r="G6796">
        <f ca="1">_xlfn.NORM.INV(RAND(),$M$7,$M$8)</f>
        <v>1.1020478313756344E-2</v>
      </c>
    </row>
    <row r="6797" spans="6:7" x14ac:dyDescent="0.25">
      <c r="F6797">
        <v>6794</v>
      </c>
      <c r="G6797">
        <f ca="1">_xlfn.NORM.INV(RAND(),$M$7,$M$8)</f>
        <v>1.5715995144112687E-2</v>
      </c>
    </row>
    <row r="6798" spans="6:7" x14ac:dyDescent="0.25">
      <c r="F6798">
        <v>6795</v>
      </c>
      <c r="G6798">
        <f ca="1">_xlfn.NORM.INV(RAND(),$M$7,$M$8)</f>
        <v>-1.1683611615967301E-2</v>
      </c>
    </row>
    <row r="6799" spans="6:7" x14ac:dyDescent="0.25">
      <c r="F6799">
        <v>6796</v>
      </c>
      <c r="G6799">
        <f ca="1">_xlfn.NORM.INV(RAND(),$M$7,$M$8)</f>
        <v>2.1560387917738993E-2</v>
      </c>
    </row>
    <row r="6800" spans="6:7" x14ac:dyDescent="0.25">
      <c r="F6800">
        <v>6797</v>
      </c>
      <c r="G6800">
        <f ca="1">_xlfn.NORM.INV(RAND(),$M$7,$M$8)</f>
        <v>2.2650531134387831E-4</v>
      </c>
    </row>
    <row r="6801" spans="6:7" x14ac:dyDescent="0.25">
      <c r="F6801">
        <v>6798</v>
      </c>
      <c r="G6801">
        <f ca="1">_xlfn.NORM.INV(RAND(),$M$7,$M$8)</f>
        <v>2.1648920249551278E-2</v>
      </c>
    </row>
    <row r="6802" spans="6:7" x14ac:dyDescent="0.25">
      <c r="F6802">
        <v>6799</v>
      </c>
      <c r="G6802">
        <f ca="1">_xlfn.NORM.INV(RAND(),$M$7,$M$8)</f>
        <v>-9.3186025012922582E-3</v>
      </c>
    </row>
    <row r="6803" spans="6:7" x14ac:dyDescent="0.25">
      <c r="F6803">
        <v>6800</v>
      </c>
      <c r="G6803">
        <f ca="1">_xlfn.NORM.INV(RAND(),$M$7,$M$8)</f>
        <v>-2.4464369211288351E-2</v>
      </c>
    </row>
    <row r="6804" spans="6:7" x14ac:dyDescent="0.25">
      <c r="F6804">
        <v>6801</v>
      </c>
      <c r="G6804">
        <f ca="1">_xlfn.NORM.INV(RAND(),$M$7,$M$8)</f>
        <v>3.374196908772812E-2</v>
      </c>
    </row>
    <row r="6805" spans="6:7" x14ac:dyDescent="0.25">
      <c r="F6805">
        <v>6802</v>
      </c>
      <c r="G6805">
        <f ca="1">_xlfn.NORM.INV(RAND(),$M$7,$M$8)</f>
        <v>7.5512709552010508E-3</v>
      </c>
    </row>
    <row r="6806" spans="6:7" x14ac:dyDescent="0.25">
      <c r="F6806">
        <v>6803</v>
      </c>
      <c r="G6806">
        <f ca="1">_xlfn.NORM.INV(RAND(),$M$7,$M$8)</f>
        <v>-7.7051757817386546E-3</v>
      </c>
    </row>
    <row r="6807" spans="6:7" x14ac:dyDescent="0.25">
      <c r="F6807">
        <v>6804</v>
      </c>
      <c r="G6807">
        <f ca="1">_xlfn.NORM.INV(RAND(),$M$7,$M$8)</f>
        <v>-2.6298777288397676E-2</v>
      </c>
    </row>
    <row r="6808" spans="6:7" x14ac:dyDescent="0.25">
      <c r="F6808">
        <v>6805</v>
      </c>
      <c r="G6808">
        <f ca="1">_xlfn.NORM.INV(RAND(),$M$7,$M$8)</f>
        <v>-3.1667500504188997E-2</v>
      </c>
    </row>
    <row r="6809" spans="6:7" x14ac:dyDescent="0.25">
      <c r="F6809">
        <v>6806</v>
      </c>
      <c r="G6809">
        <f ca="1">_xlfn.NORM.INV(RAND(),$M$7,$M$8)</f>
        <v>9.4004164194123486E-3</v>
      </c>
    </row>
    <row r="6810" spans="6:7" x14ac:dyDescent="0.25">
      <c r="F6810">
        <v>6807</v>
      </c>
      <c r="G6810">
        <f ca="1">_xlfn.NORM.INV(RAND(),$M$7,$M$8)</f>
        <v>4.6332625353661065E-3</v>
      </c>
    </row>
    <row r="6811" spans="6:7" x14ac:dyDescent="0.25">
      <c r="F6811">
        <v>6808</v>
      </c>
      <c r="G6811">
        <f ca="1">_xlfn.NORM.INV(RAND(),$M$7,$M$8)</f>
        <v>-2.447973579905963E-2</v>
      </c>
    </row>
    <row r="6812" spans="6:7" x14ac:dyDescent="0.25">
      <c r="F6812">
        <v>6809</v>
      </c>
      <c r="G6812">
        <f ca="1">_xlfn.NORM.INV(RAND(),$M$7,$M$8)</f>
        <v>2.9184371905523539E-2</v>
      </c>
    </row>
    <row r="6813" spans="6:7" x14ac:dyDescent="0.25">
      <c r="F6813">
        <v>6810</v>
      </c>
      <c r="G6813">
        <f ca="1">_xlfn.NORM.INV(RAND(),$M$7,$M$8)</f>
        <v>3.4611693018553658E-2</v>
      </c>
    </row>
    <row r="6814" spans="6:7" x14ac:dyDescent="0.25">
      <c r="F6814">
        <v>6811</v>
      </c>
      <c r="G6814">
        <f ca="1">_xlfn.NORM.INV(RAND(),$M$7,$M$8)</f>
        <v>-2.230897013276403E-2</v>
      </c>
    </row>
    <row r="6815" spans="6:7" x14ac:dyDescent="0.25">
      <c r="F6815">
        <v>6812</v>
      </c>
      <c r="G6815">
        <f ca="1">_xlfn.NORM.INV(RAND(),$M$7,$M$8)</f>
        <v>-2.1152846728257423E-2</v>
      </c>
    </row>
    <row r="6816" spans="6:7" x14ac:dyDescent="0.25">
      <c r="F6816">
        <v>6813</v>
      </c>
      <c r="G6816">
        <f ca="1">_xlfn.NORM.INV(RAND(),$M$7,$M$8)</f>
        <v>-2.9217514834953492E-2</v>
      </c>
    </row>
    <row r="6817" spans="6:7" x14ac:dyDescent="0.25">
      <c r="F6817">
        <v>6814</v>
      </c>
      <c r="G6817">
        <f ca="1">_xlfn.NORM.INV(RAND(),$M$7,$M$8)</f>
        <v>-2.1441641743744879E-2</v>
      </c>
    </row>
    <row r="6818" spans="6:7" x14ac:dyDescent="0.25">
      <c r="F6818">
        <v>6815</v>
      </c>
      <c r="G6818">
        <f ca="1">_xlfn.NORM.INV(RAND(),$M$7,$M$8)</f>
        <v>-6.5642734202425185E-3</v>
      </c>
    </row>
    <row r="6819" spans="6:7" x14ac:dyDescent="0.25">
      <c r="F6819">
        <v>6816</v>
      </c>
      <c r="G6819">
        <f ca="1">_xlfn.NORM.INV(RAND(),$M$7,$M$8)</f>
        <v>2.0530300282351054E-2</v>
      </c>
    </row>
    <row r="6820" spans="6:7" x14ac:dyDescent="0.25">
      <c r="F6820">
        <v>6817</v>
      </c>
      <c r="G6820">
        <f ca="1">_xlfn.NORM.INV(RAND(),$M$7,$M$8)</f>
        <v>3.1193039557315502E-2</v>
      </c>
    </row>
    <row r="6821" spans="6:7" x14ac:dyDescent="0.25">
      <c r="F6821">
        <v>6818</v>
      </c>
      <c r="G6821">
        <f ca="1">_xlfn.NORM.INV(RAND(),$M$7,$M$8)</f>
        <v>9.4736270898144476E-3</v>
      </c>
    </row>
    <row r="6822" spans="6:7" x14ac:dyDescent="0.25">
      <c r="F6822">
        <v>6819</v>
      </c>
      <c r="G6822">
        <f ca="1">_xlfn.NORM.INV(RAND(),$M$7,$M$8)</f>
        <v>-2.7658142223698393E-2</v>
      </c>
    </row>
    <row r="6823" spans="6:7" x14ac:dyDescent="0.25">
      <c r="F6823">
        <v>6820</v>
      </c>
      <c r="G6823">
        <f ca="1">_xlfn.NORM.INV(RAND(),$M$7,$M$8)</f>
        <v>2.2960368275609364E-2</v>
      </c>
    </row>
    <row r="6824" spans="6:7" x14ac:dyDescent="0.25">
      <c r="F6824">
        <v>6821</v>
      </c>
      <c r="G6824">
        <f ca="1">_xlfn.NORM.INV(RAND(),$M$7,$M$8)</f>
        <v>-1.6504966352874517E-2</v>
      </c>
    </row>
    <row r="6825" spans="6:7" x14ac:dyDescent="0.25">
      <c r="F6825">
        <v>6822</v>
      </c>
      <c r="G6825">
        <f ca="1">_xlfn.NORM.INV(RAND(),$M$7,$M$8)</f>
        <v>1.6571910469823578E-2</v>
      </c>
    </row>
    <row r="6826" spans="6:7" x14ac:dyDescent="0.25">
      <c r="F6826">
        <v>6823</v>
      </c>
      <c r="G6826">
        <f ca="1">_xlfn.NORM.INV(RAND(),$M$7,$M$8)</f>
        <v>1.7933885069701196E-2</v>
      </c>
    </row>
    <row r="6827" spans="6:7" x14ac:dyDescent="0.25">
      <c r="F6827">
        <v>6824</v>
      </c>
      <c r="G6827">
        <f ca="1">_xlfn.NORM.INV(RAND(),$M$7,$M$8)</f>
        <v>-9.2335805176803668E-4</v>
      </c>
    </row>
    <row r="6828" spans="6:7" x14ac:dyDescent="0.25">
      <c r="F6828">
        <v>6825</v>
      </c>
      <c r="G6828">
        <f ca="1">_xlfn.NORM.INV(RAND(),$M$7,$M$8)</f>
        <v>1.9996475789873895E-2</v>
      </c>
    </row>
    <row r="6829" spans="6:7" x14ac:dyDescent="0.25">
      <c r="F6829">
        <v>6826</v>
      </c>
      <c r="G6829">
        <f ca="1">_xlfn.NORM.INV(RAND(),$M$7,$M$8)</f>
        <v>2.4808115365193565E-2</v>
      </c>
    </row>
    <row r="6830" spans="6:7" x14ac:dyDescent="0.25">
      <c r="F6830">
        <v>6827</v>
      </c>
      <c r="G6830">
        <f ca="1">_xlfn.NORM.INV(RAND(),$M$7,$M$8)</f>
        <v>-6.673736698385392E-4</v>
      </c>
    </row>
    <row r="6831" spans="6:7" x14ac:dyDescent="0.25">
      <c r="F6831">
        <v>6828</v>
      </c>
      <c r="G6831">
        <f ca="1">_xlfn.NORM.INV(RAND(),$M$7,$M$8)</f>
        <v>-5.420004745245096E-2</v>
      </c>
    </row>
    <row r="6832" spans="6:7" x14ac:dyDescent="0.25">
      <c r="F6832">
        <v>6829</v>
      </c>
      <c r="G6832">
        <f ca="1">_xlfn.NORM.INV(RAND(),$M$7,$M$8)</f>
        <v>1.861101709872507E-2</v>
      </c>
    </row>
    <row r="6833" spans="6:7" x14ac:dyDescent="0.25">
      <c r="F6833">
        <v>6830</v>
      </c>
      <c r="G6833">
        <f ca="1">_xlfn.NORM.INV(RAND(),$M$7,$M$8)</f>
        <v>-1.6364761046986056E-2</v>
      </c>
    </row>
    <row r="6834" spans="6:7" x14ac:dyDescent="0.25">
      <c r="F6834">
        <v>6831</v>
      </c>
      <c r="G6834">
        <f ca="1">_xlfn.NORM.INV(RAND(),$M$7,$M$8)</f>
        <v>-3.7353328416651634E-3</v>
      </c>
    </row>
    <row r="6835" spans="6:7" x14ac:dyDescent="0.25">
      <c r="F6835">
        <v>6832</v>
      </c>
      <c r="G6835">
        <f ca="1">_xlfn.NORM.INV(RAND(),$M$7,$M$8)</f>
        <v>2.779118390502924E-3</v>
      </c>
    </row>
    <row r="6836" spans="6:7" x14ac:dyDescent="0.25">
      <c r="F6836">
        <v>6833</v>
      </c>
      <c r="G6836">
        <f ca="1">_xlfn.NORM.INV(RAND(),$M$7,$M$8)</f>
        <v>-5.8000881674656682E-3</v>
      </c>
    </row>
    <row r="6837" spans="6:7" x14ac:dyDescent="0.25">
      <c r="F6837">
        <v>6834</v>
      </c>
      <c r="G6837">
        <f ca="1">_xlfn.NORM.INV(RAND(),$M$7,$M$8)</f>
        <v>-1.5621601038112626E-2</v>
      </c>
    </row>
    <row r="6838" spans="6:7" x14ac:dyDescent="0.25">
      <c r="F6838">
        <v>6835</v>
      </c>
      <c r="G6838">
        <f ca="1">_xlfn.NORM.INV(RAND(),$M$7,$M$8)</f>
        <v>-1.5641448872601191E-2</v>
      </c>
    </row>
    <row r="6839" spans="6:7" x14ac:dyDescent="0.25">
      <c r="F6839">
        <v>6836</v>
      </c>
      <c r="G6839">
        <f ca="1">_xlfn.NORM.INV(RAND(),$M$7,$M$8)</f>
        <v>3.1797699258706694E-2</v>
      </c>
    </row>
    <row r="6840" spans="6:7" x14ac:dyDescent="0.25">
      <c r="F6840">
        <v>6837</v>
      </c>
      <c r="G6840">
        <f ca="1">_xlfn.NORM.INV(RAND(),$M$7,$M$8)</f>
        <v>-1.4279741767945437E-2</v>
      </c>
    </row>
    <row r="6841" spans="6:7" x14ac:dyDescent="0.25">
      <c r="F6841">
        <v>6838</v>
      </c>
      <c r="G6841">
        <f ca="1">_xlfn.NORM.INV(RAND(),$M$7,$M$8)</f>
        <v>3.5110036174354417E-2</v>
      </c>
    </row>
    <row r="6842" spans="6:7" x14ac:dyDescent="0.25">
      <c r="F6842">
        <v>6839</v>
      </c>
      <c r="G6842">
        <f ca="1">_xlfn.NORM.INV(RAND(),$M$7,$M$8)</f>
        <v>2.2721620367785631E-3</v>
      </c>
    </row>
    <row r="6843" spans="6:7" x14ac:dyDescent="0.25">
      <c r="F6843">
        <v>6840</v>
      </c>
      <c r="G6843">
        <f ca="1">_xlfn.NORM.INV(RAND(),$M$7,$M$8)</f>
        <v>1.0164347317884631E-2</v>
      </c>
    </row>
    <row r="6844" spans="6:7" x14ac:dyDescent="0.25">
      <c r="F6844">
        <v>6841</v>
      </c>
      <c r="G6844">
        <f ca="1">_xlfn.NORM.INV(RAND(),$M$7,$M$8)</f>
        <v>-7.7838594786701939E-4</v>
      </c>
    </row>
    <row r="6845" spans="6:7" x14ac:dyDescent="0.25">
      <c r="F6845">
        <v>6842</v>
      </c>
      <c r="G6845">
        <f ca="1">_xlfn.NORM.INV(RAND(),$M$7,$M$8)</f>
        <v>-2.8321899325654985E-3</v>
      </c>
    </row>
    <row r="6846" spans="6:7" x14ac:dyDescent="0.25">
      <c r="F6846">
        <v>6843</v>
      </c>
      <c r="G6846">
        <f ca="1">_xlfn.NORM.INV(RAND(),$M$7,$M$8)</f>
        <v>8.9311181508293404E-3</v>
      </c>
    </row>
    <row r="6847" spans="6:7" x14ac:dyDescent="0.25">
      <c r="F6847">
        <v>6844</v>
      </c>
      <c r="G6847">
        <f ca="1">_xlfn.NORM.INV(RAND(),$M$7,$M$8)</f>
        <v>4.1605608764459963E-3</v>
      </c>
    </row>
    <row r="6848" spans="6:7" x14ac:dyDescent="0.25">
      <c r="F6848">
        <v>6845</v>
      </c>
      <c r="G6848">
        <f ca="1">_xlfn.NORM.INV(RAND(),$M$7,$M$8)</f>
        <v>-1.4405059482445496E-2</v>
      </c>
    </row>
    <row r="6849" spans="6:7" x14ac:dyDescent="0.25">
      <c r="F6849">
        <v>6846</v>
      </c>
      <c r="G6849">
        <f ca="1">_xlfn.NORM.INV(RAND(),$M$7,$M$8)</f>
        <v>2.6564186832357107E-2</v>
      </c>
    </row>
    <row r="6850" spans="6:7" x14ac:dyDescent="0.25">
      <c r="F6850">
        <v>6847</v>
      </c>
      <c r="G6850">
        <f ca="1">_xlfn.NORM.INV(RAND(),$M$7,$M$8)</f>
        <v>-2.7578170342530593E-2</v>
      </c>
    </row>
    <row r="6851" spans="6:7" x14ac:dyDescent="0.25">
      <c r="F6851">
        <v>6848</v>
      </c>
      <c r="G6851">
        <f ca="1">_xlfn.NORM.INV(RAND(),$M$7,$M$8)</f>
        <v>-1.889064227416535E-4</v>
      </c>
    </row>
    <row r="6852" spans="6:7" x14ac:dyDescent="0.25">
      <c r="F6852">
        <v>6849</v>
      </c>
      <c r="G6852">
        <f ca="1">_xlfn.NORM.INV(RAND(),$M$7,$M$8)</f>
        <v>2.9029377756388187E-2</v>
      </c>
    </row>
    <row r="6853" spans="6:7" x14ac:dyDescent="0.25">
      <c r="F6853">
        <v>6850</v>
      </c>
      <c r="G6853">
        <f ca="1">_xlfn.NORM.INV(RAND(),$M$7,$M$8)</f>
        <v>-2.1763244480905105E-2</v>
      </c>
    </row>
    <row r="6854" spans="6:7" x14ac:dyDescent="0.25">
      <c r="F6854">
        <v>6851</v>
      </c>
      <c r="G6854">
        <f ca="1">_xlfn.NORM.INV(RAND(),$M$7,$M$8)</f>
        <v>-2.3913448402872808E-3</v>
      </c>
    </row>
    <row r="6855" spans="6:7" x14ac:dyDescent="0.25">
      <c r="F6855">
        <v>6852</v>
      </c>
      <c r="G6855">
        <f ca="1">_xlfn.NORM.INV(RAND(),$M$7,$M$8)</f>
        <v>2.2740626905640066E-2</v>
      </c>
    </row>
    <row r="6856" spans="6:7" x14ac:dyDescent="0.25">
      <c r="F6856">
        <v>6853</v>
      </c>
      <c r="G6856">
        <f ca="1">_xlfn.NORM.INV(RAND(),$M$7,$M$8)</f>
        <v>7.2066772538738159E-3</v>
      </c>
    </row>
    <row r="6857" spans="6:7" x14ac:dyDescent="0.25">
      <c r="F6857">
        <v>6854</v>
      </c>
      <c r="G6857">
        <f ca="1">_xlfn.NORM.INV(RAND(),$M$7,$M$8)</f>
        <v>-1.9766369770497956E-2</v>
      </c>
    </row>
    <row r="6858" spans="6:7" x14ac:dyDescent="0.25">
      <c r="F6858">
        <v>6855</v>
      </c>
      <c r="G6858">
        <f ca="1">_xlfn.NORM.INV(RAND(),$M$7,$M$8)</f>
        <v>4.9288614281360332E-3</v>
      </c>
    </row>
    <row r="6859" spans="6:7" x14ac:dyDescent="0.25">
      <c r="F6859">
        <v>6856</v>
      </c>
      <c r="G6859">
        <f ca="1">_xlfn.NORM.INV(RAND(),$M$7,$M$8)</f>
        <v>-4.4899442211583984E-2</v>
      </c>
    </row>
    <row r="6860" spans="6:7" x14ac:dyDescent="0.25">
      <c r="F6860">
        <v>6857</v>
      </c>
      <c r="G6860">
        <f ca="1">_xlfn.NORM.INV(RAND(),$M$7,$M$8)</f>
        <v>2.9359830281626576E-2</v>
      </c>
    </row>
    <row r="6861" spans="6:7" x14ac:dyDescent="0.25">
      <c r="F6861">
        <v>6858</v>
      </c>
      <c r="G6861">
        <f ca="1">_xlfn.NORM.INV(RAND(),$M$7,$M$8)</f>
        <v>4.5690020352411612E-2</v>
      </c>
    </row>
    <row r="6862" spans="6:7" x14ac:dyDescent="0.25">
      <c r="F6862">
        <v>6859</v>
      </c>
      <c r="G6862">
        <f ca="1">_xlfn.NORM.INV(RAND(),$M$7,$M$8)</f>
        <v>7.2072988806504146E-3</v>
      </c>
    </row>
    <row r="6863" spans="6:7" x14ac:dyDescent="0.25">
      <c r="F6863">
        <v>6860</v>
      </c>
      <c r="G6863">
        <f ca="1">_xlfn.NORM.INV(RAND(),$M$7,$M$8)</f>
        <v>3.0393084380118122E-2</v>
      </c>
    </row>
    <row r="6864" spans="6:7" x14ac:dyDescent="0.25">
      <c r="F6864">
        <v>6861</v>
      </c>
      <c r="G6864">
        <f ca="1">_xlfn.NORM.INV(RAND(),$M$7,$M$8)</f>
        <v>-2.9980649975345473E-2</v>
      </c>
    </row>
    <row r="6865" spans="6:7" x14ac:dyDescent="0.25">
      <c r="F6865">
        <v>6862</v>
      </c>
      <c r="G6865">
        <f ca="1">_xlfn.NORM.INV(RAND(),$M$7,$M$8)</f>
        <v>6.0705402752175078E-3</v>
      </c>
    </row>
    <row r="6866" spans="6:7" x14ac:dyDescent="0.25">
      <c r="F6866">
        <v>6863</v>
      </c>
      <c r="G6866">
        <f ca="1">_xlfn.NORM.INV(RAND(),$M$7,$M$8)</f>
        <v>7.7796092745724878E-3</v>
      </c>
    </row>
    <row r="6867" spans="6:7" x14ac:dyDescent="0.25">
      <c r="F6867">
        <v>6864</v>
      </c>
      <c r="G6867">
        <f ca="1">_xlfn.NORM.INV(RAND(),$M$7,$M$8)</f>
        <v>-3.428213063009572E-2</v>
      </c>
    </row>
    <row r="6868" spans="6:7" x14ac:dyDescent="0.25">
      <c r="F6868">
        <v>6865</v>
      </c>
      <c r="G6868">
        <f ca="1">_xlfn.NORM.INV(RAND(),$M$7,$M$8)</f>
        <v>-1.2419471047642404E-2</v>
      </c>
    </row>
    <row r="6869" spans="6:7" x14ac:dyDescent="0.25">
      <c r="F6869">
        <v>6866</v>
      </c>
      <c r="G6869">
        <f ca="1">_xlfn.NORM.INV(RAND(),$M$7,$M$8)</f>
        <v>-2.4857311939123591E-2</v>
      </c>
    </row>
    <row r="6870" spans="6:7" x14ac:dyDescent="0.25">
      <c r="F6870">
        <v>6867</v>
      </c>
      <c r="G6870">
        <f ca="1">_xlfn.NORM.INV(RAND(),$M$7,$M$8)</f>
        <v>2.2696301321876815E-2</v>
      </c>
    </row>
    <row r="6871" spans="6:7" x14ac:dyDescent="0.25">
      <c r="F6871">
        <v>6868</v>
      </c>
      <c r="G6871">
        <f ca="1">_xlfn.NORM.INV(RAND(),$M$7,$M$8)</f>
        <v>6.27903983537491E-3</v>
      </c>
    </row>
    <row r="6872" spans="6:7" x14ac:dyDescent="0.25">
      <c r="F6872">
        <v>6869</v>
      </c>
      <c r="G6872">
        <f ca="1">_xlfn.NORM.INV(RAND(),$M$7,$M$8)</f>
        <v>-4.9824690311769698E-2</v>
      </c>
    </row>
    <row r="6873" spans="6:7" x14ac:dyDescent="0.25">
      <c r="F6873">
        <v>6870</v>
      </c>
      <c r="G6873">
        <f ca="1">_xlfn.NORM.INV(RAND(),$M$7,$M$8)</f>
        <v>-1.6801963674384034E-2</v>
      </c>
    </row>
    <row r="6874" spans="6:7" x14ac:dyDescent="0.25">
      <c r="F6874">
        <v>6871</v>
      </c>
      <c r="G6874">
        <f ca="1">_xlfn.NORM.INV(RAND(),$M$7,$M$8)</f>
        <v>2.5966554255610754E-2</v>
      </c>
    </row>
    <row r="6875" spans="6:7" x14ac:dyDescent="0.25">
      <c r="F6875">
        <v>6872</v>
      </c>
      <c r="G6875">
        <f ca="1">_xlfn.NORM.INV(RAND(),$M$7,$M$8)</f>
        <v>-1.2626665376256339E-2</v>
      </c>
    </row>
    <row r="6876" spans="6:7" x14ac:dyDescent="0.25">
      <c r="F6876">
        <v>6873</v>
      </c>
      <c r="G6876">
        <f ca="1">_xlfn.NORM.INV(RAND(),$M$7,$M$8)</f>
        <v>3.3973405994797449E-3</v>
      </c>
    </row>
    <row r="6877" spans="6:7" x14ac:dyDescent="0.25">
      <c r="F6877">
        <v>6874</v>
      </c>
      <c r="G6877">
        <f ca="1">_xlfn.NORM.INV(RAND(),$M$7,$M$8)</f>
        <v>1.0824797012784675E-2</v>
      </c>
    </row>
    <row r="6878" spans="6:7" x14ac:dyDescent="0.25">
      <c r="F6878">
        <v>6875</v>
      </c>
      <c r="G6878">
        <f ca="1">_xlfn.NORM.INV(RAND(),$M$7,$M$8)</f>
        <v>1.6853722486611992E-2</v>
      </c>
    </row>
    <row r="6879" spans="6:7" x14ac:dyDescent="0.25">
      <c r="F6879">
        <v>6876</v>
      </c>
      <c r="G6879">
        <f ca="1">_xlfn.NORM.INV(RAND(),$M$7,$M$8)</f>
        <v>1.5572940832860536E-2</v>
      </c>
    </row>
    <row r="6880" spans="6:7" x14ac:dyDescent="0.25">
      <c r="F6880">
        <v>6877</v>
      </c>
      <c r="G6880">
        <f ca="1">_xlfn.NORM.INV(RAND(),$M$7,$M$8)</f>
        <v>-2.6463475795413065E-2</v>
      </c>
    </row>
    <row r="6881" spans="6:7" x14ac:dyDescent="0.25">
      <c r="F6881">
        <v>6878</v>
      </c>
      <c r="G6881">
        <f ca="1">_xlfn.NORM.INV(RAND(),$M$7,$M$8)</f>
        <v>1.8195609503190626E-2</v>
      </c>
    </row>
    <row r="6882" spans="6:7" x14ac:dyDescent="0.25">
      <c r="F6882">
        <v>6879</v>
      </c>
      <c r="G6882">
        <f ca="1">_xlfn.NORM.INV(RAND(),$M$7,$M$8)</f>
        <v>-7.5704536658736162E-3</v>
      </c>
    </row>
    <row r="6883" spans="6:7" x14ac:dyDescent="0.25">
      <c r="F6883">
        <v>6880</v>
      </c>
      <c r="G6883">
        <f ca="1">_xlfn.NORM.INV(RAND(),$M$7,$M$8)</f>
        <v>-1.5707714162855844E-2</v>
      </c>
    </row>
    <row r="6884" spans="6:7" x14ac:dyDescent="0.25">
      <c r="F6884">
        <v>6881</v>
      </c>
      <c r="G6884">
        <f ca="1">_xlfn.NORM.INV(RAND(),$M$7,$M$8)</f>
        <v>-7.8412304107658322E-3</v>
      </c>
    </row>
    <row r="6885" spans="6:7" x14ac:dyDescent="0.25">
      <c r="F6885">
        <v>6882</v>
      </c>
      <c r="G6885">
        <f ca="1">_xlfn.NORM.INV(RAND(),$M$7,$M$8)</f>
        <v>-3.2613505833560631E-2</v>
      </c>
    </row>
    <row r="6886" spans="6:7" x14ac:dyDescent="0.25">
      <c r="F6886">
        <v>6883</v>
      </c>
      <c r="G6886">
        <f ca="1">_xlfn.NORM.INV(RAND(),$M$7,$M$8)</f>
        <v>-2.3978056180342783E-2</v>
      </c>
    </row>
    <row r="6887" spans="6:7" x14ac:dyDescent="0.25">
      <c r="F6887">
        <v>6884</v>
      </c>
      <c r="G6887">
        <f ca="1">_xlfn.NORM.INV(RAND(),$M$7,$M$8)</f>
        <v>-1.2212246764404093E-2</v>
      </c>
    </row>
    <row r="6888" spans="6:7" x14ac:dyDescent="0.25">
      <c r="F6888">
        <v>6885</v>
      </c>
      <c r="G6888">
        <f ca="1">_xlfn.NORM.INV(RAND(),$M$7,$M$8)</f>
        <v>2.8670116070295529E-2</v>
      </c>
    </row>
    <row r="6889" spans="6:7" x14ac:dyDescent="0.25">
      <c r="F6889">
        <v>6886</v>
      </c>
      <c r="G6889">
        <f ca="1">_xlfn.NORM.INV(RAND(),$M$7,$M$8)</f>
        <v>1.5880324166955222E-2</v>
      </c>
    </row>
    <row r="6890" spans="6:7" x14ac:dyDescent="0.25">
      <c r="F6890">
        <v>6887</v>
      </c>
      <c r="G6890">
        <f ca="1">_xlfn.NORM.INV(RAND(),$M$7,$M$8)</f>
        <v>2.1704297455506612E-2</v>
      </c>
    </row>
    <row r="6891" spans="6:7" x14ac:dyDescent="0.25">
      <c r="F6891">
        <v>6888</v>
      </c>
      <c r="G6891">
        <f ca="1">_xlfn.NORM.INV(RAND(),$M$7,$M$8)</f>
        <v>2.0652143370544249E-2</v>
      </c>
    </row>
    <row r="6892" spans="6:7" x14ac:dyDescent="0.25">
      <c r="F6892">
        <v>6889</v>
      </c>
      <c r="G6892">
        <f ca="1">_xlfn.NORM.INV(RAND(),$M$7,$M$8)</f>
        <v>1.9051901371880051E-2</v>
      </c>
    </row>
    <row r="6893" spans="6:7" x14ac:dyDescent="0.25">
      <c r="F6893">
        <v>6890</v>
      </c>
      <c r="G6893">
        <f ca="1">_xlfn.NORM.INV(RAND(),$M$7,$M$8)</f>
        <v>-1.7467801441633058E-2</v>
      </c>
    </row>
    <row r="6894" spans="6:7" x14ac:dyDescent="0.25">
      <c r="F6894">
        <v>6891</v>
      </c>
      <c r="G6894">
        <f ca="1">_xlfn.NORM.INV(RAND(),$M$7,$M$8)</f>
        <v>3.7155359987911918E-2</v>
      </c>
    </row>
    <row r="6895" spans="6:7" x14ac:dyDescent="0.25">
      <c r="F6895">
        <v>6892</v>
      </c>
      <c r="G6895">
        <f ca="1">_xlfn.NORM.INV(RAND(),$M$7,$M$8)</f>
        <v>-1.6403220687445812E-2</v>
      </c>
    </row>
    <row r="6896" spans="6:7" x14ac:dyDescent="0.25">
      <c r="F6896">
        <v>6893</v>
      </c>
      <c r="G6896">
        <f ca="1">_xlfn.NORM.INV(RAND(),$M$7,$M$8)</f>
        <v>4.8876370685902726E-3</v>
      </c>
    </row>
    <row r="6897" spans="6:7" x14ac:dyDescent="0.25">
      <c r="F6897">
        <v>6894</v>
      </c>
      <c r="G6897">
        <f ca="1">_xlfn.NORM.INV(RAND(),$M$7,$M$8)</f>
        <v>2.3396103123200979E-2</v>
      </c>
    </row>
    <row r="6898" spans="6:7" x14ac:dyDescent="0.25">
      <c r="F6898">
        <v>6895</v>
      </c>
      <c r="G6898">
        <f ca="1">_xlfn.NORM.INV(RAND(),$M$7,$M$8)</f>
        <v>5.9240544698325472E-4</v>
      </c>
    </row>
    <row r="6899" spans="6:7" x14ac:dyDescent="0.25">
      <c r="F6899">
        <v>6896</v>
      </c>
      <c r="G6899">
        <f ca="1">_xlfn.NORM.INV(RAND(),$M$7,$M$8)</f>
        <v>-2.7898026985274257E-2</v>
      </c>
    </row>
    <row r="6900" spans="6:7" x14ac:dyDescent="0.25">
      <c r="F6900">
        <v>6897</v>
      </c>
      <c r="G6900">
        <f ca="1">_xlfn.NORM.INV(RAND(),$M$7,$M$8)</f>
        <v>1.0840939101762079E-2</v>
      </c>
    </row>
    <row r="6901" spans="6:7" x14ac:dyDescent="0.25">
      <c r="F6901">
        <v>6898</v>
      </c>
      <c r="G6901">
        <f ca="1">_xlfn.NORM.INV(RAND(),$M$7,$M$8)</f>
        <v>-2.7227360975329698E-2</v>
      </c>
    </row>
    <row r="6902" spans="6:7" x14ac:dyDescent="0.25">
      <c r="F6902">
        <v>6899</v>
      </c>
      <c r="G6902">
        <f ca="1">_xlfn.NORM.INV(RAND(),$M$7,$M$8)</f>
        <v>-1.1815298953048383E-2</v>
      </c>
    </row>
    <row r="6903" spans="6:7" x14ac:dyDescent="0.25">
      <c r="F6903">
        <v>6900</v>
      </c>
      <c r="G6903">
        <f ca="1">_xlfn.NORM.INV(RAND(),$M$7,$M$8)</f>
        <v>3.4227519110849487E-2</v>
      </c>
    </row>
    <row r="6904" spans="6:7" x14ac:dyDescent="0.25">
      <c r="F6904">
        <v>6901</v>
      </c>
      <c r="G6904">
        <f ca="1">_xlfn.NORM.INV(RAND(),$M$7,$M$8)</f>
        <v>-2.2338294304524383E-2</v>
      </c>
    </row>
    <row r="6905" spans="6:7" x14ac:dyDescent="0.25">
      <c r="F6905">
        <v>6902</v>
      </c>
      <c r="G6905">
        <f ca="1">_xlfn.NORM.INV(RAND(),$M$7,$M$8)</f>
        <v>-8.4277121488265656E-4</v>
      </c>
    </row>
    <row r="6906" spans="6:7" x14ac:dyDescent="0.25">
      <c r="F6906">
        <v>6903</v>
      </c>
      <c r="G6906">
        <f ca="1">_xlfn.NORM.INV(RAND(),$M$7,$M$8)</f>
        <v>-1.3318335017342401E-2</v>
      </c>
    </row>
    <row r="6907" spans="6:7" x14ac:dyDescent="0.25">
      <c r="F6907">
        <v>6904</v>
      </c>
      <c r="G6907">
        <f ca="1">_xlfn.NORM.INV(RAND(),$M$7,$M$8)</f>
        <v>-3.4158190290399936E-3</v>
      </c>
    </row>
    <row r="6908" spans="6:7" x14ac:dyDescent="0.25">
      <c r="F6908">
        <v>6905</v>
      </c>
      <c r="G6908">
        <f ca="1">_xlfn.NORM.INV(RAND(),$M$7,$M$8)</f>
        <v>3.1223026549093372E-2</v>
      </c>
    </row>
    <row r="6909" spans="6:7" x14ac:dyDescent="0.25">
      <c r="F6909">
        <v>6906</v>
      </c>
      <c r="G6909">
        <f ca="1">_xlfn.NORM.INV(RAND(),$M$7,$M$8)</f>
        <v>1.1417231040135575E-2</v>
      </c>
    </row>
    <row r="6910" spans="6:7" x14ac:dyDescent="0.25">
      <c r="F6910">
        <v>6907</v>
      </c>
      <c r="G6910">
        <f ca="1">_xlfn.NORM.INV(RAND(),$M$7,$M$8)</f>
        <v>4.1403338172596935E-2</v>
      </c>
    </row>
    <row r="6911" spans="6:7" x14ac:dyDescent="0.25">
      <c r="F6911">
        <v>6908</v>
      </c>
      <c r="G6911">
        <f ca="1">_xlfn.NORM.INV(RAND(),$M$7,$M$8)</f>
        <v>-1.1839745689894165E-4</v>
      </c>
    </row>
    <row r="6912" spans="6:7" x14ac:dyDescent="0.25">
      <c r="F6912">
        <v>6909</v>
      </c>
      <c r="G6912">
        <f ca="1">_xlfn.NORM.INV(RAND(),$M$7,$M$8)</f>
        <v>2.1339908280773149E-2</v>
      </c>
    </row>
    <row r="6913" spans="6:7" x14ac:dyDescent="0.25">
      <c r="F6913">
        <v>6910</v>
      </c>
      <c r="G6913">
        <f ca="1">_xlfn.NORM.INV(RAND(),$M$7,$M$8)</f>
        <v>-1.228369396392355E-2</v>
      </c>
    </row>
    <row r="6914" spans="6:7" x14ac:dyDescent="0.25">
      <c r="F6914">
        <v>6911</v>
      </c>
      <c r="G6914">
        <f ca="1">_xlfn.NORM.INV(RAND(),$M$7,$M$8)</f>
        <v>2.1445683971356199E-3</v>
      </c>
    </row>
    <row r="6915" spans="6:7" x14ac:dyDescent="0.25">
      <c r="F6915">
        <v>6912</v>
      </c>
      <c r="G6915">
        <f ca="1">_xlfn.NORM.INV(RAND(),$M$7,$M$8)</f>
        <v>-1.4287039191425974E-2</v>
      </c>
    </row>
    <row r="6916" spans="6:7" x14ac:dyDescent="0.25">
      <c r="F6916">
        <v>6913</v>
      </c>
      <c r="G6916">
        <f ca="1">_xlfn.NORM.INV(RAND(),$M$7,$M$8)</f>
        <v>-1.8340428010608208E-2</v>
      </c>
    </row>
    <row r="6917" spans="6:7" x14ac:dyDescent="0.25">
      <c r="F6917">
        <v>6914</v>
      </c>
      <c r="G6917">
        <f ca="1">_xlfn.NORM.INV(RAND(),$M$7,$M$8)</f>
        <v>-2.7523101470127143E-2</v>
      </c>
    </row>
    <row r="6918" spans="6:7" x14ac:dyDescent="0.25">
      <c r="F6918">
        <v>6915</v>
      </c>
      <c r="G6918">
        <f ca="1">_xlfn.NORM.INV(RAND(),$M$7,$M$8)</f>
        <v>-2.4693911060485116E-2</v>
      </c>
    </row>
    <row r="6919" spans="6:7" x14ac:dyDescent="0.25">
      <c r="F6919">
        <v>6916</v>
      </c>
      <c r="G6919">
        <f ca="1">_xlfn.NORM.INV(RAND(),$M$7,$M$8)</f>
        <v>6.0802887805163873E-3</v>
      </c>
    </row>
    <row r="6920" spans="6:7" x14ac:dyDescent="0.25">
      <c r="F6920">
        <v>6917</v>
      </c>
      <c r="G6920">
        <f ca="1">_xlfn.NORM.INV(RAND(),$M$7,$M$8)</f>
        <v>-5.4170888590178651E-4</v>
      </c>
    </row>
    <row r="6921" spans="6:7" x14ac:dyDescent="0.25">
      <c r="F6921">
        <v>6918</v>
      </c>
      <c r="G6921">
        <f ca="1">_xlfn.NORM.INV(RAND(),$M$7,$M$8)</f>
        <v>1.5102139200926875E-2</v>
      </c>
    </row>
    <row r="6922" spans="6:7" x14ac:dyDescent="0.25">
      <c r="F6922">
        <v>6919</v>
      </c>
      <c r="G6922">
        <f ca="1">_xlfn.NORM.INV(RAND(),$M$7,$M$8)</f>
        <v>-1.1183219169318023E-2</v>
      </c>
    </row>
    <row r="6923" spans="6:7" x14ac:dyDescent="0.25">
      <c r="F6923">
        <v>6920</v>
      </c>
      <c r="G6923">
        <f ca="1">_xlfn.NORM.INV(RAND(),$M$7,$M$8)</f>
        <v>-4.4286346649224963E-2</v>
      </c>
    </row>
    <row r="6924" spans="6:7" x14ac:dyDescent="0.25">
      <c r="F6924">
        <v>6921</v>
      </c>
      <c r="G6924">
        <f ca="1">_xlfn.NORM.INV(RAND(),$M$7,$M$8)</f>
        <v>-1.3417984821254364E-2</v>
      </c>
    </row>
    <row r="6925" spans="6:7" x14ac:dyDescent="0.25">
      <c r="F6925">
        <v>6922</v>
      </c>
      <c r="G6925">
        <f ca="1">_xlfn.NORM.INV(RAND(),$M$7,$M$8)</f>
        <v>-2.329997014349976E-2</v>
      </c>
    </row>
    <row r="6926" spans="6:7" x14ac:dyDescent="0.25">
      <c r="F6926">
        <v>6923</v>
      </c>
      <c r="G6926">
        <f ca="1">_xlfn.NORM.INV(RAND(),$M$7,$M$8)</f>
        <v>2.6317981053151876E-2</v>
      </c>
    </row>
    <row r="6927" spans="6:7" x14ac:dyDescent="0.25">
      <c r="F6927">
        <v>6924</v>
      </c>
      <c r="G6927">
        <f ca="1">_xlfn.NORM.INV(RAND(),$M$7,$M$8)</f>
        <v>3.3738397421495377E-2</v>
      </c>
    </row>
    <row r="6928" spans="6:7" x14ac:dyDescent="0.25">
      <c r="F6928">
        <v>6925</v>
      </c>
      <c r="G6928">
        <f ca="1">_xlfn.NORM.INV(RAND(),$M$7,$M$8)</f>
        <v>2.1029681713637251E-2</v>
      </c>
    </row>
    <row r="6929" spans="6:7" x14ac:dyDescent="0.25">
      <c r="F6929">
        <v>6926</v>
      </c>
      <c r="G6929">
        <f ca="1">_xlfn.NORM.INV(RAND(),$M$7,$M$8)</f>
        <v>-1.0986138256540387E-2</v>
      </c>
    </row>
    <row r="6930" spans="6:7" x14ac:dyDescent="0.25">
      <c r="F6930">
        <v>6927</v>
      </c>
      <c r="G6930">
        <f ca="1">_xlfn.NORM.INV(RAND(),$M$7,$M$8)</f>
        <v>5.5613742517384712E-3</v>
      </c>
    </row>
    <row r="6931" spans="6:7" x14ac:dyDescent="0.25">
      <c r="F6931">
        <v>6928</v>
      </c>
      <c r="G6931">
        <f ca="1">_xlfn.NORM.INV(RAND(),$M$7,$M$8)</f>
        <v>-3.0061248802206171E-3</v>
      </c>
    </row>
    <row r="6932" spans="6:7" x14ac:dyDescent="0.25">
      <c r="F6932">
        <v>6929</v>
      </c>
      <c r="G6932">
        <f ca="1">_xlfn.NORM.INV(RAND(),$M$7,$M$8)</f>
        <v>2.6087552638682499E-2</v>
      </c>
    </row>
    <row r="6933" spans="6:7" x14ac:dyDescent="0.25">
      <c r="F6933">
        <v>6930</v>
      </c>
      <c r="G6933">
        <f ca="1">_xlfn.NORM.INV(RAND(),$M$7,$M$8)</f>
        <v>-7.4718906449095252E-3</v>
      </c>
    </row>
    <row r="6934" spans="6:7" x14ac:dyDescent="0.25">
      <c r="F6934">
        <v>6931</v>
      </c>
      <c r="G6934">
        <f ca="1">_xlfn.NORM.INV(RAND(),$M$7,$M$8)</f>
        <v>-2.2449663074514174E-2</v>
      </c>
    </row>
    <row r="6935" spans="6:7" x14ac:dyDescent="0.25">
      <c r="F6935">
        <v>6932</v>
      </c>
      <c r="G6935">
        <f ca="1">_xlfn.NORM.INV(RAND(),$M$7,$M$8)</f>
        <v>2.2951002287687735E-3</v>
      </c>
    </row>
    <row r="6936" spans="6:7" x14ac:dyDescent="0.25">
      <c r="F6936">
        <v>6933</v>
      </c>
      <c r="G6936">
        <f ca="1">_xlfn.NORM.INV(RAND(),$M$7,$M$8)</f>
        <v>3.5886136025259634E-2</v>
      </c>
    </row>
    <row r="6937" spans="6:7" x14ac:dyDescent="0.25">
      <c r="F6937">
        <v>6934</v>
      </c>
      <c r="G6937">
        <f ca="1">_xlfn.NORM.INV(RAND(),$M$7,$M$8)</f>
        <v>1.7787462205940893E-2</v>
      </c>
    </row>
    <row r="6938" spans="6:7" x14ac:dyDescent="0.25">
      <c r="F6938">
        <v>6935</v>
      </c>
      <c r="G6938">
        <f ca="1">_xlfn.NORM.INV(RAND(),$M$7,$M$8)</f>
        <v>2.0144737987198142E-2</v>
      </c>
    </row>
    <row r="6939" spans="6:7" x14ac:dyDescent="0.25">
      <c r="F6939">
        <v>6936</v>
      </c>
      <c r="G6939">
        <f ca="1">_xlfn.NORM.INV(RAND(),$M$7,$M$8)</f>
        <v>-4.5323866755383663E-2</v>
      </c>
    </row>
    <row r="6940" spans="6:7" x14ac:dyDescent="0.25">
      <c r="F6940">
        <v>6937</v>
      </c>
      <c r="G6940">
        <f ca="1">_xlfn.NORM.INV(RAND(),$M$7,$M$8)</f>
        <v>-1.2590153662454126E-2</v>
      </c>
    </row>
    <row r="6941" spans="6:7" x14ac:dyDescent="0.25">
      <c r="F6941">
        <v>6938</v>
      </c>
      <c r="G6941">
        <f ca="1">_xlfn.NORM.INV(RAND(),$M$7,$M$8)</f>
        <v>-6.9124995213759987E-3</v>
      </c>
    </row>
    <row r="6942" spans="6:7" x14ac:dyDescent="0.25">
      <c r="F6942">
        <v>6939</v>
      </c>
      <c r="G6942">
        <f ca="1">_xlfn.NORM.INV(RAND(),$M$7,$M$8)</f>
        <v>-1.954124285209605E-2</v>
      </c>
    </row>
    <row r="6943" spans="6:7" x14ac:dyDescent="0.25">
      <c r="F6943">
        <v>6940</v>
      </c>
      <c r="G6943">
        <f ca="1">_xlfn.NORM.INV(RAND(),$M$7,$M$8)</f>
        <v>-2.1018074113531016E-2</v>
      </c>
    </row>
    <row r="6944" spans="6:7" x14ac:dyDescent="0.25">
      <c r="F6944">
        <v>6941</v>
      </c>
      <c r="G6944">
        <f ca="1">_xlfn.NORM.INV(RAND(),$M$7,$M$8)</f>
        <v>2.4076072876100724E-2</v>
      </c>
    </row>
    <row r="6945" spans="6:7" x14ac:dyDescent="0.25">
      <c r="F6945">
        <v>6942</v>
      </c>
      <c r="G6945">
        <f ca="1">_xlfn.NORM.INV(RAND(),$M$7,$M$8)</f>
        <v>5.3143821240257735E-3</v>
      </c>
    </row>
    <row r="6946" spans="6:7" x14ac:dyDescent="0.25">
      <c r="F6946">
        <v>6943</v>
      </c>
      <c r="G6946">
        <f ca="1">_xlfn.NORM.INV(RAND(),$M$7,$M$8)</f>
        <v>-7.1559593750090775E-3</v>
      </c>
    </row>
    <row r="6947" spans="6:7" x14ac:dyDescent="0.25">
      <c r="F6947">
        <v>6944</v>
      </c>
      <c r="G6947">
        <f ca="1">_xlfn.NORM.INV(RAND(),$M$7,$M$8)</f>
        <v>-1.3731775408814539E-3</v>
      </c>
    </row>
    <row r="6948" spans="6:7" x14ac:dyDescent="0.25">
      <c r="F6948">
        <v>6945</v>
      </c>
      <c r="G6948">
        <f ca="1">_xlfn.NORM.INV(RAND(),$M$7,$M$8)</f>
        <v>6.2016185828100649E-3</v>
      </c>
    </row>
    <row r="6949" spans="6:7" x14ac:dyDescent="0.25">
      <c r="F6949">
        <v>6946</v>
      </c>
      <c r="G6949">
        <f ca="1">_xlfn.NORM.INV(RAND(),$M$7,$M$8)</f>
        <v>7.9758262141325E-3</v>
      </c>
    </row>
    <row r="6950" spans="6:7" x14ac:dyDescent="0.25">
      <c r="F6950">
        <v>6947</v>
      </c>
      <c r="G6950">
        <f ca="1">_xlfn.NORM.INV(RAND(),$M$7,$M$8)</f>
        <v>1.1185749481051084E-2</v>
      </c>
    </row>
    <row r="6951" spans="6:7" x14ac:dyDescent="0.25">
      <c r="F6951">
        <v>6948</v>
      </c>
      <c r="G6951">
        <f ca="1">_xlfn.NORM.INV(RAND(),$M$7,$M$8)</f>
        <v>2.2923031422761881E-2</v>
      </c>
    </row>
    <row r="6952" spans="6:7" x14ac:dyDescent="0.25">
      <c r="F6952">
        <v>6949</v>
      </c>
      <c r="G6952">
        <f ca="1">_xlfn.NORM.INV(RAND(),$M$7,$M$8)</f>
        <v>-1.1065755022897151E-2</v>
      </c>
    </row>
    <row r="6953" spans="6:7" x14ac:dyDescent="0.25">
      <c r="F6953">
        <v>6950</v>
      </c>
      <c r="G6953">
        <f ca="1">_xlfn.NORM.INV(RAND(),$M$7,$M$8)</f>
        <v>1.6447315724366487E-2</v>
      </c>
    </row>
    <row r="6954" spans="6:7" x14ac:dyDescent="0.25">
      <c r="F6954">
        <v>6951</v>
      </c>
      <c r="G6954">
        <f ca="1">_xlfn.NORM.INV(RAND(),$M$7,$M$8)</f>
        <v>3.5865009616040756E-2</v>
      </c>
    </row>
    <row r="6955" spans="6:7" x14ac:dyDescent="0.25">
      <c r="F6955">
        <v>6952</v>
      </c>
      <c r="G6955">
        <f ca="1">_xlfn.NORM.INV(RAND(),$M$7,$M$8)</f>
        <v>1.1305671088262255E-2</v>
      </c>
    </row>
    <row r="6956" spans="6:7" x14ac:dyDescent="0.25">
      <c r="F6956">
        <v>6953</v>
      </c>
      <c r="G6956">
        <f ca="1">_xlfn.NORM.INV(RAND(),$M$7,$M$8)</f>
        <v>-2.7026205738530339E-2</v>
      </c>
    </row>
    <row r="6957" spans="6:7" x14ac:dyDescent="0.25">
      <c r="F6957">
        <v>6954</v>
      </c>
      <c r="G6957">
        <f ca="1">_xlfn.NORM.INV(RAND(),$M$7,$M$8)</f>
        <v>-4.1590940218410154E-3</v>
      </c>
    </row>
    <row r="6958" spans="6:7" x14ac:dyDescent="0.25">
      <c r="F6958">
        <v>6955</v>
      </c>
      <c r="G6958">
        <f ca="1">_xlfn.NORM.INV(RAND(),$M$7,$M$8)</f>
        <v>2.6933280839208852E-2</v>
      </c>
    </row>
    <row r="6959" spans="6:7" x14ac:dyDescent="0.25">
      <c r="F6959">
        <v>6956</v>
      </c>
      <c r="G6959">
        <f ca="1">_xlfn.NORM.INV(RAND(),$M$7,$M$8)</f>
        <v>3.8281080273646702E-3</v>
      </c>
    </row>
    <row r="6960" spans="6:7" x14ac:dyDescent="0.25">
      <c r="F6960">
        <v>6957</v>
      </c>
      <c r="G6960">
        <f ca="1">_xlfn.NORM.INV(RAND(),$M$7,$M$8)</f>
        <v>2.292541417718795E-2</v>
      </c>
    </row>
    <row r="6961" spans="6:7" x14ac:dyDescent="0.25">
      <c r="F6961">
        <v>6958</v>
      </c>
      <c r="G6961">
        <f ca="1">_xlfn.NORM.INV(RAND(),$M$7,$M$8)</f>
        <v>2.2095599743251131E-2</v>
      </c>
    </row>
    <row r="6962" spans="6:7" x14ac:dyDescent="0.25">
      <c r="F6962">
        <v>6959</v>
      </c>
      <c r="G6962">
        <f ca="1">_xlfn.NORM.INV(RAND(),$M$7,$M$8)</f>
        <v>3.4980473625077671E-4</v>
      </c>
    </row>
    <row r="6963" spans="6:7" x14ac:dyDescent="0.25">
      <c r="F6963">
        <v>6960</v>
      </c>
      <c r="G6963">
        <f ca="1">_xlfn.NORM.INV(RAND(),$M$7,$M$8)</f>
        <v>2.5821682604219725E-2</v>
      </c>
    </row>
    <row r="6964" spans="6:7" x14ac:dyDescent="0.25">
      <c r="F6964">
        <v>6961</v>
      </c>
      <c r="G6964">
        <f ca="1">_xlfn.NORM.INV(RAND(),$M$7,$M$8)</f>
        <v>2.0826881012056504E-2</v>
      </c>
    </row>
    <row r="6965" spans="6:7" x14ac:dyDescent="0.25">
      <c r="F6965">
        <v>6962</v>
      </c>
      <c r="G6965">
        <f ca="1">_xlfn.NORM.INV(RAND(),$M$7,$M$8)</f>
        <v>1.8482155729597629E-2</v>
      </c>
    </row>
    <row r="6966" spans="6:7" x14ac:dyDescent="0.25">
      <c r="F6966">
        <v>6963</v>
      </c>
      <c r="G6966">
        <f ca="1">_xlfn.NORM.INV(RAND(),$M$7,$M$8)</f>
        <v>1.6396772504000439E-2</v>
      </c>
    </row>
    <row r="6967" spans="6:7" x14ac:dyDescent="0.25">
      <c r="F6967">
        <v>6964</v>
      </c>
      <c r="G6967">
        <f ca="1">_xlfn.NORM.INV(RAND(),$M$7,$M$8)</f>
        <v>1.2611147808473553E-2</v>
      </c>
    </row>
    <row r="6968" spans="6:7" x14ac:dyDescent="0.25">
      <c r="F6968">
        <v>6965</v>
      </c>
      <c r="G6968">
        <f ca="1">_xlfn.NORM.INV(RAND(),$M$7,$M$8)</f>
        <v>-2.7784252815432092E-2</v>
      </c>
    </row>
    <row r="6969" spans="6:7" x14ac:dyDescent="0.25">
      <c r="F6969">
        <v>6966</v>
      </c>
      <c r="G6969">
        <f ca="1">_xlfn.NORM.INV(RAND(),$M$7,$M$8)</f>
        <v>-3.5075604955409997E-2</v>
      </c>
    </row>
    <row r="6970" spans="6:7" x14ac:dyDescent="0.25">
      <c r="F6970">
        <v>6967</v>
      </c>
      <c r="G6970">
        <f ca="1">_xlfn.NORM.INV(RAND(),$M$7,$M$8)</f>
        <v>-3.2926482342814291E-2</v>
      </c>
    </row>
    <row r="6971" spans="6:7" x14ac:dyDescent="0.25">
      <c r="F6971">
        <v>6968</v>
      </c>
      <c r="G6971">
        <f ca="1">_xlfn.NORM.INV(RAND(),$M$7,$M$8)</f>
        <v>-2.7241240636955998E-2</v>
      </c>
    </row>
    <row r="6972" spans="6:7" x14ac:dyDescent="0.25">
      <c r="F6972">
        <v>6969</v>
      </c>
      <c r="G6972">
        <f ca="1">_xlfn.NORM.INV(RAND(),$M$7,$M$8)</f>
        <v>3.9750629469907713E-2</v>
      </c>
    </row>
    <row r="6973" spans="6:7" x14ac:dyDescent="0.25">
      <c r="F6973">
        <v>6970</v>
      </c>
      <c r="G6973">
        <f ca="1">_xlfn.NORM.INV(RAND(),$M$7,$M$8)</f>
        <v>4.6643463158297697E-2</v>
      </c>
    </row>
    <row r="6974" spans="6:7" x14ac:dyDescent="0.25">
      <c r="F6974">
        <v>6971</v>
      </c>
      <c r="G6974">
        <f ca="1">_xlfn.NORM.INV(RAND(),$M$7,$M$8)</f>
        <v>3.0388564919210648E-2</v>
      </c>
    </row>
    <row r="6975" spans="6:7" x14ac:dyDescent="0.25">
      <c r="F6975">
        <v>6972</v>
      </c>
      <c r="G6975">
        <f ca="1">_xlfn.NORM.INV(RAND(),$M$7,$M$8)</f>
        <v>-2.0211758347502922E-2</v>
      </c>
    </row>
    <row r="6976" spans="6:7" x14ac:dyDescent="0.25">
      <c r="F6976">
        <v>6973</v>
      </c>
      <c r="G6976">
        <f ca="1">_xlfn.NORM.INV(RAND(),$M$7,$M$8)</f>
        <v>2.5181806117519187E-3</v>
      </c>
    </row>
    <row r="6977" spans="6:7" x14ac:dyDescent="0.25">
      <c r="F6977">
        <v>6974</v>
      </c>
      <c r="G6977">
        <f ca="1">_xlfn.NORM.INV(RAND(),$M$7,$M$8)</f>
        <v>2.8146098458274559E-3</v>
      </c>
    </row>
    <row r="6978" spans="6:7" x14ac:dyDescent="0.25">
      <c r="F6978">
        <v>6975</v>
      </c>
      <c r="G6978">
        <f ca="1">_xlfn.NORM.INV(RAND(),$M$7,$M$8)</f>
        <v>-2.4663772970870638E-2</v>
      </c>
    </row>
    <row r="6979" spans="6:7" x14ac:dyDescent="0.25">
      <c r="F6979">
        <v>6976</v>
      </c>
      <c r="G6979">
        <f ca="1">_xlfn.NORM.INV(RAND(),$M$7,$M$8)</f>
        <v>2.5901772329767262E-2</v>
      </c>
    </row>
    <row r="6980" spans="6:7" x14ac:dyDescent="0.25">
      <c r="F6980">
        <v>6977</v>
      </c>
      <c r="G6980">
        <f ca="1">_xlfn.NORM.INV(RAND(),$M$7,$M$8)</f>
        <v>2.663841951034042E-3</v>
      </c>
    </row>
    <row r="6981" spans="6:7" x14ac:dyDescent="0.25">
      <c r="F6981">
        <v>6978</v>
      </c>
      <c r="G6981">
        <f ca="1">_xlfn.NORM.INV(RAND(),$M$7,$M$8)</f>
        <v>1.8445926521270702E-2</v>
      </c>
    </row>
    <row r="6982" spans="6:7" x14ac:dyDescent="0.25">
      <c r="F6982">
        <v>6979</v>
      </c>
      <c r="G6982">
        <f ca="1">_xlfn.NORM.INV(RAND(),$M$7,$M$8)</f>
        <v>7.8590129092368718E-3</v>
      </c>
    </row>
    <row r="6983" spans="6:7" x14ac:dyDescent="0.25">
      <c r="F6983">
        <v>6980</v>
      </c>
      <c r="G6983">
        <f ca="1">_xlfn.NORM.INV(RAND(),$M$7,$M$8)</f>
        <v>-2.41789498338657E-2</v>
      </c>
    </row>
    <row r="6984" spans="6:7" x14ac:dyDescent="0.25">
      <c r="F6984">
        <v>6981</v>
      </c>
      <c r="G6984">
        <f ca="1">_xlfn.NORM.INV(RAND(),$M$7,$M$8)</f>
        <v>-1.6418068716653255E-2</v>
      </c>
    </row>
    <row r="6985" spans="6:7" x14ac:dyDescent="0.25">
      <c r="F6985">
        <v>6982</v>
      </c>
      <c r="G6985">
        <f ca="1">_xlfn.NORM.INV(RAND(),$M$7,$M$8)</f>
        <v>1.7986418833673629E-3</v>
      </c>
    </row>
    <row r="6986" spans="6:7" x14ac:dyDescent="0.25">
      <c r="F6986">
        <v>6983</v>
      </c>
      <c r="G6986">
        <f ca="1">_xlfn.NORM.INV(RAND(),$M$7,$M$8)</f>
        <v>-2.0512029908614539E-2</v>
      </c>
    </row>
    <row r="6987" spans="6:7" x14ac:dyDescent="0.25">
      <c r="F6987">
        <v>6984</v>
      </c>
      <c r="G6987">
        <f ca="1">_xlfn.NORM.INV(RAND(),$M$7,$M$8)</f>
        <v>-2.5257550050896419E-2</v>
      </c>
    </row>
    <row r="6988" spans="6:7" x14ac:dyDescent="0.25">
      <c r="F6988">
        <v>6985</v>
      </c>
      <c r="G6988">
        <f ca="1">_xlfn.NORM.INV(RAND(),$M$7,$M$8)</f>
        <v>-3.2190087166792759E-2</v>
      </c>
    </row>
    <row r="6989" spans="6:7" x14ac:dyDescent="0.25">
      <c r="F6989">
        <v>6986</v>
      </c>
      <c r="G6989">
        <f ca="1">_xlfn.NORM.INV(RAND(),$M$7,$M$8)</f>
        <v>-1.618208730484404E-2</v>
      </c>
    </row>
    <row r="6990" spans="6:7" x14ac:dyDescent="0.25">
      <c r="F6990">
        <v>6987</v>
      </c>
      <c r="G6990">
        <f ca="1">_xlfn.NORM.INV(RAND(),$M$7,$M$8)</f>
        <v>9.0838555376839155E-4</v>
      </c>
    </row>
    <row r="6991" spans="6:7" x14ac:dyDescent="0.25">
      <c r="F6991">
        <v>6988</v>
      </c>
      <c r="G6991">
        <f ca="1">_xlfn.NORM.INV(RAND(),$M$7,$M$8)</f>
        <v>-2.4870269730142133E-3</v>
      </c>
    </row>
    <row r="6992" spans="6:7" x14ac:dyDescent="0.25">
      <c r="F6992">
        <v>6989</v>
      </c>
      <c r="G6992">
        <f ca="1">_xlfn.NORM.INV(RAND(),$M$7,$M$8)</f>
        <v>-1.8113201274059281E-2</v>
      </c>
    </row>
    <row r="6993" spans="6:7" x14ac:dyDescent="0.25">
      <c r="F6993">
        <v>6990</v>
      </c>
      <c r="G6993">
        <f ca="1">_xlfn.NORM.INV(RAND(),$M$7,$M$8)</f>
        <v>-6.9762612388816238E-3</v>
      </c>
    </row>
    <row r="6994" spans="6:7" x14ac:dyDescent="0.25">
      <c r="F6994">
        <v>6991</v>
      </c>
      <c r="G6994">
        <f ca="1">_xlfn.NORM.INV(RAND(),$M$7,$M$8)</f>
        <v>1.3619416440535976E-2</v>
      </c>
    </row>
    <row r="6995" spans="6:7" x14ac:dyDescent="0.25">
      <c r="F6995">
        <v>6992</v>
      </c>
      <c r="G6995">
        <f ca="1">_xlfn.NORM.INV(RAND(),$M$7,$M$8)</f>
        <v>-6.455635490430359E-3</v>
      </c>
    </row>
    <row r="6996" spans="6:7" x14ac:dyDescent="0.25">
      <c r="F6996">
        <v>6993</v>
      </c>
      <c r="G6996">
        <f ca="1">_xlfn.NORM.INV(RAND(),$M$7,$M$8)</f>
        <v>-2.0115910587046562E-3</v>
      </c>
    </row>
    <row r="6997" spans="6:7" x14ac:dyDescent="0.25">
      <c r="F6997">
        <v>6994</v>
      </c>
      <c r="G6997">
        <f ca="1">_xlfn.NORM.INV(RAND(),$M$7,$M$8)</f>
        <v>-2.01965303490221E-2</v>
      </c>
    </row>
    <row r="6998" spans="6:7" x14ac:dyDescent="0.25">
      <c r="F6998">
        <v>6995</v>
      </c>
      <c r="G6998">
        <f ca="1">_xlfn.NORM.INV(RAND(),$M$7,$M$8)</f>
        <v>2.194354054984067E-2</v>
      </c>
    </row>
    <row r="6999" spans="6:7" x14ac:dyDescent="0.25">
      <c r="F6999">
        <v>6996</v>
      </c>
      <c r="G6999">
        <f ca="1">_xlfn.NORM.INV(RAND(),$M$7,$M$8)</f>
        <v>-5.3158818305972903E-3</v>
      </c>
    </row>
    <row r="7000" spans="6:7" x14ac:dyDescent="0.25">
      <c r="F7000">
        <v>6997</v>
      </c>
      <c r="G7000">
        <f ca="1">_xlfn.NORM.INV(RAND(),$M$7,$M$8)</f>
        <v>2.880046707525837E-4</v>
      </c>
    </row>
    <row r="7001" spans="6:7" x14ac:dyDescent="0.25">
      <c r="F7001">
        <v>6998</v>
      </c>
      <c r="G7001">
        <f ca="1">_xlfn.NORM.INV(RAND(),$M$7,$M$8)</f>
        <v>-1.6149797734981926E-2</v>
      </c>
    </row>
    <row r="7002" spans="6:7" x14ac:dyDescent="0.25">
      <c r="F7002">
        <v>6999</v>
      </c>
      <c r="G7002">
        <f ca="1">_xlfn.NORM.INV(RAND(),$M$7,$M$8)</f>
        <v>-1.4975779207898405E-2</v>
      </c>
    </row>
    <row r="7003" spans="6:7" x14ac:dyDescent="0.25">
      <c r="F7003">
        <v>7000</v>
      </c>
      <c r="G7003">
        <f ca="1">_xlfn.NORM.INV(RAND(),$M$7,$M$8)</f>
        <v>1.0332981685506018E-3</v>
      </c>
    </row>
    <row r="7004" spans="6:7" x14ac:dyDescent="0.25">
      <c r="F7004">
        <v>7001</v>
      </c>
      <c r="G7004">
        <f ca="1">_xlfn.NORM.INV(RAND(),$M$7,$M$8)</f>
        <v>-3.7675770772392758E-2</v>
      </c>
    </row>
    <row r="7005" spans="6:7" x14ac:dyDescent="0.25">
      <c r="F7005">
        <v>7002</v>
      </c>
      <c r="G7005">
        <f ca="1">_xlfn.NORM.INV(RAND(),$M$7,$M$8)</f>
        <v>-2.1108536718530507E-2</v>
      </c>
    </row>
    <row r="7006" spans="6:7" x14ac:dyDescent="0.25">
      <c r="F7006">
        <v>7003</v>
      </c>
      <c r="G7006">
        <f ca="1">_xlfn.NORM.INV(RAND(),$M$7,$M$8)</f>
        <v>2.7965992449181309E-2</v>
      </c>
    </row>
    <row r="7007" spans="6:7" x14ac:dyDescent="0.25">
      <c r="F7007">
        <v>7004</v>
      </c>
      <c r="G7007">
        <f ca="1">_xlfn.NORM.INV(RAND(),$M$7,$M$8)</f>
        <v>1.2188152601576014E-2</v>
      </c>
    </row>
    <row r="7008" spans="6:7" x14ac:dyDescent="0.25">
      <c r="F7008">
        <v>7005</v>
      </c>
      <c r="G7008">
        <f ca="1">_xlfn.NORM.INV(RAND(),$M$7,$M$8)</f>
        <v>-4.1171367645786987E-2</v>
      </c>
    </row>
    <row r="7009" spans="6:7" x14ac:dyDescent="0.25">
      <c r="F7009">
        <v>7006</v>
      </c>
      <c r="G7009">
        <f ca="1">_xlfn.NORM.INV(RAND(),$M$7,$M$8)</f>
        <v>2.0970360277583946E-3</v>
      </c>
    </row>
    <row r="7010" spans="6:7" x14ac:dyDescent="0.25">
      <c r="F7010">
        <v>7007</v>
      </c>
      <c r="G7010">
        <f ca="1">_xlfn.NORM.INV(RAND(),$M$7,$M$8)</f>
        <v>-1.5865119326395449E-2</v>
      </c>
    </row>
    <row r="7011" spans="6:7" x14ac:dyDescent="0.25">
      <c r="F7011">
        <v>7008</v>
      </c>
      <c r="G7011">
        <f ca="1">_xlfn.NORM.INV(RAND(),$M$7,$M$8)</f>
        <v>3.494515305708288E-2</v>
      </c>
    </row>
    <row r="7012" spans="6:7" x14ac:dyDescent="0.25">
      <c r="F7012">
        <v>7009</v>
      </c>
      <c r="G7012">
        <f ca="1">_xlfn.NORM.INV(RAND(),$M$7,$M$8)</f>
        <v>1.0630815842319731E-2</v>
      </c>
    </row>
    <row r="7013" spans="6:7" x14ac:dyDescent="0.25">
      <c r="F7013">
        <v>7010</v>
      </c>
      <c r="G7013">
        <f ca="1">_xlfn.NORM.INV(RAND(),$M$7,$M$8)</f>
        <v>-2.6902640393511285E-2</v>
      </c>
    </row>
    <row r="7014" spans="6:7" x14ac:dyDescent="0.25">
      <c r="F7014">
        <v>7011</v>
      </c>
      <c r="G7014">
        <f ca="1">_xlfn.NORM.INV(RAND(),$M$7,$M$8)</f>
        <v>-1.0700093635720718E-2</v>
      </c>
    </row>
    <row r="7015" spans="6:7" x14ac:dyDescent="0.25">
      <c r="F7015">
        <v>7012</v>
      </c>
      <c r="G7015">
        <f ca="1">_xlfn.NORM.INV(RAND(),$M$7,$M$8)</f>
        <v>-2.285069682219824E-2</v>
      </c>
    </row>
    <row r="7016" spans="6:7" x14ac:dyDescent="0.25">
      <c r="F7016">
        <v>7013</v>
      </c>
      <c r="G7016">
        <f ca="1">_xlfn.NORM.INV(RAND(),$M$7,$M$8)</f>
        <v>2.5426956848904714E-2</v>
      </c>
    </row>
    <row r="7017" spans="6:7" x14ac:dyDescent="0.25">
      <c r="F7017">
        <v>7014</v>
      </c>
      <c r="G7017">
        <f ca="1">_xlfn.NORM.INV(RAND(),$M$7,$M$8)</f>
        <v>1.464302425702166E-3</v>
      </c>
    </row>
    <row r="7018" spans="6:7" x14ac:dyDescent="0.25">
      <c r="F7018">
        <v>7015</v>
      </c>
      <c r="G7018">
        <f ca="1">_xlfn.NORM.INV(RAND(),$M$7,$M$8)</f>
        <v>-9.5159350872052045E-3</v>
      </c>
    </row>
    <row r="7019" spans="6:7" x14ac:dyDescent="0.25">
      <c r="F7019">
        <v>7016</v>
      </c>
      <c r="G7019">
        <f ca="1">_xlfn.NORM.INV(RAND(),$M$7,$M$8)</f>
        <v>-4.6245358086673301E-3</v>
      </c>
    </row>
    <row r="7020" spans="6:7" x14ac:dyDescent="0.25">
      <c r="F7020">
        <v>7017</v>
      </c>
      <c r="G7020">
        <f ca="1">_xlfn.NORM.INV(RAND(),$M$7,$M$8)</f>
        <v>3.9567108355567204E-2</v>
      </c>
    </row>
    <row r="7021" spans="6:7" x14ac:dyDescent="0.25">
      <c r="F7021">
        <v>7018</v>
      </c>
      <c r="G7021">
        <f ca="1">_xlfn.NORM.INV(RAND(),$M$7,$M$8)</f>
        <v>-3.0505242959148648E-2</v>
      </c>
    </row>
    <row r="7022" spans="6:7" x14ac:dyDescent="0.25">
      <c r="F7022">
        <v>7019</v>
      </c>
      <c r="G7022">
        <f ca="1">_xlfn.NORM.INV(RAND(),$M$7,$M$8)</f>
        <v>-2.0833767091306164E-2</v>
      </c>
    </row>
    <row r="7023" spans="6:7" x14ac:dyDescent="0.25">
      <c r="F7023">
        <v>7020</v>
      </c>
      <c r="G7023">
        <f ca="1">_xlfn.NORM.INV(RAND(),$M$7,$M$8)</f>
        <v>3.1511538653027894E-2</v>
      </c>
    </row>
    <row r="7024" spans="6:7" x14ac:dyDescent="0.25">
      <c r="F7024">
        <v>7021</v>
      </c>
      <c r="G7024">
        <f ca="1">_xlfn.NORM.INV(RAND(),$M$7,$M$8)</f>
        <v>4.7373424282186806E-2</v>
      </c>
    </row>
    <row r="7025" spans="6:7" x14ac:dyDescent="0.25">
      <c r="F7025">
        <v>7022</v>
      </c>
      <c r="G7025">
        <f ca="1">_xlfn.NORM.INV(RAND(),$M$7,$M$8)</f>
        <v>1.5179944432891843E-2</v>
      </c>
    </row>
    <row r="7026" spans="6:7" x14ac:dyDescent="0.25">
      <c r="F7026">
        <v>7023</v>
      </c>
      <c r="G7026">
        <f ca="1">_xlfn.NORM.INV(RAND(),$M$7,$M$8)</f>
        <v>2.8967697634441465E-2</v>
      </c>
    </row>
    <row r="7027" spans="6:7" x14ac:dyDescent="0.25">
      <c r="F7027">
        <v>7024</v>
      </c>
      <c r="G7027">
        <f ca="1">_xlfn.NORM.INV(RAND(),$M$7,$M$8)</f>
        <v>2.4692485954476796E-2</v>
      </c>
    </row>
    <row r="7028" spans="6:7" x14ac:dyDescent="0.25">
      <c r="F7028">
        <v>7025</v>
      </c>
      <c r="G7028">
        <f ca="1">_xlfn.NORM.INV(RAND(),$M$7,$M$8)</f>
        <v>-2.3061739718673539E-2</v>
      </c>
    </row>
    <row r="7029" spans="6:7" x14ac:dyDescent="0.25">
      <c r="F7029">
        <v>7026</v>
      </c>
      <c r="G7029">
        <f ca="1">_xlfn.NORM.INV(RAND(),$M$7,$M$8)</f>
        <v>3.0751233165150862E-3</v>
      </c>
    </row>
    <row r="7030" spans="6:7" x14ac:dyDescent="0.25">
      <c r="F7030">
        <v>7027</v>
      </c>
      <c r="G7030">
        <f ca="1">_xlfn.NORM.INV(RAND(),$M$7,$M$8)</f>
        <v>2.4744820205400926E-2</v>
      </c>
    </row>
    <row r="7031" spans="6:7" x14ac:dyDescent="0.25">
      <c r="F7031">
        <v>7028</v>
      </c>
      <c r="G7031">
        <f ca="1">_xlfn.NORM.INV(RAND(),$M$7,$M$8)</f>
        <v>-1.6472363197482985E-2</v>
      </c>
    </row>
    <row r="7032" spans="6:7" x14ac:dyDescent="0.25">
      <c r="F7032">
        <v>7029</v>
      </c>
      <c r="G7032">
        <f ca="1">_xlfn.NORM.INV(RAND(),$M$7,$M$8)</f>
        <v>2.9775980819971015E-2</v>
      </c>
    </row>
    <row r="7033" spans="6:7" x14ac:dyDescent="0.25">
      <c r="F7033">
        <v>7030</v>
      </c>
      <c r="G7033">
        <f ca="1">_xlfn.NORM.INV(RAND(),$M$7,$M$8)</f>
        <v>3.5563570463614795E-2</v>
      </c>
    </row>
    <row r="7034" spans="6:7" x14ac:dyDescent="0.25">
      <c r="F7034">
        <v>7031</v>
      </c>
      <c r="G7034">
        <f ca="1">_xlfn.NORM.INV(RAND(),$M$7,$M$8)</f>
        <v>-1.1697986131759767E-3</v>
      </c>
    </row>
    <row r="7035" spans="6:7" x14ac:dyDescent="0.25">
      <c r="F7035">
        <v>7032</v>
      </c>
      <c r="G7035">
        <f ca="1">_xlfn.NORM.INV(RAND(),$M$7,$M$8)</f>
        <v>-1.5618919850054938E-2</v>
      </c>
    </row>
    <row r="7036" spans="6:7" x14ac:dyDescent="0.25">
      <c r="F7036">
        <v>7033</v>
      </c>
      <c r="G7036">
        <f ca="1">_xlfn.NORM.INV(RAND(),$M$7,$M$8)</f>
        <v>5.2974609188866983E-2</v>
      </c>
    </row>
    <row r="7037" spans="6:7" x14ac:dyDescent="0.25">
      <c r="F7037">
        <v>7034</v>
      </c>
      <c r="G7037">
        <f ca="1">_xlfn.NORM.INV(RAND(),$M$7,$M$8)</f>
        <v>-2.1081646724266059E-2</v>
      </c>
    </row>
    <row r="7038" spans="6:7" x14ac:dyDescent="0.25">
      <c r="F7038">
        <v>7035</v>
      </c>
      <c r="G7038">
        <f ca="1">_xlfn.NORM.INV(RAND(),$M$7,$M$8)</f>
        <v>1.1960359532752417E-2</v>
      </c>
    </row>
    <row r="7039" spans="6:7" x14ac:dyDescent="0.25">
      <c r="F7039">
        <v>7036</v>
      </c>
      <c r="G7039">
        <f ca="1">_xlfn.NORM.INV(RAND(),$M$7,$M$8)</f>
        <v>1.4892289835959895E-2</v>
      </c>
    </row>
    <row r="7040" spans="6:7" x14ac:dyDescent="0.25">
      <c r="F7040">
        <v>7037</v>
      </c>
      <c r="G7040">
        <f ca="1">_xlfn.NORM.INV(RAND(),$M$7,$M$8)</f>
        <v>3.4883851630796318E-2</v>
      </c>
    </row>
    <row r="7041" spans="6:7" x14ac:dyDescent="0.25">
      <c r="F7041">
        <v>7038</v>
      </c>
      <c r="G7041">
        <f ca="1">_xlfn.NORM.INV(RAND(),$M$7,$M$8)</f>
        <v>-1.3694758147065667E-2</v>
      </c>
    </row>
    <row r="7042" spans="6:7" x14ac:dyDescent="0.25">
      <c r="F7042">
        <v>7039</v>
      </c>
      <c r="G7042">
        <f ca="1">_xlfn.NORM.INV(RAND(),$M$7,$M$8)</f>
        <v>-1.2499297350054372E-2</v>
      </c>
    </row>
    <row r="7043" spans="6:7" x14ac:dyDescent="0.25">
      <c r="F7043">
        <v>7040</v>
      </c>
      <c r="G7043">
        <f ca="1">_xlfn.NORM.INV(RAND(),$M$7,$M$8)</f>
        <v>1.4721162444561976E-3</v>
      </c>
    </row>
    <row r="7044" spans="6:7" x14ac:dyDescent="0.25">
      <c r="F7044">
        <v>7041</v>
      </c>
      <c r="G7044">
        <f ca="1">_xlfn.NORM.INV(RAND(),$M$7,$M$8)</f>
        <v>2.6414556772847736E-2</v>
      </c>
    </row>
    <row r="7045" spans="6:7" x14ac:dyDescent="0.25">
      <c r="F7045">
        <v>7042</v>
      </c>
      <c r="G7045">
        <f ca="1">_xlfn.NORM.INV(RAND(),$M$7,$M$8)</f>
        <v>1.3858974349322952E-2</v>
      </c>
    </row>
    <row r="7046" spans="6:7" x14ac:dyDescent="0.25">
      <c r="F7046">
        <v>7043</v>
      </c>
      <c r="G7046">
        <f ca="1">_xlfn.NORM.INV(RAND(),$M$7,$M$8)</f>
        <v>-2.217776791522293E-2</v>
      </c>
    </row>
    <row r="7047" spans="6:7" x14ac:dyDescent="0.25">
      <c r="F7047">
        <v>7044</v>
      </c>
      <c r="G7047">
        <f ca="1">_xlfn.NORM.INV(RAND(),$M$7,$M$8)</f>
        <v>1.5097742541119704E-3</v>
      </c>
    </row>
    <row r="7048" spans="6:7" x14ac:dyDescent="0.25">
      <c r="F7048">
        <v>7045</v>
      </c>
      <c r="G7048">
        <f ca="1">_xlfn.NORM.INV(RAND(),$M$7,$M$8)</f>
        <v>1.1765006539586701E-2</v>
      </c>
    </row>
    <row r="7049" spans="6:7" x14ac:dyDescent="0.25">
      <c r="F7049">
        <v>7046</v>
      </c>
      <c r="G7049">
        <f ca="1">_xlfn.NORM.INV(RAND(),$M$7,$M$8)</f>
        <v>-2.3881687171680242E-3</v>
      </c>
    </row>
    <row r="7050" spans="6:7" x14ac:dyDescent="0.25">
      <c r="F7050">
        <v>7047</v>
      </c>
      <c r="G7050">
        <f ca="1">_xlfn.NORM.INV(RAND(),$M$7,$M$8)</f>
        <v>1.0213302634169948E-2</v>
      </c>
    </row>
    <row r="7051" spans="6:7" x14ac:dyDescent="0.25">
      <c r="F7051">
        <v>7048</v>
      </c>
      <c r="G7051">
        <f ca="1">_xlfn.NORM.INV(RAND(),$M$7,$M$8)</f>
        <v>6.4830016529082869E-3</v>
      </c>
    </row>
    <row r="7052" spans="6:7" x14ac:dyDescent="0.25">
      <c r="F7052">
        <v>7049</v>
      </c>
      <c r="G7052">
        <f ca="1">_xlfn.NORM.INV(RAND(),$M$7,$M$8)</f>
        <v>3.3198483263375982E-2</v>
      </c>
    </row>
    <row r="7053" spans="6:7" x14ac:dyDescent="0.25">
      <c r="F7053">
        <v>7050</v>
      </c>
      <c r="G7053">
        <f ca="1">_xlfn.NORM.INV(RAND(),$M$7,$M$8)</f>
        <v>5.6419922683170875E-3</v>
      </c>
    </row>
    <row r="7054" spans="6:7" x14ac:dyDescent="0.25">
      <c r="F7054">
        <v>7051</v>
      </c>
      <c r="G7054">
        <f ca="1">_xlfn.NORM.INV(RAND(),$M$7,$M$8)</f>
        <v>4.5870570571877349E-3</v>
      </c>
    </row>
    <row r="7055" spans="6:7" x14ac:dyDescent="0.25">
      <c r="F7055">
        <v>7052</v>
      </c>
      <c r="G7055">
        <f ca="1">_xlfn.NORM.INV(RAND(),$M$7,$M$8)</f>
        <v>1.0738251089758048E-3</v>
      </c>
    </row>
    <row r="7056" spans="6:7" x14ac:dyDescent="0.25">
      <c r="F7056">
        <v>7053</v>
      </c>
      <c r="G7056">
        <f ca="1">_xlfn.NORM.INV(RAND(),$M$7,$M$8)</f>
        <v>-2.8047144278425373E-2</v>
      </c>
    </row>
    <row r="7057" spans="6:7" x14ac:dyDescent="0.25">
      <c r="F7057">
        <v>7054</v>
      </c>
      <c r="G7057">
        <f ca="1">_xlfn.NORM.INV(RAND(),$M$7,$M$8)</f>
        <v>-3.5790357892981912E-2</v>
      </c>
    </row>
    <row r="7058" spans="6:7" x14ac:dyDescent="0.25">
      <c r="F7058">
        <v>7055</v>
      </c>
      <c r="G7058">
        <f ca="1">_xlfn.NORM.INV(RAND(),$M$7,$M$8)</f>
        <v>6.3944457764226539E-3</v>
      </c>
    </row>
    <row r="7059" spans="6:7" x14ac:dyDescent="0.25">
      <c r="F7059">
        <v>7056</v>
      </c>
      <c r="G7059">
        <f ca="1">_xlfn.NORM.INV(RAND(),$M$7,$M$8)</f>
        <v>1.4658004082250466E-2</v>
      </c>
    </row>
    <row r="7060" spans="6:7" x14ac:dyDescent="0.25">
      <c r="F7060">
        <v>7057</v>
      </c>
      <c r="G7060">
        <f ca="1">_xlfn.NORM.INV(RAND(),$M$7,$M$8)</f>
        <v>-1.0672787928319487E-2</v>
      </c>
    </row>
    <row r="7061" spans="6:7" x14ac:dyDescent="0.25">
      <c r="F7061">
        <v>7058</v>
      </c>
      <c r="G7061">
        <f ca="1">_xlfn.NORM.INV(RAND(),$M$7,$M$8)</f>
        <v>-8.2070717721921468E-3</v>
      </c>
    </row>
    <row r="7062" spans="6:7" x14ac:dyDescent="0.25">
      <c r="F7062">
        <v>7059</v>
      </c>
      <c r="G7062">
        <f ca="1">_xlfn.NORM.INV(RAND(),$M$7,$M$8)</f>
        <v>4.7558915143574396E-2</v>
      </c>
    </row>
    <row r="7063" spans="6:7" x14ac:dyDescent="0.25">
      <c r="F7063">
        <v>7060</v>
      </c>
      <c r="G7063">
        <f ca="1">_xlfn.NORM.INV(RAND(),$M$7,$M$8)</f>
        <v>-1.0453597337522529E-2</v>
      </c>
    </row>
    <row r="7064" spans="6:7" x14ac:dyDescent="0.25">
      <c r="F7064">
        <v>7061</v>
      </c>
      <c r="G7064">
        <f ca="1">_xlfn.NORM.INV(RAND(),$M$7,$M$8)</f>
        <v>-1.4032461529053783E-2</v>
      </c>
    </row>
    <row r="7065" spans="6:7" x14ac:dyDescent="0.25">
      <c r="F7065">
        <v>7062</v>
      </c>
      <c r="G7065">
        <f ca="1">_xlfn.NORM.INV(RAND(),$M$7,$M$8)</f>
        <v>-9.6826819898522855E-3</v>
      </c>
    </row>
    <row r="7066" spans="6:7" x14ac:dyDescent="0.25">
      <c r="F7066">
        <v>7063</v>
      </c>
      <c r="G7066">
        <f ca="1">_xlfn.NORM.INV(RAND(),$M$7,$M$8)</f>
        <v>2.5294743256688672E-2</v>
      </c>
    </row>
    <row r="7067" spans="6:7" x14ac:dyDescent="0.25">
      <c r="F7067">
        <v>7064</v>
      </c>
      <c r="G7067">
        <f ca="1">_xlfn.NORM.INV(RAND(),$M$7,$M$8)</f>
        <v>-1.0641083442706912E-2</v>
      </c>
    </row>
    <row r="7068" spans="6:7" x14ac:dyDescent="0.25">
      <c r="F7068">
        <v>7065</v>
      </c>
      <c r="G7068">
        <f ca="1">_xlfn.NORM.INV(RAND(),$M$7,$M$8)</f>
        <v>2.1428146228464708E-2</v>
      </c>
    </row>
    <row r="7069" spans="6:7" x14ac:dyDescent="0.25">
      <c r="F7069">
        <v>7066</v>
      </c>
      <c r="G7069">
        <f ca="1">_xlfn.NORM.INV(RAND(),$M$7,$M$8)</f>
        <v>-2.6310145795413811E-2</v>
      </c>
    </row>
    <row r="7070" spans="6:7" x14ac:dyDescent="0.25">
      <c r="F7070">
        <v>7067</v>
      </c>
      <c r="G7070">
        <f ca="1">_xlfn.NORM.INV(RAND(),$M$7,$M$8)</f>
        <v>-7.4733136557689261E-2</v>
      </c>
    </row>
    <row r="7071" spans="6:7" x14ac:dyDescent="0.25">
      <c r="F7071">
        <v>7068</v>
      </c>
      <c r="G7071">
        <f ca="1">_xlfn.NORM.INV(RAND(),$M$7,$M$8)</f>
        <v>2.3982299116332977E-2</v>
      </c>
    </row>
    <row r="7072" spans="6:7" x14ac:dyDescent="0.25">
      <c r="F7072">
        <v>7069</v>
      </c>
      <c r="G7072">
        <f ca="1">_xlfn.NORM.INV(RAND(),$M$7,$M$8)</f>
        <v>2.1675810731057364E-2</v>
      </c>
    </row>
    <row r="7073" spans="6:7" x14ac:dyDescent="0.25">
      <c r="F7073">
        <v>7070</v>
      </c>
      <c r="G7073">
        <f ca="1">_xlfn.NORM.INV(RAND(),$M$7,$M$8)</f>
        <v>-3.4714773488189535E-2</v>
      </c>
    </row>
    <row r="7074" spans="6:7" x14ac:dyDescent="0.25">
      <c r="F7074">
        <v>7071</v>
      </c>
      <c r="G7074">
        <f ca="1">_xlfn.NORM.INV(RAND(),$M$7,$M$8)</f>
        <v>-4.5832167204693498E-2</v>
      </c>
    </row>
    <row r="7075" spans="6:7" x14ac:dyDescent="0.25">
      <c r="F7075">
        <v>7072</v>
      </c>
      <c r="G7075">
        <f ca="1">_xlfn.NORM.INV(RAND(),$M$7,$M$8)</f>
        <v>-3.0408314005935733E-2</v>
      </c>
    </row>
    <row r="7076" spans="6:7" x14ac:dyDescent="0.25">
      <c r="F7076">
        <v>7073</v>
      </c>
      <c r="G7076">
        <f ca="1">_xlfn.NORM.INV(RAND(),$M$7,$M$8)</f>
        <v>-5.2633329845326263E-3</v>
      </c>
    </row>
    <row r="7077" spans="6:7" x14ac:dyDescent="0.25">
      <c r="F7077">
        <v>7074</v>
      </c>
      <c r="G7077">
        <f ca="1">_xlfn.NORM.INV(RAND(),$M$7,$M$8)</f>
        <v>2.1256663372164395E-2</v>
      </c>
    </row>
    <row r="7078" spans="6:7" x14ac:dyDescent="0.25">
      <c r="F7078">
        <v>7075</v>
      </c>
      <c r="G7078">
        <f ca="1">_xlfn.NORM.INV(RAND(),$M$7,$M$8)</f>
        <v>-5.7434612898573947E-2</v>
      </c>
    </row>
    <row r="7079" spans="6:7" x14ac:dyDescent="0.25">
      <c r="F7079">
        <v>7076</v>
      </c>
      <c r="G7079">
        <f ca="1">_xlfn.NORM.INV(RAND(),$M$7,$M$8)</f>
        <v>-3.4959273033335576E-2</v>
      </c>
    </row>
    <row r="7080" spans="6:7" x14ac:dyDescent="0.25">
      <c r="F7080">
        <v>7077</v>
      </c>
      <c r="G7080">
        <f ca="1">_xlfn.NORM.INV(RAND(),$M$7,$M$8)</f>
        <v>-3.8811171560619147E-2</v>
      </c>
    </row>
    <row r="7081" spans="6:7" x14ac:dyDescent="0.25">
      <c r="F7081">
        <v>7078</v>
      </c>
      <c r="G7081">
        <f ca="1">_xlfn.NORM.INV(RAND(),$M$7,$M$8)</f>
        <v>8.8261524751297501E-3</v>
      </c>
    </row>
    <row r="7082" spans="6:7" x14ac:dyDescent="0.25">
      <c r="F7082">
        <v>7079</v>
      </c>
      <c r="G7082">
        <f ca="1">_xlfn.NORM.INV(RAND(),$M$7,$M$8)</f>
        <v>4.4804771233086953E-2</v>
      </c>
    </row>
    <row r="7083" spans="6:7" x14ac:dyDescent="0.25">
      <c r="F7083">
        <v>7080</v>
      </c>
      <c r="G7083">
        <f ca="1">_xlfn.NORM.INV(RAND(),$M$7,$M$8)</f>
        <v>-5.1574755244954973E-3</v>
      </c>
    </row>
    <row r="7084" spans="6:7" x14ac:dyDescent="0.25">
      <c r="F7084">
        <v>7081</v>
      </c>
      <c r="G7084">
        <f ca="1">_xlfn.NORM.INV(RAND(),$M$7,$M$8)</f>
        <v>-1.0080928163992512E-2</v>
      </c>
    </row>
    <row r="7085" spans="6:7" x14ac:dyDescent="0.25">
      <c r="F7085">
        <v>7082</v>
      </c>
      <c r="G7085">
        <f ca="1">_xlfn.NORM.INV(RAND(),$M$7,$M$8)</f>
        <v>2.0590379285304987E-3</v>
      </c>
    </row>
    <row r="7086" spans="6:7" x14ac:dyDescent="0.25">
      <c r="F7086">
        <v>7083</v>
      </c>
      <c r="G7086">
        <f ca="1">_xlfn.NORM.INV(RAND(),$M$7,$M$8)</f>
        <v>1.7941317503460102E-3</v>
      </c>
    </row>
    <row r="7087" spans="6:7" x14ac:dyDescent="0.25">
      <c r="F7087">
        <v>7084</v>
      </c>
      <c r="G7087">
        <f ca="1">_xlfn.NORM.INV(RAND(),$M$7,$M$8)</f>
        <v>-2.5272961320286333E-3</v>
      </c>
    </row>
    <row r="7088" spans="6:7" x14ac:dyDescent="0.25">
      <c r="F7088">
        <v>7085</v>
      </c>
      <c r="G7088">
        <f ca="1">_xlfn.NORM.INV(RAND(),$M$7,$M$8)</f>
        <v>2.0927424878616246E-2</v>
      </c>
    </row>
    <row r="7089" spans="6:7" x14ac:dyDescent="0.25">
      <c r="F7089">
        <v>7086</v>
      </c>
      <c r="G7089">
        <f ca="1">_xlfn.NORM.INV(RAND(),$M$7,$M$8)</f>
        <v>2.7065724259185298E-2</v>
      </c>
    </row>
    <row r="7090" spans="6:7" x14ac:dyDescent="0.25">
      <c r="F7090">
        <v>7087</v>
      </c>
      <c r="G7090">
        <f ca="1">_xlfn.NORM.INV(RAND(),$M$7,$M$8)</f>
        <v>9.7660734959289213E-3</v>
      </c>
    </row>
    <row r="7091" spans="6:7" x14ac:dyDescent="0.25">
      <c r="F7091">
        <v>7088</v>
      </c>
      <c r="G7091">
        <f ca="1">_xlfn.NORM.INV(RAND(),$M$7,$M$8)</f>
        <v>-3.2116398959876891E-2</v>
      </c>
    </row>
    <row r="7092" spans="6:7" x14ac:dyDescent="0.25">
      <c r="F7092">
        <v>7089</v>
      </c>
      <c r="G7092">
        <f ca="1">_xlfn.NORM.INV(RAND(),$M$7,$M$8)</f>
        <v>9.6055500767081598E-3</v>
      </c>
    </row>
    <row r="7093" spans="6:7" x14ac:dyDescent="0.25">
      <c r="F7093">
        <v>7090</v>
      </c>
      <c r="G7093">
        <f ca="1">_xlfn.NORM.INV(RAND(),$M$7,$M$8)</f>
        <v>2.1907512151416553E-2</v>
      </c>
    </row>
    <row r="7094" spans="6:7" x14ac:dyDescent="0.25">
      <c r="F7094">
        <v>7091</v>
      </c>
      <c r="G7094">
        <f ca="1">_xlfn.NORM.INV(RAND(),$M$7,$M$8)</f>
        <v>2.5752707581543834E-2</v>
      </c>
    </row>
    <row r="7095" spans="6:7" x14ac:dyDescent="0.25">
      <c r="F7095">
        <v>7092</v>
      </c>
      <c r="G7095">
        <f ca="1">_xlfn.NORM.INV(RAND(),$M$7,$M$8)</f>
        <v>-1.8845664088886174E-2</v>
      </c>
    </row>
    <row r="7096" spans="6:7" x14ac:dyDescent="0.25">
      <c r="F7096">
        <v>7093</v>
      </c>
      <c r="G7096">
        <f ca="1">_xlfn.NORM.INV(RAND(),$M$7,$M$8)</f>
        <v>-3.1533235795179589E-2</v>
      </c>
    </row>
    <row r="7097" spans="6:7" x14ac:dyDescent="0.25">
      <c r="F7097">
        <v>7094</v>
      </c>
      <c r="G7097">
        <f ca="1">_xlfn.NORM.INV(RAND(),$M$7,$M$8)</f>
        <v>-2.2001657861602499E-2</v>
      </c>
    </row>
    <row r="7098" spans="6:7" x14ac:dyDescent="0.25">
      <c r="F7098">
        <v>7095</v>
      </c>
      <c r="G7098">
        <f ca="1">_xlfn.NORM.INV(RAND(),$M$7,$M$8)</f>
        <v>2.2103040111100321E-2</v>
      </c>
    </row>
    <row r="7099" spans="6:7" x14ac:dyDescent="0.25">
      <c r="F7099">
        <v>7096</v>
      </c>
      <c r="G7099">
        <f ca="1">_xlfn.NORM.INV(RAND(),$M$7,$M$8)</f>
        <v>2.4153613657195562E-3</v>
      </c>
    </row>
    <row r="7100" spans="6:7" x14ac:dyDescent="0.25">
      <c r="F7100">
        <v>7097</v>
      </c>
      <c r="G7100">
        <f ca="1">_xlfn.NORM.INV(RAND(),$M$7,$M$8)</f>
        <v>3.7744863452277839E-3</v>
      </c>
    </row>
    <row r="7101" spans="6:7" x14ac:dyDescent="0.25">
      <c r="F7101">
        <v>7098</v>
      </c>
      <c r="G7101">
        <f ca="1">_xlfn.NORM.INV(RAND(),$M$7,$M$8)</f>
        <v>-2.7768137453083042E-2</v>
      </c>
    </row>
    <row r="7102" spans="6:7" x14ac:dyDescent="0.25">
      <c r="F7102">
        <v>7099</v>
      </c>
      <c r="G7102">
        <f ca="1">_xlfn.NORM.INV(RAND(),$M$7,$M$8)</f>
        <v>3.1337608162013406E-2</v>
      </c>
    </row>
    <row r="7103" spans="6:7" x14ac:dyDescent="0.25">
      <c r="F7103">
        <v>7100</v>
      </c>
      <c r="G7103">
        <f ca="1">_xlfn.NORM.INV(RAND(),$M$7,$M$8)</f>
        <v>-1.7539054899868803E-2</v>
      </c>
    </row>
    <row r="7104" spans="6:7" x14ac:dyDescent="0.25">
      <c r="F7104">
        <v>7101</v>
      </c>
      <c r="G7104">
        <f ca="1">_xlfn.NORM.INV(RAND(),$M$7,$M$8)</f>
        <v>-6.3454719123798176E-3</v>
      </c>
    </row>
    <row r="7105" spans="6:7" x14ac:dyDescent="0.25">
      <c r="F7105">
        <v>7102</v>
      </c>
      <c r="G7105">
        <f ca="1">_xlfn.NORM.INV(RAND(),$M$7,$M$8)</f>
        <v>2.8820718934412567E-3</v>
      </c>
    </row>
    <row r="7106" spans="6:7" x14ac:dyDescent="0.25">
      <c r="F7106">
        <v>7103</v>
      </c>
      <c r="G7106">
        <f ca="1">_xlfn.NORM.INV(RAND(),$M$7,$M$8)</f>
        <v>-1.6215567340600895E-2</v>
      </c>
    </row>
    <row r="7107" spans="6:7" x14ac:dyDescent="0.25">
      <c r="F7107">
        <v>7104</v>
      </c>
      <c r="G7107">
        <f ca="1">_xlfn.NORM.INV(RAND(),$M$7,$M$8)</f>
        <v>2.5620208567439112E-2</v>
      </c>
    </row>
    <row r="7108" spans="6:7" x14ac:dyDescent="0.25">
      <c r="F7108">
        <v>7105</v>
      </c>
      <c r="G7108">
        <f ca="1">_xlfn.NORM.INV(RAND(),$M$7,$M$8)</f>
        <v>1.7082378791487135E-2</v>
      </c>
    </row>
    <row r="7109" spans="6:7" x14ac:dyDescent="0.25">
      <c r="F7109">
        <v>7106</v>
      </c>
      <c r="G7109">
        <f ca="1">_xlfn.NORM.INV(RAND(),$M$7,$M$8)</f>
        <v>-2.9854662711666972E-2</v>
      </c>
    </row>
    <row r="7110" spans="6:7" x14ac:dyDescent="0.25">
      <c r="F7110">
        <v>7107</v>
      </c>
      <c r="G7110">
        <f ca="1">_xlfn.NORM.INV(RAND(),$M$7,$M$8)</f>
        <v>-4.4593179484481594E-3</v>
      </c>
    </row>
    <row r="7111" spans="6:7" x14ac:dyDescent="0.25">
      <c r="F7111">
        <v>7108</v>
      </c>
      <c r="G7111">
        <f ca="1">_xlfn.NORM.INV(RAND(),$M$7,$M$8)</f>
        <v>-1.0749622626370754E-2</v>
      </c>
    </row>
    <row r="7112" spans="6:7" x14ac:dyDescent="0.25">
      <c r="F7112">
        <v>7109</v>
      </c>
      <c r="G7112">
        <f ca="1">_xlfn.NORM.INV(RAND(),$M$7,$M$8)</f>
        <v>6.1472150936719757E-3</v>
      </c>
    </row>
    <row r="7113" spans="6:7" x14ac:dyDescent="0.25">
      <c r="F7113">
        <v>7110</v>
      </c>
      <c r="G7113">
        <f ca="1">_xlfn.NORM.INV(RAND(),$M$7,$M$8)</f>
        <v>3.7394297170550456E-2</v>
      </c>
    </row>
    <row r="7114" spans="6:7" x14ac:dyDescent="0.25">
      <c r="F7114">
        <v>7111</v>
      </c>
      <c r="G7114">
        <f ca="1">_xlfn.NORM.INV(RAND(),$M$7,$M$8)</f>
        <v>-3.1659890382785931E-2</v>
      </c>
    </row>
    <row r="7115" spans="6:7" x14ac:dyDescent="0.25">
      <c r="F7115">
        <v>7112</v>
      </c>
      <c r="G7115">
        <f ca="1">_xlfn.NORM.INV(RAND(),$M$7,$M$8)</f>
        <v>3.687462937213281E-2</v>
      </c>
    </row>
    <row r="7116" spans="6:7" x14ac:dyDescent="0.25">
      <c r="F7116">
        <v>7113</v>
      </c>
      <c r="G7116">
        <f ca="1">_xlfn.NORM.INV(RAND(),$M$7,$M$8)</f>
        <v>1.1556275428082578E-2</v>
      </c>
    </row>
    <row r="7117" spans="6:7" x14ac:dyDescent="0.25">
      <c r="F7117">
        <v>7114</v>
      </c>
      <c r="G7117">
        <f ca="1">_xlfn.NORM.INV(RAND(),$M$7,$M$8)</f>
        <v>-8.6760637295361757E-3</v>
      </c>
    </row>
    <row r="7118" spans="6:7" x14ac:dyDescent="0.25">
      <c r="F7118">
        <v>7115</v>
      </c>
      <c r="G7118">
        <f ca="1">_xlfn.NORM.INV(RAND(),$M$7,$M$8)</f>
        <v>4.4582997422538344E-2</v>
      </c>
    </row>
    <row r="7119" spans="6:7" x14ac:dyDescent="0.25">
      <c r="F7119">
        <v>7116</v>
      </c>
      <c r="G7119">
        <f ca="1">_xlfn.NORM.INV(RAND(),$M$7,$M$8)</f>
        <v>2.6803039524959608E-2</v>
      </c>
    </row>
    <row r="7120" spans="6:7" x14ac:dyDescent="0.25">
      <c r="F7120">
        <v>7117</v>
      </c>
      <c r="G7120">
        <f ca="1">_xlfn.NORM.INV(RAND(),$M$7,$M$8)</f>
        <v>1.6401808866637713E-2</v>
      </c>
    </row>
    <row r="7121" spans="6:7" x14ac:dyDescent="0.25">
      <c r="F7121">
        <v>7118</v>
      </c>
      <c r="G7121">
        <f ca="1">_xlfn.NORM.INV(RAND(),$M$7,$M$8)</f>
        <v>-5.4607185040084754E-3</v>
      </c>
    </row>
    <row r="7122" spans="6:7" x14ac:dyDescent="0.25">
      <c r="F7122">
        <v>7119</v>
      </c>
      <c r="G7122">
        <f ca="1">_xlfn.NORM.INV(RAND(),$M$7,$M$8)</f>
        <v>3.082870805664464E-2</v>
      </c>
    </row>
    <row r="7123" spans="6:7" x14ac:dyDescent="0.25">
      <c r="F7123">
        <v>7120</v>
      </c>
      <c r="G7123">
        <f ca="1">_xlfn.NORM.INV(RAND(),$M$7,$M$8)</f>
        <v>-1.7731647229755378E-2</v>
      </c>
    </row>
    <row r="7124" spans="6:7" x14ac:dyDescent="0.25">
      <c r="F7124">
        <v>7121</v>
      </c>
      <c r="G7124">
        <f ca="1">_xlfn.NORM.INV(RAND(),$M$7,$M$8)</f>
        <v>3.4491208155626583E-2</v>
      </c>
    </row>
    <row r="7125" spans="6:7" x14ac:dyDescent="0.25">
      <c r="F7125">
        <v>7122</v>
      </c>
      <c r="G7125">
        <f ca="1">_xlfn.NORM.INV(RAND(),$M$7,$M$8)</f>
        <v>2.6171891967936498E-2</v>
      </c>
    </row>
    <row r="7126" spans="6:7" x14ac:dyDescent="0.25">
      <c r="F7126">
        <v>7123</v>
      </c>
      <c r="G7126">
        <f ca="1">_xlfn.NORM.INV(RAND(),$M$7,$M$8)</f>
        <v>-9.0235116066815137E-3</v>
      </c>
    </row>
    <row r="7127" spans="6:7" x14ac:dyDescent="0.25">
      <c r="F7127">
        <v>7124</v>
      </c>
      <c r="G7127">
        <f ca="1">_xlfn.NORM.INV(RAND(),$M$7,$M$8)</f>
        <v>-7.8965197865264285E-3</v>
      </c>
    </row>
    <row r="7128" spans="6:7" x14ac:dyDescent="0.25">
      <c r="F7128">
        <v>7125</v>
      </c>
      <c r="G7128">
        <f ca="1">_xlfn.NORM.INV(RAND(),$M$7,$M$8)</f>
        <v>-4.586361201346998E-2</v>
      </c>
    </row>
    <row r="7129" spans="6:7" x14ac:dyDescent="0.25">
      <c r="F7129">
        <v>7126</v>
      </c>
      <c r="G7129">
        <f ca="1">_xlfn.NORM.INV(RAND(),$M$7,$M$8)</f>
        <v>2.6143941931256031E-2</v>
      </c>
    </row>
    <row r="7130" spans="6:7" x14ac:dyDescent="0.25">
      <c r="F7130">
        <v>7127</v>
      </c>
      <c r="G7130">
        <f ca="1">_xlfn.NORM.INV(RAND(),$M$7,$M$8)</f>
        <v>4.2033086475446443E-2</v>
      </c>
    </row>
    <row r="7131" spans="6:7" x14ac:dyDescent="0.25">
      <c r="F7131">
        <v>7128</v>
      </c>
      <c r="G7131">
        <f ca="1">_xlfn.NORM.INV(RAND(),$M$7,$M$8)</f>
        <v>4.616055324288406E-3</v>
      </c>
    </row>
    <row r="7132" spans="6:7" x14ac:dyDescent="0.25">
      <c r="F7132">
        <v>7129</v>
      </c>
      <c r="G7132">
        <f ca="1">_xlfn.NORM.INV(RAND(),$M$7,$M$8)</f>
        <v>1.429353093471386E-3</v>
      </c>
    </row>
    <row r="7133" spans="6:7" x14ac:dyDescent="0.25">
      <c r="F7133">
        <v>7130</v>
      </c>
      <c r="G7133">
        <f ca="1">_xlfn.NORM.INV(RAND(),$M$7,$M$8)</f>
        <v>1.773012426642822E-2</v>
      </c>
    </row>
    <row r="7134" spans="6:7" x14ac:dyDescent="0.25">
      <c r="F7134">
        <v>7131</v>
      </c>
      <c r="G7134">
        <f ca="1">_xlfn.NORM.INV(RAND(),$M$7,$M$8)</f>
        <v>-1.5512981471289722E-3</v>
      </c>
    </row>
    <row r="7135" spans="6:7" x14ac:dyDescent="0.25">
      <c r="F7135">
        <v>7132</v>
      </c>
      <c r="G7135">
        <f ca="1">_xlfn.NORM.INV(RAND(),$M$7,$M$8)</f>
        <v>5.0326506195342388E-2</v>
      </c>
    </row>
    <row r="7136" spans="6:7" x14ac:dyDescent="0.25">
      <c r="F7136">
        <v>7133</v>
      </c>
      <c r="G7136">
        <f ca="1">_xlfn.NORM.INV(RAND(),$M$7,$M$8)</f>
        <v>-1.0936623726732195E-2</v>
      </c>
    </row>
    <row r="7137" spans="6:7" x14ac:dyDescent="0.25">
      <c r="F7137">
        <v>7134</v>
      </c>
      <c r="G7137">
        <f ca="1">_xlfn.NORM.INV(RAND(),$M$7,$M$8)</f>
        <v>-2.2437864887437889E-2</v>
      </c>
    </row>
    <row r="7138" spans="6:7" x14ac:dyDescent="0.25">
      <c r="F7138">
        <v>7135</v>
      </c>
      <c r="G7138">
        <f ca="1">_xlfn.NORM.INV(RAND(),$M$7,$M$8)</f>
        <v>-1.4813884053069326E-2</v>
      </c>
    </row>
    <row r="7139" spans="6:7" x14ac:dyDescent="0.25">
      <c r="F7139">
        <v>7136</v>
      </c>
      <c r="G7139">
        <f ca="1">_xlfn.NORM.INV(RAND(),$M$7,$M$8)</f>
        <v>-2.7303014618942746E-3</v>
      </c>
    </row>
    <row r="7140" spans="6:7" x14ac:dyDescent="0.25">
      <c r="F7140">
        <v>7137</v>
      </c>
      <c r="G7140">
        <f ca="1">_xlfn.NORM.INV(RAND(),$M$7,$M$8)</f>
        <v>-1.662077261705228E-2</v>
      </c>
    </row>
    <row r="7141" spans="6:7" x14ac:dyDescent="0.25">
      <c r="F7141">
        <v>7138</v>
      </c>
      <c r="G7141">
        <f ca="1">_xlfn.NORM.INV(RAND(),$M$7,$M$8)</f>
        <v>-1.0217629930491119E-2</v>
      </c>
    </row>
    <row r="7142" spans="6:7" x14ac:dyDescent="0.25">
      <c r="F7142">
        <v>7139</v>
      </c>
      <c r="G7142">
        <f ca="1">_xlfn.NORM.INV(RAND(),$M$7,$M$8)</f>
        <v>-2.9784340130289293E-2</v>
      </c>
    </row>
    <row r="7143" spans="6:7" x14ac:dyDescent="0.25">
      <c r="F7143">
        <v>7140</v>
      </c>
      <c r="G7143">
        <f ca="1">_xlfn.NORM.INV(RAND(),$M$7,$M$8)</f>
        <v>1.1651489163042362E-2</v>
      </c>
    </row>
    <row r="7144" spans="6:7" x14ac:dyDescent="0.25">
      <c r="F7144">
        <v>7141</v>
      </c>
      <c r="G7144">
        <f ca="1">_xlfn.NORM.INV(RAND(),$M$7,$M$8)</f>
        <v>1.4247481308487969E-2</v>
      </c>
    </row>
    <row r="7145" spans="6:7" x14ac:dyDescent="0.25">
      <c r="F7145">
        <v>7142</v>
      </c>
      <c r="G7145">
        <f ca="1">_xlfn.NORM.INV(RAND(),$M$7,$M$8)</f>
        <v>-3.5627226539859107E-2</v>
      </c>
    </row>
    <row r="7146" spans="6:7" x14ac:dyDescent="0.25">
      <c r="F7146">
        <v>7143</v>
      </c>
      <c r="G7146">
        <f ca="1">_xlfn.NORM.INV(RAND(),$M$7,$M$8)</f>
        <v>1.434663886961381E-2</v>
      </c>
    </row>
    <row r="7147" spans="6:7" x14ac:dyDescent="0.25">
      <c r="F7147">
        <v>7144</v>
      </c>
      <c r="G7147">
        <f ca="1">_xlfn.NORM.INV(RAND(),$M$7,$M$8)</f>
        <v>-3.6603905855100718E-2</v>
      </c>
    </row>
    <row r="7148" spans="6:7" x14ac:dyDescent="0.25">
      <c r="F7148">
        <v>7145</v>
      </c>
      <c r="G7148">
        <f ca="1">_xlfn.NORM.INV(RAND(),$M$7,$M$8)</f>
        <v>-2.4429457659176545E-2</v>
      </c>
    </row>
    <row r="7149" spans="6:7" x14ac:dyDescent="0.25">
      <c r="F7149">
        <v>7146</v>
      </c>
      <c r="G7149">
        <f ca="1">_xlfn.NORM.INV(RAND(),$M$7,$M$8)</f>
        <v>5.3684326314368418E-2</v>
      </c>
    </row>
    <row r="7150" spans="6:7" x14ac:dyDescent="0.25">
      <c r="F7150">
        <v>7147</v>
      </c>
      <c r="G7150">
        <f ca="1">_xlfn.NORM.INV(RAND(),$M$7,$M$8)</f>
        <v>4.1946660215879679E-2</v>
      </c>
    </row>
    <row r="7151" spans="6:7" x14ac:dyDescent="0.25">
      <c r="F7151">
        <v>7148</v>
      </c>
      <c r="G7151">
        <f ca="1">_xlfn.NORM.INV(RAND(),$M$7,$M$8)</f>
        <v>-3.4551894635975834E-2</v>
      </c>
    </row>
    <row r="7152" spans="6:7" x14ac:dyDescent="0.25">
      <c r="F7152">
        <v>7149</v>
      </c>
      <c r="G7152">
        <f ca="1">_xlfn.NORM.INV(RAND(),$M$7,$M$8)</f>
        <v>4.2677501667899596E-2</v>
      </c>
    </row>
    <row r="7153" spans="6:7" x14ac:dyDescent="0.25">
      <c r="F7153">
        <v>7150</v>
      </c>
      <c r="G7153">
        <f ca="1">_xlfn.NORM.INV(RAND(),$M$7,$M$8)</f>
        <v>3.3323503495458671E-2</v>
      </c>
    </row>
    <row r="7154" spans="6:7" x14ac:dyDescent="0.25">
      <c r="F7154">
        <v>7151</v>
      </c>
      <c r="G7154">
        <f ca="1">_xlfn.NORM.INV(RAND(),$M$7,$M$8)</f>
        <v>2.4513212927472185E-2</v>
      </c>
    </row>
    <row r="7155" spans="6:7" x14ac:dyDescent="0.25">
      <c r="F7155">
        <v>7152</v>
      </c>
      <c r="G7155">
        <f ca="1">_xlfn.NORM.INV(RAND(),$M$7,$M$8)</f>
        <v>5.6272314105138665E-2</v>
      </c>
    </row>
    <row r="7156" spans="6:7" x14ac:dyDescent="0.25">
      <c r="F7156">
        <v>7153</v>
      </c>
      <c r="G7156">
        <f ca="1">_xlfn.NORM.INV(RAND(),$M$7,$M$8)</f>
        <v>-1.0631679551090409E-2</v>
      </c>
    </row>
    <row r="7157" spans="6:7" x14ac:dyDescent="0.25">
      <c r="F7157">
        <v>7154</v>
      </c>
      <c r="G7157">
        <f ca="1">_xlfn.NORM.INV(RAND(),$M$7,$M$8)</f>
        <v>-5.8652132045696123E-3</v>
      </c>
    </row>
    <row r="7158" spans="6:7" x14ac:dyDescent="0.25">
      <c r="F7158">
        <v>7155</v>
      </c>
      <c r="G7158">
        <f ca="1">_xlfn.NORM.INV(RAND(),$M$7,$M$8)</f>
        <v>-8.5327345092760451E-3</v>
      </c>
    </row>
    <row r="7159" spans="6:7" x14ac:dyDescent="0.25">
      <c r="F7159">
        <v>7156</v>
      </c>
      <c r="G7159">
        <f ca="1">_xlfn.NORM.INV(RAND(),$M$7,$M$8)</f>
        <v>3.4656915519780139E-2</v>
      </c>
    </row>
    <row r="7160" spans="6:7" x14ac:dyDescent="0.25">
      <c r="F7160">
        <v>7157</v>
      </c>
      <c r="G7160">
        <f ca="1">_xlfn.NORM.INV(RAND(),$M$7,$M$8)</f>
        <v>3.8983652128984298E-3</v>
      </c>
    </row>
    <row r="7161" spans="6:7" x14ac:dyDescent="0.25">
      <c r="F7161">
        <v>7158</v>
      </c>
      <c r="G7161">
        <f ca="1">_xlfn.NORM.INV(RAND(),$M$7,$M$8)</f>
        <v>2.8716632398666361E-4</v>
      </c>
    </row>
    <row r="7162" spans="6:7" x14ac:dyDescent="0.25">
      <c r="F7162">
        <v>7159</v>
      </c>
      <c r="G7162">
        <f ca="1">_xlfn.NORM.INV(RAND(),$M$7,$M$8)</f>
        <v>3.8868235666981291E-2</v>
      </c>
    </row>
    <row r="7163" spans="6:7" x14ac:dyDescent="0.25">
      <c r="F7163">
        <v>7160</v>
      </c>
      <c r="G7163">
        <f ca="1">_xlfn.NORM.INV(RAND(),$M$7,$M$8)</f>
        <v>-7.5306437983753225E-3</v>
      </c>
    </row>
    <row r="7164" spans="6:7" x14ac:dyDescent="0.25">
      <c r="F7164">
        <v>7161</v>
      </c>
      <c r="G7164">
        <f ca="1">_xlfn.NORM.INV(RAND(),$M$7,$M$8)</f>
        <v>-7.8601174192309831E-3</v>
      </c>
    </row>
    <row r="7165" spans="6:7" x14ac:dyDescent="0.25">
      <c r="F7165">
        <v>7162</v>
      </c>
      <c r="G7165">
        <f ca="1">_xlfn.NORM.INV(RAND(),$M$7,$M$8)</f>
        <v>3.9299963500226597E-2</v>
      </c>
    </row>
    <row r="7166" spans="6:7" x14ac:dyDescent="0.25">
      <c r="F7166">
        <v>7163</v>
      </c>
      <c r="G7166">
        <f ca="1">_xlfn.NORM.INV(RAND(),$M$7,$M$8)</f>
        <v>-8.9888416805518241E-3</v>
      </c>
    </row>
    <row r="7167" spans="6:7" x14ac:dyDescent="0.25">
      <c r="F7167">
        <v>7164</v>
      </c>
      <c r="G7167">
        <f ca="1">_xlfn.NORM.INV(RAND(),$M$7,$M$8)</f>
        <v>9.3602570997060441E-3</v>
      </c>
    </row>
    <row r="7168" spans="6:7" x14ac:dyDescent="0.25">
      <c r="F7168">
        <v>7165</v>
      </c>
      <c r="G7168">
        <f ca="1">_xlfn.NORM.INV(RAND(),$M$7,$M$8)</f>
        <v>-4.2457051808940702E-2</v>
      </c>
    </row>
    <row r="7169" spans="6:7" x14ac:dyDescent="0.25">
      <c r="F7169">
        <v>7166</v>
      </c>
      <c r="G7169">
        <f ca="1">_xlfn.NORM.INV(RAND(),$M$7,$M$8)</f>
        <v>-2.9401736090001987E-4</v>
      </c>
    </row>
    <row r="7170" spans="6:7" x14ac:dyDescent="0.25">
      <c r="F7170">
        <v>7167</v>
      </c>
      <c r="G7170">
        <f ca="1">_xlfn.NORM.INV(RAND(),$M$7,$M$8)</f>
        <v>1.9385141951090475E-2</v>
      </c>
    </row>
    <row r="7171" spans="6:7" x14ac:dyDescent="0.25">
      <c r="F7171">
        <v>7168</v>
      </c>
      <c r="G7171">
        <f ca="1">_xlfn.NORM.INV(RAND(),$M$7,$M$8)</f>
        <v>3.5418156915076993E-2</v>
      </c>
    </row>
    <row r="7172" spans="6:7" x14ac:dyDescent="0.25">
      <c r="F7172">
        <v>7169</v>
      </c>
      <c r="G7172">
        <f ca="1">_xlfn.NORM.INV(RAND(),$M$7,$M$8)</f>
        <v>-2.5148794585604746E-3</v>
      </c>
    </row>
    <row r="7173" spans="6:7" x14ac:dyDescent="0.25">
      <c r="F7173">
        <v>7170</v>
      </c>
      <c r="G7173">
        <f ca="1">_xlfn.NORM.INV(RAND(),$M$7,$M$8)</f>
        <v>1.6000005615835772E-2</v>
      </c>
    </row>
    <row r="7174" spans="6:7" x14ac:dyDescent="0.25">
      <c r="F7174">
        <v>7171</v>
      </c>
      <c r="G7174">
        <f ca="1">_xlfn.NORM.INV(RAND(),$M$7,$M$8)</f>
        <v>3.8820455989438347E-2</v>
      </c>
    </row>
    <row r="7175" spans="6:7" x14ac:dyDescent="0.25">
      <c r="F7175">
        <v>7172</v>
      </c>
      <c r="G7175">
        <f ca="1">_xlfn.NORM.INV(RAND(),$M$7,$M$8)</f>
        <v>3.578170481387924E-4</v>
      </c>
    </row>
    <row r="7176" spans="6:7" x14ac:dyDescent="0.25">
      <c r="F7176">
        <v>7173</v>
      </c>
      <c r="G7176">
        <f ca="1">_xlfn.NORM.INV(RAND(),$M$7,$M$8)</f>
        <v>4.7742087544629476E-2</v>
      </c>
    </row>
    <row r="7177" spans="6:7" x14ac:dyDescent="0.25">
      <c r="F7177">
        <v>7174</v>
      </c>
      <c r="G7177">
        <f ca="1">_xlfn.NORM.INV(RAND(),$M$7,$M$8)</f>
        <v>5.2046782006845316E-2</v>
      </c>
    </row>
    <row r="7178" spans="6:7" x14ac:dyDescent="0.25">
      <c r="F7178">
        <v>7175</v>
      </c>
      <c r="G7178">
        <f ca="1">_xlfn.NORM.INV(RAND(),$M$7,$M$8)</f>
        <v>1.47707103368411E-2</v>
      </c>
    </row>
    <row r="7179" spans="6:7" x14ac:dyDescent="0.25">
      <c r="F7179">
        <v>7176</v>
      </c>
      <c r="G7179">
        <f ca="1">_xlfn.NORM.INV(RAND(),$M$7,$M$8)</f>
        <v>-1.275106798070849E-2</v>
      </c>
    </row>
    <row r="7180" spans="6:7" x14ac:dyDescent="0.25">
      <c r="F7180">
        <v>7177</v>
      </c>
      <c r="G7180">
        <f ca="1">_xlfn.NORM.INV(RAND(),$M$7,$M$8)</f>
        <v>-4.6327823637767294E-2</v>
      </c>
    </row>
    <row r="7181" spans="6:7" x14ac:dyDescent="0.25">
      <c r="F7181">
        <v>7178</v>
      </c>
      <c r="G7181">
        <f ca="1">_xlfn.NORM.INV(RAND(),$M$7,$M$8)</f>
        <v>3.7627807554003474E-2</v>
      </c>
    </row>
    <row r="7182" spans="6:7" x14ac:dyDescent="0.25">
      <c r="F7182">
        <v>7179</v>
      </c>
      <c r="G7182">
        <f ca="1">_xlfn.NORM.INV(RAND(),$M$7,$M$8)</f>
        <v>-2.7137684224166642E-4</v>
      </c>
    </row>
    <row r="7183" spans="6:7" x14ac:dyDescent="0.25">
      <c r="F7183">
        <v>7180</v>
      </c>
      <c r="G7183">
        <f ca="1">_xlfn.NORM.INV(RAND(),$M$7,$M$8)</f>
        <v>2.1436747163344413E-2</v>
      </c>
    </row>
    <row r="7184" spans="6:7" x14ac:dyDescent="0.25">
      <c r="F7184">
        <v>7181</v>
      </c>
      <c r="G7184">
        <f ca="1">_xlfn.NORM.INV(RAND(),$M$7,$M$8)</f>
        <v>-1.9236217452534121E-2</v>
      </c>
    </row>
    <row r="7185" spans="6:7" x14ac:dyDescent="0.25">
      <c r="F7185">
        <v>7182</v>
      </c>
      <c r="G7185">
        <f ca="1">_xlfn.NORM.INV(RAND(),$M$7,$M$8)</f>
        <v>-1.9688992028867272E-2</v>
      </c>
    </row>
    <row r="7186" spans="6:7" x14ac:dyDescent="0.25">
      <c r="F7186">
        <v>7183</v>
      </c>
      <c r="G7186">
        <f ca="1">_xlfn.NORM.INV(RAND(),$M$7,$M$8)</f>
        <v>-1.3627811977281547E-2</v>
      </c>
    </row>
    <row r="7187" spans="6:7" x14ac:dyDescent="0.25">
      <c r="F7187">
        <v>7184</v>
      </c>
      <c r="G7187">
        <f ca="1">_xlfn.NORM.INV(RAND(),$M$7,$M$8)</f>
        <v>-3.4839595717051391E-2</v>
      </c>
    </row>
    <row r="7188" spans="6:7" x14ac:dyDescent="0.25">
      <c r="F7188">
        <v>7185</v>
      </c>
      <c r="G7188">
        <f ca="1">_xlfn.NORM.INV(RAND(),$M$7,$M$8)</f>
        <v>2.1453465739946092E-2</v>
      </c>
    </row>
    <row r="7189" spans="6:7" x14ac:dyDescent="0.25">
      <c r="F7189">
        <v>7186</v>
      </c>
      <c r="G7189">
        <f ca="1">_xlfn.NORM.INV(RAND(),$M$7,$M$8)</f>
        <v>-1.2990551443280273E-2</v>
      </c>
    </row>
    <row r="7190" spans="6:7" x14ac:dyDescent="0.25">
      <c r="F7190">
        <v>7187</v>
      </c>
      <c r="G7190">
        <f ca="1">_xlfn.NORM.INV(RAND(),$M$7,$M$8)</f>
        <v>-4.7121260484353222E-3</v>
      </c>
    </row>
    <row r="7191" spans="6:7" x14ac:dyDescent="0.25">
      <c r="F7191">
        <v>7188</v>
      </c>
      <c r="G7191">
        <f ca="1">_xlfn.NORM.INV(RAND(),$M$7,$M$8)</f>
        <v>1.6796890440951565E-2</v>
      </c>
    </row>
    <row r="7192" spans="6:7" x14ac:dyDescent="0.25">
      <c r="F7192">
        <v>7189</v>
      </c>
      <c r="G7192">
        <f ca="1">_xlfn.NORM.INV(RAND(),$M$7,$M$8)</f>
        <v>-2.3580457033306683E-2</v>
      </c>
    </row>
    <row r="7193" spans="6:7" x14ac:dyDescent="0.25">
      <c r="F7193">
        <v>7190</v>
      </c>
      <c r="G7193">
        <f ca="1">_xlfn.NORM.INV(RAND(),$M$7,$M$8)</f>
        <v>-3.5288566260068037E-2</v>
      </c>
    </row>
    <row r="7194" spans="6:7" x14ac:dyDescent="0.25">
      <c r="F7194">
        <v>7191</v>
      </c>
      <c r="G7194">
        <f ca="1">_xlfn.NORM.INV(RAND(),$M$7,$M$8)</f>
        <v>-1.1638542247175348E-2</v>
      </c>
    </row>
    <row r="7195" spans="6:7" x14ac:dyDescent="0.25">
      <c r="F7195">
        <v>7192</v>
      </c>
      <c r="G7195">
        <f ca="1">_xlfn.NORM.INV(RAND(),$M$7,$M$8)</f>
        <v>-2.3760924169221983E-2</v>
      </c>
    </row>
    <row r="7196" spans="6:7" x14ac:dyDescent="0.25">
      <c r="F7196">
        <v>7193</v>
      </c>
      <c r="G7196">
        <f ca="1">_xlfn.NORM.INV(RAND(),$M$7,$M$8)</f>
        <v>1.030426105292489E-3</v>
      </c>
    </row>
    <row r="7197" spans="6:7" x14ac:dyDescent="0.25">
      <c r="F7197">
        <v>7194</v>
      </c>
      <c r="G7197">
        <f ca="1">_xlfn.NORM.INV(RAND(),$M$7,$M$8)</f>
        <v>-3.3352274362006885E-3</v>
      </c>
    </row>
    <row r="7198" spans="6:7" x14ac:dyDescent="0.25">
      <c r="F7198">
        <v>7195</v>
      </c>
      <c r="G7198">
        <f ca="1">_xlfn.NORM.INV(RAND(),$M$7,$M$8)</f>
        <v>-3.6915433783109301E-3</v>
      </c>
    </row>
    <row r="7199" spans="6:7" x14ac:dyDescent="0.25">
      <c r="F7199">
        <v>7196</v>
      </c>
      <c r="G7199">
        <f ca="1">_xlfn.NORM.INV(RAND(),$M$7,$M$8)</f>
        <v>-1.6506084263681251E-2</v>
      </c>
    </row>
    <row r="7200" spans="6:7" x14ac:dyDescent="0.25">
      <c r="F7200">
        <v>7197</v>
      </c>
      <c r="G7200">
        <f ca="1">_xlfn.NORM.INV(RAND(),$M$7,$M$8)</f>
        <v>-7.3476452581552262E-3</v>
      </c>
    </row>
    <row r="7201" spans="6:7" x14ac:dyDescent="0.25">
      <c r="F7201">
        <v>7198</v>
      </c>
      <c r="G7201">
        <f ca="1">_xlfn.NORM.INV(RAND(),$M$7,$M$8)</f>
        <v>1.2111330925522957E-2</v>
      </c>
    </row>
    <row r="7202" spans="6:7" x14ac:dyDescent="0.25">
      <c r="F7202">
        <v>7199</v>
      </c>
      <c r="G7202">
        <f ca="1">_xlfn.NORM.INV(RAND(),$M$7,$M$8)</f>
        <v>-1.9335155340839259E-2</v>
      </c>
    </row>
    <row r="7203" spans="6:7" x14ac:dyDescent="0.25">
      <c r="F7203">
        <v>7200</v>
      </c>
      <c r="G7203">
        <f ca="1">_xlfn.NORM.INV(RAND(),$M$7,$M$8)</f>
        <v>5.2900750245561002E-3</v>
      </c>
    </row>
    <row r="7204" spans="6:7" x14ac:dyDescent="0.25">
      <c r="F7204">
        <v>7201</v>
      </c>
      <c r="G7204">
        <f ca="1">_xlfn.NORM.INV(RAND(),$M$7,$M$8)</f>
        <v>4.7894151925196977E-2</v>
      </c>
    </row>
    <row r="7205" spans="6:7" x14ac:dyDescent="0.25">
      <c r="F7205">
        <v>7202</v>
      </c>
      <c r="G7205">
        <f ca="1">_xlfn.NORM.INV(RAND(),$M$7,$M$8)</f>
        <v>9.6479225868257284E-3</v>
      </c>
    </row>
    <row r="7206" spans="6:7" x14ac:dyDescent="0.25">
      <c r="F7206">
        <v>7203</v>
      </c>
      <c r="G7206">
        <f ca="1">_xlfn.NORM.INV(RAND(),$M$7,$M$8)</f>
        <v>-1.5711886275774902E-3</v>
      </c>
    </row>
    <row r="7207" spans="6:7" x14ac:dyDescent="0.25">
      <c r="F7207">
        <v>7204</v>
      </c>
      <c r="G7207">
        <f ca="1">_xlfn.NORM.INV(RAND(),$M$7,$M$8)</f>
        <v>-7.3738519494501373E-3</v>
      </c>
    </row>
    <row r="7208" spans="6:7" x14ac:dyDescent="0.25">
      <c r="F7208">
        <v>7205</v>
      </c>
      <c r="G7208">
        <f ca="1">_xlfn.NORM.INV(RAND(),$M$7,$M$8)</f>
        <v>2.6278915510695666E-2</v>
      </c>
    </row>
    <row r="7209" spans="6:7" x14ac:dyDescent="0.25">
      <c r="F7209">
        <v>7206</v>
      </c>
      <c r="G7209">
        <f ca="1">_xlfn.NORM.INV(RAND(),$M$7,$M$8)</f>
        <v>-3.1827014813867245E-2</v>
      </c>
    </row>
    <row r="7210" spans="6:7" x14ac:dyDescent="0.25">
      <c r="F7210">
        <v>7207</v>
      </c>
      <c r="G7210">
        <f ca="1">_xlfn.NORM.INV(RAND(),$M$7,$M$8)</f>
        <v>-5.0558951722544869E-2</v>
      </c>
    </row>
    <row r="7211" spans="6:7" x14ac:dyDescent="0.25">
      <c r="F7211">
        <v>7208</v>
      </c>
      <c r="G7211">
        <f ca="1">_xlfn.NORM.INV(RAND(),$M$7,$M$8)</f>
        <v>3.9349424163059955E-2</v>
      </c>
    </row>
    <row r="7212" spans="6:7" x14ac:dyDescent="0.25">
      <c r="F7212">
        <v>7209</v>
      </c>
      <c r="G7212">
        <f ca="1">_xlfn.NORM.INV(RAND(),$M$7,$M$8)</f>
        <v>-2.9994350052857079E-2</v>
      </c>
    </row>
    <row r="7213" spans="6:7" x14ac:dyDescent="0.25">
      <c r="F7213">
        <v>7210</v>
      </c>
      <c r="G7213">
        <f ca="1">_xlfn.NORM.INV(RAND(),$M$7,$M$8)</f>
        <v>1.2310907665032419E-2</v>
      </c>
    </row>
    <row r="7214" spans="6:7" x14ac:dyDescent="0.25">
      <c r="F7214">
        <v>7211</v>
      </c>
      <c r="G7214">
        <f ca="1">_xlfn.NORM.INV(RAND(),$M$7,$M$8)</f>
        <v>2.6152363018033892E-2</v>
      </c>
    </row>
    <row r="7215" spans="6:7" x14ac:dyDescent="0.25">
      <c r="F7215">
        <v>7212</v>
      </c>
      <c r="G7215">
        <f ca="1">_xlfn.NORM.INV(RAND(),$M$7,$M$8)</f>
        <v>1.466724646460717E-3</v>
      </c>
    </row>
    <row r="7216" spans="6:7" x14ac:dyDescent="0.25">
      <c r="F7216">
        <v>7213</v>
      </c>
      <c r="G7216">
        <f ca="1">_xlfn.NORM.INV(RAND(),$M$7,$M$8)</f>
        <v>-4.0751190543516468E-2</v>
      </c>
    </row>
    <row r="7217" spans="6:7" x14ac:dyDescent="0.25">
      <c r="F7217">
        <v>7214</v>
      </c>
      <c r="G7217">
        <f ca="1">_xlfn.NORM.INV(RAND(),$M$7,$M$8)</f>
        <v>2.5445582172173003E-2</v>
      </c>
    </row>
    <row r="7218" spans="6:7" x14ac:dyDescent="0.25">
      <c r="F7218">
        <v>7215</v>
      </c>
      <c r="G7218">
        <f ca="1">_xlfn.NORM.INV(RAND(),$M$7,$M$8)</f>
        <v>1.9929582297085476E-2</v>
      </c>
    </row>
    <row r="7219" spans="6:7" x14ac:dyDescent="0.25">
      <c r="F7219">
        <v>7216</v>
      </c>
      <c r="G7219">
        <f ca="1">_xlfn.NORM.INV(RAND(),$M$7,$M$8)</f>
        <v>2.2722037828282509E-2</v>
      </c>
    </row>
    <row r="7220" spans="6:7" x14ac:dyDescent="0.25">
      <c r="F7220">
        <v>7217</v>
      </c>
      <c r="G7220">
        <f ca="1">_xlfn.NORM.INV(RAND(),$M$7,$M$8)</f>
        <v>-2.3044449492284378E-2</v>
      </c>
    </row>
    <row r="7221" spans="6:7" x14ac:dyDescent="0.25">
      <c r="F7221">
        <v>7218</v>
      </c>
      <c r="G7221">
        <f ca="1">_xlfn.NORM.INV(RAND(),$M$7,$M$8)</f>
        <v>3.3113194980153839E-2</v>
      </c>
    </row>
    <row r="7222" spans="6:7" x14ac:dyDescent="0.25">
      <c r="F7222">
        <v>7219</v>
      </c>
      <c r="G7222">
        <f ca="1">_xlfn.NORM.INV(RAND(),$M$7,$M$8)</f>
        <v>6.4652420009814721E-2</v>
      </c>
    </row>
    <row r="7223" spans="6:7" x14ac:dyDescent="0.25">
      <c r="F7223">
        <v>7220</v>
      </c>
      <c r="G7223">
        <f ca="1">_xlfn.NORM.INV(RAND(),$M$7,$M$8)</f>
        <v>-6.7993684702850263E-3</v>
      </c>
    </row>
    <row r="7224" spans="6:7" x14ac:dyDescent="0.25">
      <c r="F7224">
        <v>7221</v>
      </c>
      <c r="G7224">
        <f ca="1">_xlfn.NORM.INV(RAND(),$M$7,$M$8)</f>
        <v>1.1162759652593504E-3</v>
      </c>
    </row>
    <row r="7225" spans="6:7" x14ac:dyDescent="0.25">
      <c r="F7225">
        <v>7222</v>
      </c>
      <c r="G7225">
        <f ca="1">_xlfn.NORM.INV(RAND(),$M$7,$M$8)</f>
        <v>3.2606017311455132E-3</v>
      </c>
    </row>
    <row r="7226" spans="6:7" x14ac:dyDescent="0.25">
      <c r="F7226">
        <v>7223</v>
      </c>
      <c r="G7226">
        <f ca="1">_xlfn.NORM.INV(RAND(),$M$7,$M$8)</f>
        <v>6.5952322397255813E-4</v>
      </c>
    </row>
    <row r="7227" spans="6:7" x14ac:dyDescent="0.25">
      <c r="F7227">
        <v>7224</v>
      </c>
      <c r="G7227">
        <f ca="1">_xlfn.NORM.INV(RAND(),$M$7,$M$8)</f>
        <v>-1.6959731088713355E-2</v>
      </c>
    </row>
    <row r="7228" spans="6:7" x14ac:dyDescent="0.25">
      <c r="F7228">
        <v>7225</v>
      </c>
      <c r="G7228">
        <f ca="1">_xlfn.NORM.INV(RAND(),$M$7,$M$8)</f>
        <v>-5.5815769800327091E-3</v>
      </c>
    </row>
    <row r="7229" spans="6:7" x14ac:dyDescent="0.25">
      <c r="F7229">
        <v>7226</v>
      </c>
      <c r="G7229">
        <f ca="1">_xlfn.NORM.INV(RAND(),$M$7,$M$8)</f>
        <v>9.3385538746024177E-3</v>
      </c>
    </row>
    <row r="7230" spans="6:7" x14ac:dyDescent="0.25">
      <c r="F7230">
        <v>7227</v>
      </c>
      <c r="G7230">
        <f ca="1">_xlfn.NORM.INV(RAND(),$M$7,$M$8)</f>
        <v>-1.2761970176830518E-4</v>
      </c>
    </row>
    <row r="7231" spans="6:7" x14ac:dyDescent="0.25">
      <c r="F7231">
        <v>7228</v>
      </c>
      <c r="G7231">
        <f ca="1">_xlfn.NORM.INV(RAND(),$M$7,$M$8)</f>
        <v>3.5927927792940177E-2</v>
      </c>
    </row>
    <row r="7232" spans="6:7" x14ac:dyDescent="0.25">
      <c r="F7232">
        <v>7229</v>
      </c>
      <c r="G7232">
        <f ca="1">_xlfn.NORM.INV(RAND(),$M$7,$M$8)</f>
        <v>-7.2665171606671724E-3</v>
      </c>
    </row>
    <row r="7233" spans="6:7" x14ac:dyDescent="0.25">
      <c r="F7233">
        <v>7230</v>
      </c>
      <c r="G7233">
        <f ca="1">_xlfn.NORM.INV(RAND(),$M$7,$M$8)</f>
        <v>-1.9330414627779534E-2</v>
      </c>
    </row>
    <row r="7234" spans="6:7" x14ac:dyDescent="0.25">
      <c r="F7234">
        <v>7231</v>
      </c>
      <c r="G7234">
        <f ca="1">_xlfn.NORM.INV(RAND(),$M$7,$M$8)</f>
        <v>-2.1356325615962457E-2</v>
      </c>
    </row>
    <row r="7235" spans="6:7" x14ac:dyDescent="0.25">
      <c r="F7235">
        <v>7232</v>
      </c>
      <c r="G7235">
        <f ca="1">_xlfn.NORM.INV(RAND(),$M$7,$M$8)</f>
        <v>1.1409147953315565E-2</v>
      </c>
    </row>
    <row r="7236" spans="6:7" x14ac:dyDescent="0.25">
      <c r="F7236">
        <v>7233</v>
      </c>
      <c r="G7236">
        <f ca="1">_xlfn.NORM.INV(RAND(),$M$7,$M$8)</f>
        <v>3.0864375235313091E-2</v>
      </c>
    </row>
    <row r="7237" spans="6:7" x14ac:dyDescent="0.25">
      <c r="F7237">
        <v>7234</v>
      </c>
      <c r="G7237">
        <f ca="1">_xlfn.NORM.INV(RAND(),$M$7,$M$8)</f>
        <v>7.3108586604831941E-3</v>
      </c>
    </row>
    <row r="7238" spans="6:7" x14ac:dyDescent="0.25">
      <c r="F7238">
        <v>7235</v>
      </c>
      <c r="G7238">
        <f ca="1">_xlfn.NORM.INV(RAND(),$M$7,$M$8)</f>
        <v>-1.1636797717271049E-3</v>
      </c>
    </row>
    <row r="7239" spans="6:7" x14ac:dyDescent="0.25">
      <c r="F7239">
        <v>7236</v>
      </c>
      <c r="G7239">
        <f ca="1">_xlfn.NORM.INV(RAND(),$M$7,$M$8)</f>
        <v>-6.247388106996361E-3</v>
      </c>
    </row>
    <row r="7240" spans="6:7" x14ac:dyDescent="0.25">
      <c r="F7240">
        <v>7237</v>
      </c>
      <c r="G7240">
        <f ca="1">_xlfn.NORM.INV(RAND(),$M$7,$M$8)</f>
        <v>2.8044573700785523E-2</v>
      </c>
    </row>
    <row r="7241" spans="6:7" x14ac:dyDescent="0.25">
      <c r="F7241">
        <v>7238</v>
      </c>
      <c r="G7241">
        <f ca="1">_xlfn.NORM.INV(RAND(),$M$7,$M$8)</f>
        <v>-2.4663320837214993E-3</v>
      </c>
    </row>
    <row r="7242" spans="6:7" x14ac:dyDescent="0.25">
      <c r="F7242">
        <v>7239</v>
      </c>
      <c r="G7242">
        <f ca="1">_xlfn.NORM.INV(RAND(),$M$7,$M$8)</f>
        <v>1.566730145627435E-2</v>
      </c>
    </row>
    <row r="7243" spans="6:7" x14ac:dyDescent="0.25">
      <c r="F7243">
        <v>7240</v>
      </c>
      <c r="G7243">
        <f ca="1">_xlfn.NORM.INV(RAND(),$M$7,$M$8)</f>
        <v>-3.4865143408523251E-2</v>
      </c>
    </row>
    <row r="7244" spans="6:7" x14ac:dyDescent="0.25">
      <c r="F7244">
        <v>7241</v>
      </c>
      <c r="G7244">
        <f ca="1">_xlfn.NORM.INV(RAND(),$M$7,$M$8)</f>
        <v>5.1626083907116444E-3</v>
      </c>
    </row>
    <row r="7245" spans="6:7" x14ac:dyDescent="0.25">
      <c r="F7245">
        <v>7242</v>
      </c>
      <c r="G7245">
        <f ca="1">_xlfn.NORM.INV(RAND(),$M$7,$M$8)</f>
        <v>-3.9651570424449976E-3</v>
      </c>
    </row>
    <row r="7246" spans="6:7" x14ac:dyDescent="0.25">
      <c r="F7246">
        <v>7243</v>
      </c>
      <c r="G7246">
        <f ca="1">_xlfn.NORM.INV(RAND(),$M$7,$M$8)</f>
        <v>2.4486456588910192E-3</v>
      </c>
    </row>
    <row r="7247" spans="6:7" x14ac:dyDescent="0.25">
      <c r="F7247">
        <v>7244</v>
      </c>
      <c r="G7247">
        <f ca="1">_xlfn.NORM.INV(RAND(),$M$7,$M$8)</f>
        <v>-1.9336660232778351E-2</v>
      </c>
    </row>
    <row r="7248" spans="6:7" x14ac:dyDescent="0.25">
      <c r="F7248">
        <v>7245</v>
      </c>
      <c r="G7248">
        <f ca="1">_xlfn.NORM.INV(RAND(),$M$7,$M$8)</f>
        <v>1.3765097958646447E-2</v>
      </c>
    </row>
    <row r="7249" spans="6:7" x14ac:dyDescent="0.25">
      <c r="F7249">
        <v>7246</v>
      </c>
      <c r="G7249">
        <f ca="1">_xlfn.NORM.INV(RAND(),$M$7,$M$8)</f>
        <v>6.3805347772427964E-3</v>
      </c>
    </row>
    <row r="7250" spans="6:7" x14ac:dyDescent="0.25">
      <c r="F7250">
        <v>7247</v>
      </c>
      <c r="G7250">
        <f ca="1">_xlfn.NORM.INV(RAND(),$M$7,$M$8)</f>
        <v>-3.0363685653019081E-2</v>
      </c>
    </row>
    <row r="7251" spans="6:7" x14ac:dyDescent="0.25">
      <c r="F7251">
        <v>7248</v>
      </c>
      <c r="G7251">
        <f ca="1">_xlfn.NORM.INV(RAND(),$M$7,$M$8)</f>
        <v>2.100830990323688E-2</v>
      </c>
    </row>
    <row r="7252" spans="6:7" x14ac:dyDescent="0.25">
      <c r="F7252">
        <v>7249</v>
      </c>
      <c r="G7252">
        <f ca="1">_xlfn.NORM.INV(RAND(),$M$7,$M$8)</f>
        <v>-4.0296122317243908E-2</v>
      </c>
    </row>
    <row r="7253" spans="6:7" x14ac:dyDescent="0.25">
      <c r="F7253">
        <v>7250</v>
      </c>
      <c r="G7253">
        <f ca="1">_xlfn.NORM.INV(RAND(),$M$7,$M$8)</f>
        <v>3.6510607000080474E-3</v>
      </c>
    </row>
    <row r="7254" spans="6:7" x14ac:dyDescent="0.25">
      <c r="F7254">
        <v>7251</v>
      </c>
      <c r="G7254">
        <f ca="1">_xlfn.NORM.INV(RAND(),$M$7,$M$8)</f>
        <v>-2.6823041941016344E-2</v>
      </c>
    </row>
    <row r="7255" spans="6:7" x14ac:dyDescent="0.25">
      <c r="F7255">
        <v>7252</v>
      </c>
      <c r="G7255">
        <f ca="1">_xlfn.NORM.INV(RAND(),$M$7,$M$8)</f>
        <v>2.6549521188669952E-3</v>
      </c>
    </row>
    <row r="7256" spans="6:7" x14ac:dyDescent="0.25">
      <c r="F7256">
        <v>7253</v>
      </c>
      <c r="G7256">
        <f ca="1">_xlfn.NORM.INV(RAND(),$M$7,$M$8)</f>
        <v>9.8991776200740896E-3</v>
      </c>
    </row>
    <row r="7257" spans="6:7" x14ac:dyDescent="0.25">
      <c r="F7257">
        <v>7254</v>
      </c>
      <c r="G7257">
        <f ca="1">_xlfn.NORM.INV(RAND(),$M$7,$M$8)</f>
        <v>-4.0117158082877778E-3</v>
      </c>
    </row>
    <row r="7258" spans="6:7" x14ac:dyDescent="0.25">
      <c r="F7258">
        <v>7255</v>
      </c>
      <c r="G7258">
        <f ca="1">_xlfn.NORM.INV(RAND(),$M$7,$M$8)</f>
        <v>-1.9631184601802725E-2</v>
      </c>
    </row>
    <row r="7259" spans="6:7" x14ac:dyDescent="0.25">
      <c r="F7259">
        <v>7256</v>
      </c>
      <c r="G7259">
        <f ca="1">_xlfn.NORM.INV(RAND(),$M$7,$M$8)</f>
        <v>-3.1286926646095913E-2</v>
      </c>
    </row>
    <row r="7260" spans="6:7" x14ac:dyDescent="0.25">
      <c r="F7260">
        <v>7257</v>
      </c>
      <c r="G7260">
        <f ca="1">_xlfn.NORM.INV(RAND(),$M$7,$M$8)</f>
        <v>2.2544231093763877E-2</v>
      </c>
    </row>
    <row r="7261" spans="6:7" x14ac:dyDescent="0.25">
      <c r="F7261">
        <v>7258</v>
      </c>
      <c r="G7261">
        <f ca="1">_xlfn.NORM.INV(RAND(),$M$7,$M$8)</f>
        <v>-1.7022463716514203E-3</v>
      </c>
    </row>
    <row r="7262" spans="6:7" x14ac:dyDescent="0.25">
      <c r="F7262">
        <v>7259</v>
      </c>
      <c r="G7262">
        <f ca="1">_xlfn.NORM.INV(RAND(),$M$7,$M$8)</f>
        <v>2.6152338681786624E-3</v>
      </c>
    </row>
    <row r="7263" spans="6:7" x14ac:dyDescent="0.25">
      <c r="F7263">
        <v>7260</v>
      </c>
      <c r="G7263">
        <f ca="1">_xlfn.NORM.INV(RAND(),$M$7,$M$8)</f>
        <v>4.376027666697542E-2</v>
      </c>
    </row>
    <row r="7264" spans="6:7" x14ac:dyDescent="0.25">
      <c r="F7264">
        <v>7261</v>
      </c>
      <c r="G7264">
        <f ca="1">_xlfn.NORM.INV(RAND(),$M$7,$M$8)</f>
        <v>-3.3444787631330526E-2</v>
      </c>
    </row>
    <row r="7265" spans="6:7" x14ac:dyDescent="0.25">
      <c r="F7265">
        <v>7262</v>
      </c>
      <c r="G7265">
        <f ca="1">_xlfn.NORM.INV(RAND(),$M$7,$M$8)</f>
        <v>3.7003251615779012E-2</v>
      </c>
    </row>
    <row r="7266" spans="6:7" x14ac:dyDescent="0.25">
      <c r="F7266">
        <v>7263</v>
      </c>
      <c r="G7266">
        <f ca="1">_xlfn.NORM.INV(RAND(),$M$7,$M$8)</f>
        <v>-1.5200817016172884E-2</v>
      </c>
    </row>
    <row r="7267" spans="6:7" x14ac:dyDescent="0.25">
      <c r="F7267">
        <v>7264</v>
      </c>
      <c r="G7267">
        <f ca="1">_xlfn.NORM.INV(RAND(),$M$7,$M$8)</f>
        <v>1.9796508848222785E-2</v>
      </c>
    </row>
    <row r="7268" spans="6:7" x14ac:dyDescent="0.25">
      <c r="F7268">
        <v>7265</v>
      </c>
      <c r="G7268">
        <f ca="1">_xlfn.NORM.INV(RAND(),$M$7,$M$8)</f>
        <v>3.4431032146005756E-2</v>
      </c>
    </row>
    <row r="7269" spans="6:7" x14ac:dyDescent="0.25">
      <c r="F7269">
        <v>7266</v>
      </c>
      <c r="G7269">
        <f ca="1">_xlfn.NORM.INV(RAND(),$M$7,$M$8)</f>
        <v>3.1210800366663189E-3</v>
      </c>
    </row>
    <row r="7270" spans="6:7" x14ac:dyDescent="0.25">
      <c r="F7270">
        <v>7267</v>
      </c>
      <c r="G7270">
        <f ca="1">_xlfn.NORM.INV(RAND(),$M$7,$M$8)</f>
        <v>2.0777216310513113E-3</v>
      </c>
    </row>
    <row r="7271" spans="6:7" x14ac:dyDescent="0.25">
      <c r="F7271">
        <v>7268</v>
      </c>
      <c r="G7271">
        <f ca="1">_xlfn.NORM.INV(RAND(),$M$7,$M$8)</f>
        <v>-3.8541658160766927E-2</v>
      </c>
    </row>
    <row r="7272" spans="6:7" x14ac:dyDescent="0.25">
      <c r="F7272">
        <v>7269</v>
      </c>
      <c r="G7272">
        <f ca="1">_xlfn.NORM.INV(RAND(),$M$7,$M$8)</f>
        <v>4.1652853358060456E-3</v>
      </c>
    </row>
    <row r="7273" spans="6:7" x14ac:dyDescent="0.25">
      <c r="F7273">
        <v>7270</v>
      </c>
      <c r="G7273">
        <f ca="1">_xlfn.NORM.INV(RAND(),$M$7,$M$8)</f>
        <v>1.9903865721417169E-2</v>
      </c>
    </row>
    <row r="7274" spans="6:7" x14ac:dyDescent="0.25">
      <c r="F7274">
        <v>7271</v>
      </c>
      <c r="G7274">
        <f ca="1">_xlfn.NORM.INV(RAND(),$M$7,$M$8)</f>
        <v>2.3660346889467696E-2</v>
      </c>
    </row>
    <row r="7275" spans="6:7" x14ac:dyDescent="0.25">
      <c r="F7275">
        <v>7272</v>
      </c>
      <c r="G7275">
        <f ca="1">_xlfn.NORM.INV(RAND(),$M$7,$M$8)</f>
        <v>-1.3427028678078818E-2</v>
      </c>
    </row>
    <row r="7276" spans="6:7" x14ac:dyDescent="0.25">
      <c r="F7276">
        <v>7273</v>
      </c>
      <c r="G7276">
        <f ca="1">_xlfn.NORM.INV(RAND(),$M$7,$M$8)</f>
        <v>-3.0506105129690989E-2</v>
      </c>
    </row>
    <row r="7277" spans="6:7" x14ac:dyDescent="0.25">
      <c r="F7277">
        <v>7274</v>
      </c>
      <c r="G7277">
        <f ca="1">_xlfn.NORM.INV(RAND(),$M$7,$M$8)</f>
        <v>-1.7841736024607282E-2</v>
      </c>
    </row>
    <row r="7278" spans="6:7" x14ac:dyDescent="0.25">
      <c r="F7278">
        <v>7275</v>
      </c>
      <c r="G7278">
        <f ca="1">_xlfn.NORM.INV(RAND(),$M$7,$M$8)</f>
        <v>1.541385450439553E-2</v>
      </c>
    </row>
    <row r="7279" spans="6:7" x14ac:dyDescent="0.25">
      <c r="F7279">
        <v>7276</v>
      </c>
      <c r="G7279">
        <f ca="1">_xlfn.NORM.INV(RAND(),$M$7,$M$8)</f>
        <v>-2.3461470771730386E-2</v>
      </c>
    </row>
    <row r="7280" spans="6:7" x14ac:dyDescent="0.25">
      <c r="F7280">
        <v>7277</v>
      </c>
      <c r="G7280">
        <f ca="1">_xlfn.NORM.INV(RAND(),$M$7,$M$8)</f>
        <v>7.5034788572596045E-3</v>
      </c>
    </row>
    <row r="7281" spans="6:7" x14ac:dyDescent="0.25">
      <c r="F7281">
        <v>7278</v>
      </c>
      <c r="G7281">
        <f ca="1">_xlfn.NORM.INV(RAND(),$M$7,$M$8)</f>
        <v>1.7413465152158279E-2</v>
      </c>
    </row>
    <row r="7282" spans="6:7" x14ac:dyDescent="0.25">
      <c r="F7282">
        <v>7279</v>
      </c>
      <c r="G7282">
        <f ca="1">_xlfn.NORM.INV(RAND(),$M$7,$M$8)</f>
        <v>-6.1771408414130445E-3</v>
      </c>
    </row>
    <row r="7283" spans="6:7" x14ac:dyDescent="0.25">
      <c r="F7283">
        <v>7280</v>
      </c>
      <c r="G7283">
        <f ca="1">_xlfn.NORM.INV(RAND(),$M$7,$M$8)</f>
        <v>-2.9962197840060203E-3</v>
      </c>
    </row>
    <row r="7284" spans="6:7" x14ac:dyDescent="0.25">
      <c r="F7284">
        <v>7281</v>
      </c>
      <c r="G7284">
        <f ca="1">_xlfn.NORM.INV(RAND(),$M$7,$M$8)</f>
        <v>-6.7027958303319483E-3</v>
      </c>
    </row>
    <row r="7285" spans="6:7" x14ac:dyDescent="0.25">
      <c r="F7285">
        <v>7282</v>
      </c>
      <c r="G7285">
        <f ca="1">_xlfn.NORM.INV(RAND(),$M$7,$M$8)</f>
        <v>-2.2210586227186198E-2</v>
      </c>
    </row>
    <row r="7286" spans="6:7" x14ac:dyDescent="0.25">
      <c r="F7286">
        <v>7283</v>
      </c>
      <c r="G7286">
        <f ca="1">_xlfn.NORM.INV(RAND(),$M$7,$M$8)</f>
        <v>-3.1228696097093469E-2</v>
      </c>
    </row>
    <row r="7287" spans="6:7" x14ac:dyDescent="0.25">
      <c r="F7287">
        <v>7284</v>
      </c>
      <c r="G7287">
        <f ca="1">_xlfn.NORM.INV(RAND(),$M$7,$M$8)</f>
        <v>-1.4128003752293113E-2</v>
      </c>
    </row>
    <row r="7288" spans="6:7" x14ac:dyDescent="0.25">
      <c r="F7288">
        <v>7285</v>
      </c>
      <c r="G7288">
        <f ca="1">_xlfn.NORM.INV(RAND(),$M$7,$M$8)</f>
        <v>-7.7759658313835359E-3</v>
      </c>
    </row>
    <row r="7289" spans="6:7" x14ac:dyDescent="0.25">
      <c r="F7289">
        <v>7286</v>
      </c>
      <c r="G7289">
        <f ca="1">_xlfn.NORM.INV(RAND(),$M$7,$M$8)</f>
        <v>-3.7497725329019037E-2</v>
      </c>
    </row>
    <row r="7290" spans="6:7" x14ac:dyDescent="0.25">
      <c r="F7290">
        <v>7287</v>
      </c>
      <c r="G7290">
        <f ca="1">_xlfn.NORM.INV(RAND(),$M$7,$M$8)</f>
        <v>4.3567210798217699E-3</v>
      </c>
    </row>
    <row r="7291" spans="6:7" x14ac:dyDescent="0.25">
      <c r="F7291">
        <v>7288</v>
      </c>
      <c r="G7291">
        <f ca="1">_xlfn.NORM.INV(RAND(),$M$7,$M$8)</f>
        <v>9.8675545430609163E-4</v>
      </c>
    </row>
    <row r="7292" spans="6:7" x14ac:dyDescent="0.25">
      <c r="F7292">
        <v>7289</v>
      </c>
      <c r="G7292">
        <f ca="1">_xlfn.NORM.INV(RAND(),$M$7,$M$8)</f>
        <v>2.4854389052445094E-2</v>
      </c>
    </row>
    <row r="7293" spans="6:7" x14ac:dyDescent="0.25">
      <c r="F7293">
        <v>7290</v>
      </c>
      <c r="G7293">
        <f ca="1">_xlfn.NORM.INV(RAND(),$M$7,$M$8)</f>
        <v>1.3493187934132608E-2</v>
      </c>
    </row>
    <row r="7294" spans="6:7" x14ac:dyDescent="0.25">
      <c r="F7294">
        <v>7291</v>
      </c>
      <c r="G7294">
        <f ca="1">_xlfn.NORM.INV(RAND(),$M$7,$M$8)</f>
        <v>-2.5793800104231018E-2</v>
      </c>
    </row>
    <row r="7295" spans="6:7" x14ac:dyDescent="0.25">
      <c r="F7295">
        <v>7292</v>
      </c>
      <c r="G7295">
        <f ca="1">_xlfn.NORM.INV(RAND(),$M$7,$M$8)</f>
        <v>-5.3978558694478471E-3</v>
      </c>
    </row>
    <row r="7296" spans="6:7" x14ac:dyDescent="0.25">
      <c r="F7296">
        <v>7293</v>
      </c>
      <c r="G7296">
        <f ca="1">_xlfn.NORM.INV(RAND(),$M$7,$M$8)</f>
        <v>-3.3579316616283314E-2</v>
      </c>
    </row>
    <row r="7297" spans="6:7" x14ac:dyDescent="0.25">
      <c r="F7297">
        <v>7294</v>
      </c>
      <c r="G7297">
        <f ca="1">_xlfn.NORM.INV(RAND(),$M$7,$M$8)</f>
        <v>-8.8580853638280475E-3</v>
      </c>
    </row>
    <row r="7298" spans="6:7" x14ac:dyDescent="0.25">
      <c r="F7298">
        <v>7295</v>
      </c>
      <c r="G7298">
        <f ca="1">_xlfn.NORM.INV(RAND(),$M$7,$M$8)</f>
        <v>2.4156796714643644E-2</v>
      </c>
    </row>
    <row r="7299" spans="6:7" x14ac:dyDescent="0.25">
      <c r="F7299">
        <v>7296</v>
      </c>
      <c r="G7299">
        <f ca="1">_xlfn.NORM.INV(RAND(),$M$7,$M$8)</f>
        <v>7.3578747526240832E-3</v>
      </c>
    </row>
    <row r="7300" spans="6:7" x14ac:dyDescent="0.25">
      <c r="F7300">
        <v>7297</v>
      </c>
      <c r="G7300">
        <f ca="1">_xlfn.NORM.INV(RAND(),$M$7,$M$8)</f>
        <v>4.1711926987634665E-2</v>
      </c>
    </row>
    <row r="7301" spans="6:7" x14ac:dyDescent="0.25">
      <c r="F7301">
        <v>7298</v>
      </c>
      <c r="G7301">
        <f ca="1">_xlfn.NORM.INV(RAND(),$M$7,$M$8)</f>
        <v>2.4574138654175929E-3</v>
      </c>
    </row>
    <row r="7302" spans="6:7" x14ac:dyDescent="0.25">
      <c r="F7302">
        <v>7299</v>
      </c>
      <c r="G7302">
        <f ca="1">_xlfn.NORM.INV(RAND(),$M$7,$M$8)</f>
        <v>-1.079480458880702E-2</v>
      </c>
    </row>
    <row r="7303" spans="6:7" x14ac:dyDescent="0.25">
      <c r="F7303">
        <v>7300</v>
      </c>
      <c r="G7303">
        <f ca="1">_xlfn.NORM.INV(RAND(),$M$7,$M$8)</f>
        <v>2.8788873208695689E-2</v>
      </c>
    </row>
    <row r="7304" spans="6:7" x14ac:dyDescent="0.25">
      <c r="F7304">
        <v>7301</v>
      </c>
      <c r="G7304">
        <f ca="1">_xlfn.NORM.INV(RAND(),$M$7,$M$8)</f>
        <v>2.4071038694781378E-2</v>
      </c>
    </row>
    <row r="7305" spans="6:7" x14ac:dyDescent="0.25">
      <c r="F7305">
        <v>7302</v>
      </c>
      <c r="G7305">
        <f ca="1">_xlfn.NORM.INV(RAND(),$M$7,$M$8)</f>
        <v>2.08268409589599E-2</v>
      </c>
    </row>
    <row r="7306" spans="6:7" x14ac:dyDescent="0.25">
      <c r="F7306">
        <v>7303</v>
      </c>
      <c r="G7306">
        <f ca="1">_xlfn.NORM.INV(RAND(),$M$7,$M$8)</f>
        <v>-5.702828181910482E-4</v>
      </c>
    </row>
    <row r="7307" spans="6:7" x14ac:dyDescent="0.25">
      <c r="F7307">
        <v>7304</v>
      </c>
      <c r="G7307">
        <f ca="1">_xlfn.NORM.INV(RAND(),$M$7,$M$8)</f>
        <v>-6.6593263366170469E-3</v>
      </c>
    </row>
    <row r="7308" spans="6:7" x14ac:dyDescent="0.25">
      <c r="F7308">
        <v>7305</v>
      </c>
      <c r="G7308">
        <f ca="1">_xlfn.NORM.INV(RAND(),$M$7,$M$8)</f>
        <v>3.467831219946485E-2</v>
      </c>
    </row>
    <row r="7309" spans="6:7" x14ac:dyDescent="0.25">
      <c r="F7309">
        <v>7306</v>
      </c>
      <c r="G7309">
        <f ca="1">_xlfn.NORM.INV(RAND(),$M$7,$M$8)</f>
        <v>2.5995790677214827E-2</v>
      </c>
    </row>
    <row r="7310" spans="6:7" x14ac:dyDescent="0.25">
      <c r="F7310">
        <v>7307</v>
      </c>
      <c r="G7310">
        <f ca="1">_xlfn.NORM.INV(RAND(),$M$7,$M$8)</f>
        <v>1.1971631010771215E-4</v>
      </c>
    </row>
    <row r="7311" spans="6:7" x14ac:dyDescent="0.25">
      <c r="F7311">
        <v>7308</v>
      </c>
      <c r="G7311">
        <f ca="1">_xlfn.NORM.INV(RAND(),$M$7,$M$8)</f>
        <v>1.5160092748390426E-2</v>
      </c>
    </row>
    <row r="7312" spans="6:7" x14ac:dyDescent="0.25">
      <c r="F7312">
        <v>7309</v>
      </c>
      <c r="G7312">
        <f ca="1">_xlfn.NORM.INV(RAND(),$M$7,$M$8)</f>
        <v>1.5517984406646349E-2</v>
      </c>
    </row>
    <row r="7313" spans="6:7" x14ac:dyDescent="0.25">
      <c r="F7313">
        <v>7310</v>
      </c>
      <c r="G7313">
        <f ca="1">_xlfn.NORM.INV(RAND(),$M$7,$M$8)</f>
        <v>1.3106704257241687E-2</v>
      </c>
    </row>
    <row r="7314" spans="6:7" x14ac:dyDescent="0.25">
      <c r="F7314">
        <v>7311</v>
      </c>
      <c r="G7314">
        <f ca="1">_xlfn.NORM.INV(RAND(),$M$7,$M$8)</f>
        <v>2.5951385895334595E-2</v>
      </c>
    </row>
    <row r="7315" spans="6:7" x14ac:dyDescent="0.25">
      <c r="F7315">
        <v>7312</v>
      </c>
      <c r="G7315">
        <f ca="1">_xlfn.NORM.INV(RAND(),$M$7,$M$8)</f>
        <v>6.7421618427866269E-3</v>
      </c>
    </row>
    <row r="7316" spans="6:7" x14ac:dyDescent="0.25">
      <c r="F7316">
        <v>7313</v>
      </c>
      <c r="G7316">
        <f ca="1">_xlfn.NORM.INV(RAND(),$M$7,$M$8)</f>
        <v>1.3711997601132253E-2</v>
      </c>
    </row>
    <row r="7317" spans="6:7" x14ac:dyDescent="0.25">
      <c r="F7317">
        <v>7314</v>
      </c>
      <c r="G7317">
        <f ca="1">_xlfn.NORM.INV(RAND(),$M$7,$M$8)</f>
        <v>-2.2766964130824803E-2</v>
      </c>
    </row>
    <row r="7318" spans="6:7" x14ac:dyDescent="0.25">
      <c r="F7318">
        <v>7315</v>
      </c>
      <c r="G7318">
        <f ca="1">_xlfn.NORM.INV(RAND(),$M$7,$M$8)</f>
        <v>-2.016930123975072E-2</v>
      </c>
    </row>
    <row r="7319" spans="6:7" x14ac:dyDescent="0.25">
      <c r="F7319">
        <v>7316</v>
      </c>
      <c r="G7319">
        <f ca="1">_xlfn.NORM.INV(RAND(),$M$7,$M$8)</f>
        <v>2.2376381728420908E-2</v>
      </c>
    </row>
    <row r="7320" spans="6:7" x14ac:dyDescent="0.25">
      <c r="F7320">
        <v>7317</v>
      </c>
      <c r="G7320">
        <f ca="1">_xlfn.NORM.INV(RAND(),$M$7,$M$8)</f>
        <v>1.3457045737924276E-2</v>
      </c>
    </row>
    <row r="7321" spans="6:7" x14ac:dyDescent="0.25">
      <c r="F7321">
        <v>7318</v>
      </c>
      <c r="G7321">
        <f ca="1">_xlfn.NORM.INV(RAND(),$M$7,$M$8)</f>
        <v>3.7102991663596471E-2</v>
      </c>
    </row>
    <row r="7322" spans="6:7" x14ac:dyDescent="0.25">
      <c r="F7322">
        <v>7319</v>
      </c>
      <c r="G7322">
        <f ca="1">_xlfn.NORM.INV(RAND(),$M$7,$M$8)</f>
        <v>-1.9503658629141978E-2</v>
      </c>
    </row>
    <row r="7323" spans="6:7" x14ac:dyDescent="0.25">
      <c r="F7323">
        <v>7320</v>
      </c>
      <c r="G7323">
        <f ca="1">_xlfn.NORM.INV(RAND(),$M$7,$M$8)</f>
        <v>3.0266993126374802E-2</v>
      </c>
    </row>
    <row r="7324" spans="6:7" x14ac:dyDescent="0.25">
      <c r="F7324">
        <v>7321</v>
      </c>
      <c r="G7324">
        <f ca="1">_xlfn.NORM.INV(RAND(),$M$7,$M$8)</f>
        <v>-1.8377234185856909E-2</v>
      </c>
    </row>
    <row r="7325" spans="6:7" x14ac:dyDescent="0.25">
      <c r="F7325">
        <v>7322</v>
      </c>
      <c r="G7325">
        <f ca="1">_xlfn.NORM.INV(RAND(),$M$7,$M$8)</f>
        <v>-2.7777244124942741E-3</v>
      </c>
    </row>
    <row r="7326" spans="6:7" x14ac:dyDescent="0.25">
      <c r="F7326">
        <v>7323</v>
      </c>
      <c r="G7326">
        <f ca="1">_xlfn.NORM.INV(RAND(),$M$7,$M$8)</f>
        <v>-1.838213327867657E-2</v>
      </c>
    </row>
    <row r="7327" spans="6:7" x14ac:dyDescent="0.25">
      <c r="F7327">
        <v>7324</v>
      </c>
      <c r="G7327">
        <f ca="1">_xlfn.NORM.INV(RAND(),$M$7,$M$8)</f>
        <v>7.7905700259077015E-3</v>
      </c>
    </row>
    <row r="7328" spans="6:7" x14ac:dyDescent="0.25">
      <c r="F7328">
        <v>7325</v>
      </c>
      <c r="G7328">
        <f ca="1">_xlfn.NORM.INV(RAND(),$M$7,$M$8)</f>
        <v>-1.6156823569144694E-2</v>
      </c>
    </row>
    <row r="7329" spans="6:7" x14ac:dyDescent="0.25">
      <c r="F7329">
        <v>7326</v>
      </c>
      <c r="G7329">
        <f ca="1">_xlfn.NORM.INV(RAND(),$M$7,$M$8)</f>
        <v>2.6121355394681054E-2</v>
      </c>
    </row>
    <row r="7330" spans="6:7" x14ac:dyDescent="0.25">
      <c r="F7330">
        <v>7327</v>
      </c>
      <c r="G7330">
        <f ca="1">_xlfn.NORM.INV(RAND(),$M$7,$M$8)</f>
        <v>2.2134774757264421E-2</v>
      </c>
    </row>
    <row r="7331" spans="6:7" x14ac:dyDescent="0.25">
      <c r="F7331">
        <v>7328</v>
      </c>
      <c r="G7331">
        <f ca="1">_xlfn.NORM.INV(RAND(),$M$7,$M$8)</f>
        <v>-2.1089459536261537E-2</v>
      </c>
    </row>
    <row r="7332" spans="6:7" x14ac:dyDescent="0.25">
      <c r="F7332">
        <v>7329</v>
      </c>
      <c r="G7332">
        <f ca="1">_xlfn.NORM.INV(RAND(),$M$7,$M$8)</f>
        <v>-1.2242795590985508E-2</v>
      </c>
    </row>
    <row r="7333" spans="6:7" x14ac:dyDescent="0.25">
      <c r="F7333">
        <v>7330</v>
      </c>
      <c r="G7333">
        <f ca="1">_xlfn.NORM.INV(RAND(),$M$7,$M$8)</f>
        <v>-5.2941003663505536E-3</v>
      </c>
    </row>
    <row r="7334" spans="6:7" x14ac:dyDescent="0.25">
      <c r="F7334">
        <v>7331</v>
      </c>
      <c r="G7334">
        <f ca="1">_xlfn.NORM.INV(RAND(),$M$7,$M$8)</f>
        <v>1.7446568696491079E-2</v>
      </c>
    </row>
    <row r="7335" spans="6:7" x14ac:dyDescent="0.25">
      <c r="F7335">
        <v>7332</v>
      </c>
      <c r="G7335">
        <f ca="1">_xlfn.NORM.INV(RAND(),$M$7,$M$8)</f>
        <v>1.882879910639336E-2</v>
      </c>
    </row>
    <row r="7336" spans="6:7" x14ac:dyDescent="0.25">
      <c r="F7336">
        <v>7333</v>
      </c>
      <c r="G7336">
        <f ca="1">_xlfn.NORM.INV(RAND(),$M$7,$M$8)</f>
        <v>3.2056555833891946E-4</v>
      </c>
    </row>
    <row r="7337" spans="6:7" x14ac:dyDescent="0.25">
      <c r="F7337">
        <v>7334</v>
      </c>
      <c r="G7337">
        <f ca="1">_xlfn.NORM.INV(RAND(),$M$7,$M$8)</f>
        <v>8.8475215988226812E-3</v>
      </c>
    </row>
    <row r="7338" spans="6:7" x14ac:dyDescent="0.25">
      <c r="F7338">
        <v>7335</v>
      </c>
      <c r="G7338">
        <f ca="1">_xlfn.NORM.INV(RAND(),$M$7,$M$8)</f>
        <v>-3.2935345552822765E-2</v>
      </c>
    </row>
    <row r="7339" spans="6:7" x14ac:dyDescent="0.25">
      <c r="F7339">
        <v>7336</v>
      </c>
      <c r="G7339">
        <f ca="1">_xlfn.NORM.INV(RAND(),$M$7,$M$8)</f>
        <v>-3.257223255776874E-2</v>
      </c>
    </row>
    <row r="7340" spans="6:7" x14ac:dyDescent="0.25">
      <c r="F7340">
        <v>7337</v>
      </c>
      <c r="G7340">
        <f ca="1">_xlfn.NORM.INV(RAND(),$M$7,$M$8)</f>
        <v>-8.6923955705811269E-4</v>
      </c>
    </row>
    <row r="7341" spans="6:7" x14ac:dyDescent="0.25">
      <c r="F7341">
        <v>7338</v>
      </c>
      <c r="G7341">
        <f ca="1">_xlfn.NORM.INV(RAND(),$M$7,$M$8)</f>
        <v>-1.6378985964675491E-2</v>
      </c>
    </row>
    <row r="7342" spans="6:7" x14ac:dyDescent="0.25">
      <c r="F7342">
        <v>7339</v>
      </c>
      <c r="G7342">
        <f ca="1">_xlfn.NORM.INV(RAND(),$M$7,$M$8)</f>
        <v>-1.7436157469037164E-2</v>
      </c>
    </row>
    <row r="7343" spans="6:7" x14ac:dyDescent="0.25">
      <c r="F7343">
        <v>7340</v>
      </c>
      <c r="G7343">
        <f ca="1">_xlfn.NORM.INV(RAND(),$M$7,$M$8)</f>
        <v>1.9510623880664189E-2</v>
      </c>
    </row>
    <row r="7344" spans="6:7" x14ac:dyDescent="0.25">
      <c r="F7344">
        <v>7341</v>
      </c>
      <c r="G7344">
        <f ca="1">_xlfn.NORM.INV(RAND(),$M$7,$M$8)</f>
        <v>-3.8675933624005465E-3</v>
      </c>
    </row>
    <row r="7345" spans="6:7" x14ac:dyDescent="0.25">
      <c r="F7345">
        <v>7342</v>
      </c>
      <c r="G7345">
        <f ca="1">_xlfn.NORM.INV(RAND(),$M$7,$M$8)</f>
        <v>1.9023070700873255E-2</v>
      </c>
    </row>
    <row r="7346" spans="6:7" x14ac:dyDescent="0.25">
      <c r="F7346">
        <v>7343</v>
      </c>
      <c r="G7346">
        <f ca="1">_xlfn.NORM.INV(RAND(),$M$7,$M$8)</f>
        <v>1.4017728337071876E-2</v>
      </c>
    </row>
    <row r="7347" spans="6:7" x14ac:dyDescent="0.25">
      <c r="F7347">
        <v>7344</v>
      </c>
      <c r="G7347">
        <f ca="1">_xlfn.NORM.INV(RAND(),$M$7,$M$8)</f>
        <v>-6.50063376716805E-3</v>
      </c>
    </row>
    <row r="7348" spans="6:7" x14ac:dyDescent="0.25">
      <c r="F7348">
        <v>7345</v>
      </c>
      <c r="G7348">
        <f ca="1">_xlfn.NORM.INV(RAND(),$M$7,$M$8)</f>
        <v>-6.9863223651340785E-4</v>
      </c>
    </row>
    <row r="7349" spans="6:7" x14ac:dyDescent="0.25">
      <c r="F7349">
        <v>7346</v>
      </c>
      <c r="G7349">
        <f ca="1">_xlfn.NORM.INV(RAND(),$M$7,$M$8)</f>
        <v>2.5488490621062763E-2</v>
      </c>
    </row>
    <row r="7350" spans="6:7" x14ac:dyDescent="0.25">
      <c r="F7350">
        <v>7347</v>
      </c>
      <c r="G7350">
        <f ca="1">_xlfn.NORM.INV(RAND(),$M$7,$M$8)</f>
        <v>1.7744281608398818E-2</v>
      </c>
    </row>
    <row r="7351" spans="6:7" x14ac:dyDescent="0.25">
      <c r="F7351">
        <v>7348</v>
      </c>
      <c r="G7351">
        <f ca="1">_xlfn.NORM.INV(RAND(),$M$7,$M$8)</f>
        <v>-2.8207970423877815E-3</v>
      </c>
    </row>
    <row r="7352" spans="6:7" x14ac:dyDescent="0.25">
      <c r="F7352">
        <v>7349</v>
      </c>
      <c r="G7352">
        <f ca="1">_xlfn.NORM.INV(RAND(),$M$7,$M$8)</f>
        <v>-2.1109873285248902E-2</v>
      </c>
    </row>
    <row r="7353" spans="6:7" x14ac:dyDescent="0.25">
      <c r="F7353">
        <v>7350</v>
      </c>
      <c r="G7353">
        <f ca="1">_xlfn.NORM.INV(RAND(),$M$7,$M$8)</f>
        <v>5.061219452109798E-3</v>
      </c>
    </row>
    <row r="7354" spans="6:7" x14ac:dyDescent="0.25">
      <c r="F7354">
        <v>7351</v>
      </c>
      <c r="G7354">
        <f ca="1">_xlfn.NORM.INV(RAND(),$M$7,$M$8)</f>
        <v>-2.8312702498395549E-2</v>
      </c>
    </row>
    <row r="7355" spans="6:7" x14ac:dyDescent="0.25">
      <c r="F7355">
        <v>7352</v>
      </c>
      <c r="G7355">
        <f ca="1">_xlfn.NORM.INV(RAND(),$M$7,$M$8)</f>
        <v>1.2755796144914964E-2</v>
      </c>
    </row>
    <row r="7356" spans="6:7" x14ac:dyDescent="0.25">
      <c r="F7356">
        <v>7353</v>
      </c>
      <c r="G7356">
        <f ca="1">_xlfn.NORM.INV(RAND(),$M$7,$M$8)</f>
        <v>-3.0158567079394551E-2</v>
      </c>
    </row>
    <row r="7357" spans="6:7" x14ac:dyDescent="0.25">
      <c r="F7357">
        <v>7354</v>
      </c>
      <c r="G7357">
        <f ca="1">_xlfn.NORM.INV(RAND(),$M$7,$M$8)</f>
        <v>2.5126888540862591E-2</v>
      </c>
    </row>
    <row r="7358" spans="6:7" x14ac:dyDescent="0.25">
      <c r="F7358">
        <v>7355</v>
      </c>
      <c r="G7358">
        <f ca="1">_xlfn.NORM.INV(RAND(),$M$7,$M$8)</f>
        <v>1.1279355428150648E-2</v>
      </c>
    </row>
    <row r="7359" spans="6:7" x14ac:dyDescent="0.25">
      <c r="F7359">
        <v>7356</v>
      </c>
      <c r="G7359">
        <f ca="1">_xlfn.NORM.INV(RAND(),$M$7,$M$8)</f>
        <v>1.2085593143615403E-2</v>
      </c>
    </row>
    <row r="7360" spans="6:7" x14ac:dyDescent="0.25">
      <c r="F7360">
        <v>7357</v>
      </c>
      <c r="G7360">
        <f ca="1">_xlfn.NORM.INV(RAND(),$M$7,$M$8)</f>
        <v>-7.5538229062739517E-3</v>
      </c>
    </row>
    <row r="7361" spans="6:7" x14ac:dyDescent="0.25">
      <c r="F7361">
        <v>7358</v>
      </c>
      <c r="G7361">
        <f ca="1">_xlfn.NORM.INV(RAND(),$M$7,$M$8)</f>
        <v>-4.1226066377111271E-2</v>
      </c>
    </row>
    <row r="7362" spans="6:7" x14ac:dyDescent="0.25">
      <c r="F7362">
        <v>7359</v>
      </c>
      <c r="G7362">
        <f ca="1">_xlfn.NORM.INV(RAND(),$M$7,$M$8)</f>
        <v>2.9124434896037811E-2</v>
      </c>
    </row>
    <row r="7363" spans="6:7" x14ac:dyDescent="0.25">
      <c r="F7363">
        <v>7360</v>
      </c>
      <c r="G7363">
        <f ca="1">_xlfn.NORM.INV(RAND(),$M$7,$M$8)</f>
        <v>-3.7380566947590357E-2</v>
      </c>
    </row>
    <row r="7364" spans="6:7" x14ac:dyDescent="0.25">
      <c r="F7364">
        <v>7361</v>
      </c>
      <c r="G7364">
        <f ca="1">_xlfn.NORM.INV(RAND(),$M$7,$M$8)</f>
        <v>1.786831533198098E-2</v>
      </c>
    </row>
    <row r="7365" spans="6:7" x14ac:dyDescent="0.25">
      <c r="F7365">
        <v>7362</v>
      </c>
      <c r="G7365">
        <f ca="1">_xlfn.NORM.INV(RAND(),$M$7,$M$8)</f>
        <v>-6.4385700795957408E-3</v>
      </c>
    </row>
    <row r="7366" spans="6:7" x14ac:dyDescent="0.25">
      <c r="F7366">
        <v>7363</v>
      </c>
      <c r="G7366">
        <f ca="1">_xlfn.NORM.INV(RAND(),$M$7,$M$8)</f>
        <v>3.0151550857697298E-2</v>
      </c>
    </row>
    <row r="7367" spans="6:7" x14ac:dyDescent="0.25">
      <c r="F7367">
        <v>7364</v>
      </c>
      <c r="G7367">
        <f ca="1">_xlfn.NORM.INV(RAND(),$M$7,$M$8)</f>
        <v>-3.4139078566284829E-3</v>
      </c>
    </row>
    <row r="7368" spans="6:7" x14ac:dyDescent="0.25">
      <c r="F7368">
        <v>7365</v>
      </c>
      <c r="G7368">
        <f ca="1">_xlfn.NORM.INV(RAND(),$M$7,$M$8)</f>
        <v>4.8814376532755957E-3</v>
      </c>
    </row>
    <row r="7369" spans="6:7" x14ac:dyDescent="0.25">
      <c r="F7369">
        <v>7366</v>
      </c>
      <c r="G7369">
        <f ca="1">_xlfn.NORM.INV(RAND(),$M$7,$M$8)</f>
        <v>8.5306738894183939E-3</v>
      </c>
    </row>
    <row r="7370" spans="6:7" x14ac:dyDescent="0.25">
      <c r="F7370">
        <v>7367</v>
      </c>
      <c r="G7370">
        <f ca="1">_xlfn.NORM.INV(RAND(),$M$7,$M$8)</f>
        <v>-5.4345528804966461E-4</v>
      </c>
    </row>
    <row r="7371" spans="6:7" x14ac:dyDescent="0.25">
      <c r="F7371">
        <v>7368</v>
      </c>
      <c r="G7371">
        <f ca="1">_xlfn.NORM.INV(RAND(),$M$7,$M$8)</f>
        <v>1.6791848743405582E-2</v>
      </c>
    </row>
    <row r="7372" spans="6:7" x14ac:dyDescent="0.25">
      <c r="F7372">
        <v>7369</v>
      </c>
      <c r="G7372">
        <f ca="1">_xlfn.NORM.INV(RAND(),$M$7,$M$8)</f>
        <v>2.9776208034373197E-2</v>
      </c>
    </row>
    <row r="7373" spans="6:7" x14ac:dyDescent="0.25">
      <c r="F7373">
        <v>7370</v>
      </c>
      <c r="G7373">
        <f ca="1">_xlfn.NORM.INV(RAND(),$M$7,$M$8)</f>
        <v>-1.5401849941446458E-2</v>
      </c>
    </row>
    <row r="7374" spans="6:7" x14ac:dyDescent="0.25">
      <c r="F7374">
        <v>7371</v>
      </c>
      <c r="G7374">
        <f ca="1">_xlfn.NORM.INV(RAND(),$M$7,$M$8)</f>
        <v>-2.6671528632154248E-3</v>
      </c>
    </row>
    <row r="7375" spans="6:7" x14ac:dyDescent="0.25">
      <c r="F7375">
        <v>7372</v>
      </c>
      <c r="G7375">
        <f ca="1">_xlfn.NORM.INV(RAND(),$M$7,$M$8)</f>
        <v>-1.3717367254968809E-2</v>
      </c>
    </row>
    <row r="7376" spans="6:7" x14ac:dyDescent="0.25">
      <c r="F7376">
        <v>7373</v>
      </c>
      <c r="G7376">
        <f ca="1">_xlfn.NORM.INV(RAND(),$M$7,$M$8)</f>
        <v>-7.7069229714371891E-3</v>
      </c>
    </row>
    <row r="7377" spans="6:7" x14ac:dyDescent="0.25">
      <c r="F7377">
        <v>7374</v>
      </c>
      <c r="G7377">
        <f ca="1">_xlfn.NORM.INV(RAND(),$M$7,$M$8)</f>
        <v>8.6801052836300192E-3</v>
      </c>
    </row>
    <row r="7378" spans="6:7" x14ac:dyDescent="0.25">
      <c r="F7378">
        <v>7375</v>
      </c>
      <c r="G7378">
        <f ca="1">_xlfn.NORM.INV(RAND(),$M$7,$M$8)</f>
        <v>-2.5446114012222121E-2</v>
      </c>
    </row>
    <row r="7379" spans="6:7" x14ac:dyDescent="0.25">
      <c r="F7379">
        <v>7376</v>
      </c>
      <c r="G7379">
        <f ca="1">_xlfn.NORM.INV(RAND(),$M$7,$M$8)</f>
        <v>1.0134066809011607E-2</v>
      </c>
    </row>
    <row r="7380" spans="6:7" x14ac:dyDescent="0.25">
      <c r="F7380">
        <v>7377</v>
      </c>
      <c r="G7380">
        <f ca="1">_xlfn.NORM.INV(RAND(),$M$7,$M$8)</f>
        <v>-1.0049051936305247E-2</v>
      </c>
    </row>
    <row r="7381" spans="6:7" x14ac:dyDescent="0.25">
      <c r="F7381">
        <v>7378</v>
      </c>
      <c r="G7381">
        <f ca="1">_xlfn.NORM.INV(RAND(),$M$7,$M$8)</f>
        <v>1.8740298642376672E-2</v>
      </c>
    </row>
    <row r="7382" spans="6:7" x14ac:dyDescent="0.25">
      <c r="F7382">
        <v>7379</v>
      </c>
      <c r="G7382">
        <f ca="1">_xlfn.NORM.INV(RAND(),$M$7,$M$8)</f>
        <v>-2.8670494777492863E-2</v>
      </c>
    </row>
    <row r="7383" spans="6:7" x14ac:dyDescent="0.25">
      <c r="F7383">
        <v>7380</v>
      </c>
      <c r="G7383">
        <f ca="1">_xlfn.NORM.INV(RAND(),$M$7,$M$8)</f>
        <v>1.2067432580642667E-2</v>
      </c>
    </row>
    <row r="7384" spans="6:7" x14ac:dyDescent="0.25">
      <c r="F7384">
        <v>7381</v>
      </c>
      <c r="G7384">
        <f ca="1">_xlfn.NORM.INV(RAND(),$M$7,$M$8)</f>
        <v>3.8314534721938243E-2</v>
      </c>
    </row>
    <row r="7385" spans="6:7" x14ac:dyDescent="0.25">
      <c r="F7385">
        <v>7382</v>
      </c>
      <c r="G7385">
        <f ca="1">_xlfn.NORM.INV(RAND(),$M$7,$M$8)</f>
        <v>1.2627835414444852E-2</v>
      </c>
    </row>
    <row r="7386" spans="6:7" x14ac:dyDescent="0.25">
      <c r="F7386">
        <v>7383</v>
      </c>
      <c r="G7386">
        <f ca="1">_xlfn.NORM.INV(RAND(),$M$7,$M$8)</f>
        <v>1.3312560413798118E-2</v>
      </c>
    </row>
    <row r="7387" spans="6:7" x14ac:dyDescent="0.25">
      <c r="F7387">
        <v>7384</v>
      </c>
      <c r="G7387">
        <f ca="1">_xlfn.NORM.INV(RAND(),$M$7,$M$8)</f>
        <v>3.3190747491573309E-2</v>
      </c>
    </row>
    <row r="7388" spans="6:7" x14ac:dyDescent="0.25">
      <c r="F7388">
        <v>7385</v>
      </c>
      <c r="G7388">
        <f ca="1">_xlfn.NORM.INV(RAND(),$M$7,$M$8)</f>
        <v>-2.180603389508249E-2</v>
      </c>
    </row>
    <row r="7389" spans="6:7" x14ac:dyDescent="0.25">
      <c r="F7389">
        <v>7386</v>
      </c>
      <c r="G7389">
        <f ca="1">_xlfn.NORM.INV(RAND(),$M$7,$M$8)</f>
        <v>4.0957566754141271E-2</v>
      </c>
    </row>
    <row r="7390" spans="6:7" x14ac:dyDescent="0.25">
      <c r="F7390">
        <v>7387</v>
      </c>
      <c r="G7390">
        <f ca="1">_xlfn.NORM.INV(RAND(),$M$7,$M$8)</f>
        <v>-2.0483184481788791E-2</v>
      </c>
    </row>
    <row r="7391" spans="6:7" x14ac:dyDescent="0.25">
      <c r="F7391">
        <v>7388</v>
      </c>
      <c r="G7391">
        <f ca="1">_xlfn.NORM.INV(RAND(),$M$7,$M$8)</f>
        <v>2.5406407536283156E-4</v>
      </c>
    </row>
    <row r="7392" spans="6:7" x14ac:dyDescent="0.25">
      <c r="F7392">
        <v>7389</v>
      </c>
      <c r="G7392">
        <f ca="1">_xlfn.NORM.INV(RAND(),$M$7,$M$8)</f>
        <v>1.3270693185288817E-2</v>
      </c>
    </row>
    <row r="7393" spans="6:7" x14ac:dyDescent="0.25">
      <c r="F7393">
        <v>7390</v>
      </c>
      <c r="G7393">
        <f ca="1">_xlfn.NORM.INV(RAND(),$M$7,$M$8)</f>
        <v>-1.1542519502637957E-2</v>
      </c>
    </row>
    <row r="7394" spans="6:7" x14ac:dyDescent="0.25">
      <c r="F7394">
        <v>7391</v>
      </c>
      <c r="G7394">
        <f ca="1">_xlfn.NORM.INV(RAND(),$M$7,$M$8)</f>
        <v>1.0609729993090896E-2</v>
      </c>
    </row>
    <row r="7395" spans="6:7" x14ac:dyDescent="0.25">
      <c r="F7395">
        <v>7392</v>
      </c>
      <c r="G7395">
        <f ca="1">_xlfn.NORM.INV(RAND(),$M$7,$M$8)</f>
        <v>-1.7971526252973928E-2</v>
      </c>
    </row>
    <row r="7396" spans="6:7" x14ac:dyDescent="0.25">
      <c r="F7396">
        <v>7393</v>
      </c>
      <c r="G7396">
        <f ca="1">_xlfn.NORM.INV(RAND(),$M$7,$M$8)</f>
        <v>3.6368820697610035E-2</v>
      </c>
    </row>
    <row r="7397" spans="6:7" x14ac:dyDescent="0.25">
      <c r="F7397">
        <v>7394</v>
      </c>
      <c r="G7397">
        <f ca="1">_xlfn.NORM.INV(RAND(),$M$7,$M$8)</f>
        <v>-1.4587539972610182E-2</v>
      </c>
    </row>
    <row r="7398" spans="6:7" x14ac:dyDescent="0.25">
      <c r="F7398">
        <v>7395</v>
      </c>
      <c r="G7398">
        <f ca="1">_xlfn.NORM.INV(RAND(),$M$7,$M$8)</f>
        <v>3.9372353703487274E-2</v>
      </c>
    </row>
    <row r="7399" spans="6:7" x14ac:dyDescent="0.25">
      <c r="F7399">
        <v>7396</v>
      </c>
      <c r="G7399">
        <f ca="1">_xlfn.NORM.INV(RAND(),$M$7,$M$8)</f>
        <v>-2.4514794530548132E-3</v>
      </c>
    </row>
    <row r="7400" spans="6:7" x14ac:dyDescent="0.25">
      <c r="F7400">
        <v>7397</v>
      </c>
      <c r="G7400">
        <f ca="1">_xlfn.NORM.INV(RAND(),$M$7,$M$8)</f>
        <v>-9.4797091840942722E-3</v>
      </c>
    </row>
    <row r="7401" spans="6:7" x14ac:dyDescent="0.25">
      <c r="F7401">
        <v>7398</v>
      </c>
      <c r="G7401">
        <f ca="1">_xlfn.NORM.INV(RAND(),$M$7,$M$8)</f>
        <v>-1.8802085842804031E-2</v>
      </c>
    </row>
    <row r="7402" spans="6:7" x14ac:dyDescent="0.25">
      <c r="F7402">
        <v>7399</v>
      </c>
      <c r="G7402">
        <f ca="1">_xlfn.NORM.INV(RAND(),$M$7,$M$8)</f>
        <v>1.7878709151198241E-2</v>
      </c>
    </row>
    <row r="7403" spans="6:7" x14ac:dyDescent="0.25">
      <c r="F7403">
        <v>7400</v>
      </c>
      <c r="G7403">
        <f ca="1">_xlfn.NORM.INV(RAND(),$M$7,$M$8)</f>
        <v>-1.4374926165111069E-2</v>
      </c>
    </row>
    <row r="7404" spans="6:7" x14ac:dyDescent="0.25">
      <c r="F7404">
        <v>7401</v>
      </c>
      <c r="G7404">
        <f ca="1">_xlfn.NORM.INV(RAND(),$M$7,$M$8)</f>
        <v>2.8597244546934826E-3</v>
      </c>
    </row>
    <row r="7405" spans="6:7" x14ac:dyDescent="0.25">
      <c r="F7405">
        <v>7402</v>
      </c>
      <c r="G7405">
        <f ca="1">_xlfn.NORM.INV(RAND(),$M$7,$M$8)</f>
        <v>2.5729986625880909E-2</v>
      </c>
    </row>
    <row r="7406" spans="6:7" x14ac:dyDescent="0.25">
      <c r="F7406">
        <v>7403</v>
      </c>
      <c r="G7406">
        <f ca="1">_xlfn.NORM.INV(RAND(),$M$7,$M$8)</f>
        <v>-1.3439809939537171E-2</v>
      </c>
    </row>
    <row r="7407" spans="6:7" x14ac:dyDescent="0.25">
      <c r="F7407">
        <v>7404</v>
      </c>
      <c r="G7407">
        <f ca="1">_xlfn.NORM.INV(RAND(),$M$7,$M$8)</f>
        <v>4.3284479145969182E-3</v>
      </c>
    </row>
    <row r="7408" spans="6:7" x14ac:dyDescent="0.25">
      <c r="F7408">
        <v>7405</v>
      </c>
      <c r="G7408">
        <f ca="1">_xlfn.NORM.INV(RAND(),$M$7,$M$8)</f>
        <v>-1.2963592439143265E-2</v>
      </c>
    </row>
    <row r="7409" spans="6:7" x14ac:dyDescent="0.25">
      <c r="F7409">
        <v>7406</v>
      </c>
      <c r="G7409">
        <f ca="1">_xlfn.NORM.INV(RAND(),$M$7,$M$8)</f>
        <v>-2.1044031568692865E-2</v>
      </c>
    </row>
    <row r="7410" spans="6:7" x14ac:dyDescent="0.25">
      <c r="F7410">
        <v>7407</v>
      </c>
      <c r="G7410">
        <f ca="1">_xlfn.NORM.INV(RAND(),$M$7,$M$8)</f>
        <v>-3.1797980559009095E-3</v>
      </c>
    </row>
    <row r="7411" spans="6:7" x14ac:dyDescent="0.25">
      <c r="F7411">
        <v>7408</v>
      </c>
      <c r="G7411">
        <f ca="1">_xlfn.NORM.INV(RAND(),$M$7,$M$8)</f>
        <v>-1.0842220087562582E-2</v>
      </c>
    </row>
    <row r="7412" spans="6:7" x14ac:dyDescent="0.25">
      <c r="F7412">
        <v>7409</v>
      </c>
      <c r="G7412">
        <f ca="1">_xlfn.NORM.INV(RAND(),$M$7,$M$8)</f>
        <v>-1.6682838507749681E-2</v>
      </c>
    </row>
    <row r="7413" spans="6:7" x14ac:dyDescent="0.25">
      <c r="F7413">
        <v>7410</v>
      </c>
      <c r="G7413">
        <f ca="1">_xlfn.NORM.INV(RAND(),$M$7,$M$8)</f>
        <v>6.7610057026308533E-3</v>
      </c>
    </row>
    <row r="7414" spans="6:7" x14ac:dyDescent="0.25">
      <c r="F7414">
        <v>7411</v>
      </c>
      <c r="G7414">
        <f ca="1">_xlfn.NORM.INV(RAND(),$M$7,$M$8)</f>
        <v>-3.6202659318295714E-2</v>
      </c>
    </row>
    <row r="7415" spans="6:7" x14ac:dyDescent="0.25">
      <c r="F7415">
        <v>7412</v>
      </c>
      <c r="G7415">
        <f ca="1">_xlfn.NORM.INV(RAND(),$M$7,$M$8)</f>
        <v>1.2828407891128624E-3</v>
      </c>
    </row>
    <row r="7416" spans="6:7" x14ac:dyDescent="0.25">
      <c r="F7416">
        <v>7413</v>
      </c>
      <c r="G7416">
        <f ca="1">_xlfn.NORM.INV(RAND(),$M$7,$M$8)</f>
        <v>-1.3056300541588026E-2</v>
      </c>
    </row>
    <row r="7417" spans="6:7" x14ac:dyDescent="0.25">
      <c r="F7417">
        <v>7414</v>
      </c>
      <c r="G7417">
        <f ca="1">_xlfn.NORM.INV(RAND(),$M$7,$M$8)</f>
        <v>2.2449783101856677E-2</v>
      </c>
    </row>
    <row r="7418" spans="6:7" x14ac:dyDescent="0.25">
      <c r="F7418">
        <v>7415</v>
      </c>
      <c r="G7418">
        <f ca="1">_xlfn.NORM.INV(RAND(),$M$7,$M$8)</f>
        <v>7.0671310510024669E-3</v>
      </c>
    </row>
    <row r="7419" spans="6:7" x14ac:dyDescent="0.25">
      <c r="F7419">
        <v>7416</v>
      </c>
      <c r="G7419">
        <f ca="1">_xlfn.NORM.INV(RAND(),$M$7,$M$8)</f>
        <v>-1.6233183177878831E-2</v>
      </c>
    </row>
    <row r="7420" spans="6:7" x14ac:dyDescent="0.25">
      <c r="F7420">
        <v>7417</v>
      </c>
      <c r="G7420">
        <f ca="1">_xlfn.NORM.INV(RAND(),$M$7,$M$8)</f>
        <v>-1.1892594184677549E-2</v>
      </c>
    </row>
    <row r="7421" spans="6:7" x14ac:dyDescent="0.25">
      <c r="F7421">
        <v>7418</v>
      </c>
      <c r="G7421">
        <f ca="1">_xlfn.NORM.INV(RAND(),$M$7,$M$8)</f>
        <v>-1.4714682597596517E-2</v>
      </c>
    </row>
    <row r="7422" spans="6:7" x14ac:dyDescent="0.25">
      <c r="F7422">
        <v>7419</v>
      </c>
      <c r="G7422">
        <f ca="1">_xlfn.NORM.INV(RAND(),$M$7,$M$8)</f>
        <v>9.8185753010232614E-3</v>
      </c>
    </row>
    <row r="7423" spans="6:7" x14ac:dyDescent="0.25">
      <c r="F7423">
        <v>7420</v>
      </c>
      <c r="G7423">
        <f ca="1">_xlfn.NORM.INV(RAND(),$M$7,$M$8)</f>
        <v>4.0283436820817267E-2</v>
      </c>
    </row>
    <row r="7424" spans="6:7" x14ac:dyDescent="0.25">
      <c r="F7424">
        <v>7421</v>
      </c>
      <c r="G7424">
        <f ca="1">_xlfn.NORM.INV(RAND(),$M$7,$M$8)</f>
        <v>1.2804589767109723E-2</v>
      </c>
    </row>
    <row r="7425" spans="6:7" x14ac:dyDescent="0.25">
      <c r="F7425">
        <v>7422</v>
      </c>
      <c r="G7425">
        <f ca="1">_xlfn.NORM.INV(RAND(),$M$7,$M$8)</f>
        <v>2.1556692039067619E-2</v>
      </c>
    </row>
    <row r="7426" spans="6:7" x14ac:dyDescent="0.25">
      <c r="F7426">
        <v>7423</v>
      </c>
      <c r="G7426">
        <f ca="1">_xlfn.NORM.INV(RAND(),$M$7,$M$8)</f>
        <v>-5.5466449117532284E-3</v>
      </c>
    </row>
    <row r="7427" spans="6:7" x14ac:dyDescent="0.25">
      <c r="F7427">
        <v>7424</v>
      </c>
      <c r="G7427">
        <f ca="1">_xlfn.NORM.INV(RAND(),$M$7,$M$8)</f>
        <v>3.3850591618132649E-2</v>
      </c>
    </row>
    <row r="7428" spans="6:7" x14ac:dyDescent="0.25">
      <c r="F7428">
        <v>7425</v>
      </c>
      <c r="G7428">
        <f ca="1">_xlfn.NORM.INV(RAND(),$M$7,$M$8)</f>
        <v>2.5192686168115742E-2</v>
      </c>
    </row>
    <row r="7429" spans="6:7" x14ac:dyDescent="0.25">
      <c r="F7429">
        <v>7426</v>
      </c>
      <c r="G7429">
        <f ca="1">_xlfn.NORM.INV(RAND(),$M$7,$M$8)</f>
        <v>-2.4066259866832331E-2</v>
      </c>
    </row>
    <row r="7430" spans="6:7" x14ac:dyDescent="0.25">
      <c r="F7430">
        <v>7427</v>
      </c>
      <c r="G7430">
        <f ca="1">_xlfn.NORM.INV(RAND(),$M$7,$M$8)</f>
        <v>6.8265742789504879E-3</v>
      </c>
    </row>
    <row r="7431" spans="6:7" x14ac:dyDescent="0.25">
      <c r="F7431">
        <v>7428</v>
      </c>
      <c r="G7431">
        <f ca="1">_xlfn.NORM.INV(RAND(),$M$7,$M$8)</f>
        <v>1.2247041315527011E-2</v>
      </c>
    </row>
    <row r="7432" spans="6:7" x14ac:dyDescent="0.25">
      <c r="F7432">
        <v>7429</v>
      </c>
      <c r="G7432">
        <f ca="1">_xlfn.NORM.INV(RAND(),$M$7,$M$8)</f>
        <v>1.7800175271387983E-2</v>
      </c>
    </row>
    <row r="7433" spans="6:7" x14ac:dyDescent="0.25">
      <c r="F7433">
        <v>7430</v>
      </c>
      <c r="G7433">
        <f ca="1">_xlfn.NORM.INV(RAND(),$M$7,$M$8)</f>
        <v>2.7926058993648396E-2</v>
      </c>
    </row>
    <row r="7434" spans="6:7" x14ac:dyDescent="0.25">
      <c r="F7434">
        <v>7431</v>
      </c>
      <c r="G7434">
        <f ca="1">_xlfn.NORM.INV(RAND(),$M$7,$M$8)</f>
        <v>6.1348482569172184E-2</v>
      </c>
    </row>
    <row r="7435" spans="6:7" x14ac:dyDescent="0.25">
      <c r="F7435">
        <v>7432</v>
      </c>
      <c r="G7435">
        <f ca="1">_xlfn.NORM.INV(RAND(),$M$7,$M$8)</f>
        <v>2.6047774553797445E-2</v>
      </c>
    </row>
    <row r="7436" spans="6:7" x14ac:dyDescent="0.25">
      <c r="F7436">
        <v>7433</v>
      </c>
      <c r="G7436">
        <f ca="1">_xlfn.NORM.INV(RAND(),$M$7,$M$8)</f>
        <v>1.1978300705981628E-2</v>
      </c>
    </row>
    <row r="7437" spans="6:7" x14ac:dyDescent="0.25">
      <c r="F7437">
        <v>7434</v>
      </c>
      <c r="G7437">
        <f ca="1">_xlfn.NORM.INV(RAND(),$M$7,$M$8)</f>
        <v>-3.3976927908795557E-2</v>
      </c>
    </row>
    <row r="7438" spans="6:7" x14ac:dyDescent="0.25">
      <c r="F7438">
        <v>7435</v>
      </c>
      <c r="G7438">
        <f ca="1">_xlfn.NORM.INV(RAND(),$M$7,$M$8)</f>
        <v>-7.7295030427499594E-4</v>
      </c>
    </row>
    <row r="7439" spans="6:7" x14ac:dyDescent="0.25">
      <c r="F7439">
        <v>7436</v>
      </c>
      <c r="G7439">
        <f ca="1">_xlfn.NORM.INV(RAND(),$M$7,$M$8)</f>
        <v>1.4505132240835647E-2</v>
      </c>
    </row>
    <row r="7440" spans="6:7" x14ac:dyDescent="0.25">
      <c r="F7440">
        <v>7437</v>
      </c>
      <c r="G7440">
        <f ca="1">_xlfn.NORM.INV(RAND(),$M$7,$M$8)</f>
        <v>3.7781618138393619E-2</v>
      </c>
    </row>
    <row r="7441" spans="6:7" x14ac:dyDescent="0.25">
      <c r="F7441">
        <v>7438</v>
      </c>
      <c r="G7441">
        <f ca="1">_xlfn.NORM.INV(RAND(),$M$7,$M$8)</f>
        <v>2.3095531073568844E-2</v>
      </c>
    </row>
    <row r="7442" spans="6:7" x14ac:dyDescent="0.25">
      <c r="F7442">
        <v>7439</v>
      </c>
      <c r="G7442">
        <f ca="1">_xlfn.NORM.INV(RAND(),$M$7,$M$8)</f>
        <v>5.7479560752397116E-2</v>
      </c>
    </row>
    <row r="7443" spans="6:7" x14ac:dyDescent="0.25">
      <c r="F7443">
        <v>7440</v>
      </c>
      <c r="G7443">
        <f ca="1">_xlfn.NORM.INV(RAND(),$M$7,$M$8)</f>
        <v>8.220653423043249E-2</v>
      </c>
    </row>
    <row r="7444" spans="6:7" x14ac:dyDescent="0.25">
      <c r="F7444">
        <v>7441</v>
      </c>
      <c r="G7444">
        <f ca="1">_xlfn.NORM.INV(RAND(),$M$7,$M$8)</f>
        <v>-3.4084440469939977E-3</v>
      </c>
    </row>
    <row r="7445" spans="6:7" x14ac:dyDescent="0.25">
      <c r="F7445">
        <v>7442</v>
      </c>
      <c r="G7445">
        <f ca="1">_xlfn.NORM.INV(RAND(),$M$7,$M$8)</f>
        <v>-1.2444188043543632E-2</v>
      </c>
    </row>
    <row r="7446" spans="6:7" x14ac:dyDescent="0.25">
      <c r="F7446">
        <v>7443</v>
      </c>
      <c r="G7446">
        <f ca="1">_xlfn.NORM.INV(RAND(),$M$7,$M$8)</f>
        <v>5.797870371072724E-2</v>
      </c>
    </row>
    <row r="7447" spans="6:7" x14ac:dyDescent="0.25">
      <c r="F7447">
        <v>7444</v>
      </c>
      <c r="G7447">
        <f ca="1">_xlfn.NORM.INV(RAND(),$M$7,$M$8)</f>
        <v>-5.1825915887478997E-3</v>
      </c>
    </row>
    <row r="7448" spans="6:7" x14ac:dyDescent="0.25">
      <c r="F7448">
        <v>7445</v>
      </c>
      <c r="G7448">
        <f ca="1">_xlfn.NORM.INV(RAND(),$M$7,$M$8)</f>
        <v>9.2490561258794951E-5</v>
      </c>
    </row>
    <row r="7449" spans="6:7" x14ac:dyDescent="0.25">
      <c r="F7449">
        <v>7446</v>
      </c>
      <c r="G7449">
        <f ca="1">_xlfn.NORM.INV(RAND(),$M$7,$M$8)</f>
        <v>-2.7560695738763588E-2</v>
      </c>
    </row>
    <row r="7450" spans="6:7" x14ac:dyDescent="0.25">
      <c r="F7450">
        <v>7447</v>
      </c>
      <c r="G7450">
        <f ca="1">_xlfn.NORM.INV(RAND(),$M$7,$M$8)</f>
        <v>2.5772383220614779E-2</v>
      </c>
    </row>
    <row r="7451" spans="6:7" x14ac:dyDescent="0.25">
      <c r="F7451">
        <v>7448</v>
      </c>
      <c r="G7451">
        <f ca="1">_xlfn.NORM.INV(RAND(),$M$7,$M$8)</f>
        <v>-3.9316685371813848E-2</v>
      </c>
    </row>
    <row r="7452" spans="6:7" x14ac:dyDescent="0.25">
      <c r="F7452">
        <v>7449</v>
      </c>
      <c r="G7452">
        <f ca="1">_xlfn.NORM.INV(RAND(),$M$7,$M$8)</f>
        <v>1.2933573872784964E-2</v>
      </c>
    </row>
    <row r="7453" spans="6:7" x14ac:dyDescent="0.25">
      <c r="F7453">
        <v>7450</v>
      </c>
      <c r="G7453">
        <f ca="1">_xlfn.NORM.INV(RAND(),$M$7,$M$8)</f>
        <v>-6.2634429407531986E-3</v>
      </c>
    </row>
    <row r="7454" spans="6:7" x14ac:dyDescent="0.25">
      <c r="F7454">
        <v>7451</v>
      </c>
      <c r="G7454">
        <f ca="1">_xlfn.NORM.INV(RAND(),$M$7,$M$8)</f>
        <v>8.1843810627014422E-3</v>
      </c>
    </row>
    <row r="7455" spans="6:7" x14ac:dyDescent="0.25">
      <c r="F7455">
        <v>7452</v>
      </c>
      <c r="G7455">
        <f ca="1">_xlfn.NORM.INV(RAND(),$M$7,$M$8)</f>
        <v>1.8439374141863786E-2</v>
      </c>
    </row>
    <row r="7456" spans="6:7" x14ac:dyDescent="0.25">
      <c r="F7456">
        <v>7453</v>
      </c>
      <c r="G7456">
        <f ca="1">_xlfn.NORM.INV(RAND(),$M$7,$M$8)</f>
        <v>-5.8448691752805253E-3</v>
      </c>
    </row>
    <row r="7457" spans="6:7" x14ac:dyDescent="0.25">
      <c r="F7457">
        <v>7454</v>
      </c>
      <c r="G7457">
        <f ca="1">_xlfn.NORM.INV(RAND(),$M$7,$M$8)</f>
        <v>-3.8797184141917151E-3</v>
      </c>
    </row>
    <row r="7458" spans="6:7" x14ac:dyDescent="0.25">
      <c r="F7458">
        <v>7455</v>
      </c>
      <c r="G7458">
        <f ca="1">_xlfn.NORM.INV(RAND(),$M$7,$M$8)</f>
        <v>2.8346181021170168E-2</v>
      </c>
    </row>
    <row r="7459" spans="6:7" x14ac:dyDescent="0.25">
      <c r="F7459">
        <v>7456</v>
      </c>
      <c r="G7459">
        <f ca="1">_xlfn.NORM.INV(RAND(),$M$7,$M$8)</f>
        <v>-1.0964599172907205E-3</v>
      </c>
    </row>
    <row r="7460" spans="6:7" x14ac:dyDescent="0.25">
      <c r="F7460">
        <v>7457</v>
      </c>
      <c r="G7460">
        <f ca="1">_xlfn.NORM.INV(RAND(),$M$7,$M$8)</f>
        <v>-2.2915105242728207E-2</v>
      </c>
    </row>
    <row r="7461" spans="6:7" x14ac:dyDescent="0.25">
      <c r="F7461">
        <v>7458</v>
      </c>
      <c r="G7461">
        <f ca="1">_xlfn.NORM.INV(RAND(),$M$7,$M$8)</f>
        <v>2.6141861252864159E-2</v>
      </c>
    </row>
    <row r="7462" spans="6:7" x14ac:dyDescent="0.25">
      <c r="F7462">
        <v>7459</v>
      </c>
      <c r="G7462">
        <f ca="1">_xlfn.NORM.INV(RAND(),$M$7,$M$8)</f>
        <v>4.4101313321718034E-3</v>
      </c>
    </row>
    <row r="7463" spans="6:7" x14ac:dyDescent="0.25">
      <c r="F7463">
        <v>7460</v>
      </c>
      <c r="G7463">
        <f ca="1">_xlfn.NORM.INV(RAND(),$M$7,$M$8)</f>
        <v>-2.2697936265502483E-2</v>
      </c>
    </row>
    <row r="7464" spans="6:7" x14ac:dyDescent="0.25">
      <c r="F7464">
        <v>7461</v>
      </c>
      <c r="G7464">
        <f ca="1">_xlfn.NORM.INV(RAND(),$M$7,$M$8)</f>
        <v>-1.2019777046462647E-2</v>
      </c>
    </row>
    <row r="7465" spans="6:7" x14ac:dyDescent="0.25">
      <c r="F7465">
        <v>7462</v>
      </c>
      <c r="G7465">
        <f ca="1">_xlfn.NORM.INV(RAND(),$M$7,$M$8)</f>
        <v>1.6613704920490104E-2</v>
      </c>
    </row>
    <row r="7466" spans="6:7" x14ac:dyDescent="0.25">
      <c r="F7466">
        <v>7463</v>
      </c>
      <c r="G7466">
        <f ca="1">_xlfn.NORM.INV(RAND(),$M$7,$M$8)</f>
        <v>2.2406337682206179E-3</v>
      </c>
    </row>
    <row r="7467" spans="6:7" x14ac:dyDescent="0.25">
      <c r="F7467">
        <v>7464</v>
      </c>
      <c r="G7467">
        <f ca="1">_xlfn.NORM.INV(RAND(),$M$7,$M$8)</f>
        <v>2.4718502111594171E-2</v>
      </c>
    </row>
    <row r="7468" spans="6:7" x14ac:dyDescent="0.25">
      <c r="F7468">
        <v>7465</v>
      </c>
      <c r="G7468">
        <f ca="1">_xlfn.NORM.INV(RAND(),$M$7,$M$8)</f>
        <v>6.0786348813558193E-3</v>
      </c>
    </row>
    <row r="7469" spans="6:7" x14ac:dyDescent="0.25">
      <c r="F7469">
        <v>7466</v>
      </c>
      <c r="G7469">
        <f ca="1">_xlfn.NORM.INV(RAND(),$M$7,$M$8)</f>
        <v>9.1583280792367893E-3</v>
      </c>
    </row>
    <row r="7470" spans="6:7" x14ac:dyDescent="0.25">
      <c r="F7470">
        <v>7467</v>
      </c>
      <c r="G7470">
        <f ca="1">_xlfn.NORM.INV(RAND(),$M$7,$M$8)</f>
        <v>-4.890083304120732E-3</v>
      </c>
    </row>
    <row r="7471" spans="6:7" x14ac:dyDescent="0.25">
      <c r="F7471">
        <v>7468</v>
      </c>
      <c r="G7471">
        <f ca="1">_xlfn.NORM.INV(RAND(),$M$7,$M$8)</f>
        <v>5.0100998866889672E-2</v>
      </c>
    </row>
    <row r="7472" spans="6:7" x14ac:dyDescent="0.25">
      <c r="F7472">
        <v>7469</v>
      </c>
      <c r="G7472">
        <f ca="1">_xlfn.NORM.INV(RAND(),$M$7,$M$8)</f>
        <v>-8.0864866313173772E-3</v>
      </c>
    </row>
    <row r="7473" spans="6:7" x14ac:dyDescent="0.25">
      <c r="F7473">
        <v>7470</v>
      </c>
      <c r="G7473">
        <f ca="1">_xlfn.NORM.INV(RAND(),$M$7,$M$8)</f>
        <v>3.0569361909370124E-3</v>
      </c>
    </row>
    <row r="7474" spans="6:7" x14ac:dyDescent="0.25">
      <c r="F7474">
        <v>7471</v>
      </c>
      <c r="G7474">
        <f ca="1">_xlfn.NORM.INV(RAND(),$M$7,$M$8)</f>
        <v>1.450296885981112E-2</v>
      </c>
    </row>
    <row r="7475" spans="6:7" x14ac:dyDescent="0.25">
      <c r="F7475">
        <v>7472</v>
      </c>
      <c r="G7475">
        <f ca="1">_xlfn.NORM.INV(RAND(),$M$7,$M$8)</f>
        <v>-3.3105009322645811E-2</v>
      </c>
    </row>
    <row r="7476" spans="6:7" x14ac:dyDescent="0.25">
      <c r="F7476">
        <v>7473</v>
      </c>
      <c r="G7476">
        <f ca="1">_xlfn.NORM.INV(RAND(),$M$7,$M$8)</f>
        <v>-3.8930432563172621E-2</v>
      </c>
    </row>
    <row r="7477" spans="6:7" x14ac:dyDescent="0.25">
      <c r="F7477">
        <v>7474</v>
      </c>
      <c r="G7477">
        <f ca="1">_xlfn.NORM.INV(RAND(),$M$7,$M$8)</f>
        <v>-7.570326100202392E-3</v>
      </c>
    </row>
    <row r="7478" spans="6:7" x14ac:dyDescent="0.25">
      <c r="F7478">
        <v>7475</v>
      </c>
      <c r="G7478">
        <f ca="1">_xlfn.NORM.INV(RAND(),$M$7,$M$8)</f>
        <v>3.1774758036716907E-2</v>
      </c>
    </row>
    <row r="7479" spans="6:7" x14ac:dyDescent="0.25">
      <c r="F7479">
        <v>7476</v>
      </c>
      <c r="G7479">
        <f ca="1">_xlfn.NORM.INV(RAND(),$M$7,$M$8)</f>
        <v>1.4054913148831062E-3</v>
      </c>
    </row>
    <row r="7480" spans="6:7" x14ac:dyDescent="0.25">
      <c r="F7480">
        <v>7477</v>
      </c>
      <c r="G7480">
        <f ca="1">_xlfn.NORM.INV(RAND(),$M$7,$M$8)</f>
        <v>-4.3154786278344424E-2</v>
      </c>
    </row>
    <row r="7481" spans="6:7" x14ac:dyDescent="0.25">
      <c r="F7481">
        <v>7478</v>
      </c>
      <c r="G7481">
        <f ca="1">_xlfn.NORM.INV(RAND(),$M$7,$M$8)</f>
        <v>-1.9662990114807589E-2</v>
      </c>
    </row>
    <row r="7482" spans="6:7" x14ac:dyDescent="0.25">
      <c r="F7482">
        <v>7479</v>
      </c>
      <c r="G7482">
        <f ca="1">_xlfn.NORM.INV(RAND(),$M$7,$M$8)</f>
        <v>2.2525658235747505E-2</v>
      </c>
    </row>
    <row r="7483" spans="6:7" x14ac:dyDescent="0.25">
      <c r="F7483">
        <v>7480</v>
      </c>
      <c r="G7483">
        <f ca="1">_xlfn.NORM.INV(RAND(),$M$7,$M$8)</f>
        <v>4.9273597512230795E-2</v>
      </c>
    </row>
    <row r="7484" spans="6:7" x14ac:dyDescent="0.25">
      <c r="F7484">
        <v>7481</v>
      </c>
      <c r="G7484">
        <f ca="1">_xlfn.NORM.INV(RAND(),$M$7,$M$8)</f>
        <v>-1.3381100990972622E-2</v>
      </c>
    </row>
    <row r="7485" spans="6:7" x14ac:dyDescent="0.25">
      <c r="F7485">
        <v>7482</v>
      </c>
      <c r="G7485">
        <f ca="1">_xlfn.NORM.INV(RAND(),$M$7,$M$8)</f>
        <v>2.450863296103269E-2</v>
      </c>
    </row>
    <row r="7486" spans="6:7" x14ac:dyDescent="0.25">
      <c r="F7486">
        <v>7483</v>
      </c>
      <c r="G7486">
        <f ca="1">_xlfn.NORM.INV(RAND(),$M$7,$M$8)</f>
        <v>1.137651602461576E-3</v>
      </c>
    </row>
    <row r="7487" spans="6:7" x14ac:dyDescent="0.25">
      <c r="F7487">
        <v>7484</v>
      </c>
      <c r="G7487">
        <f ca="1">_xlfn.NORM.INV(RAND(),$M$7,$M$8)</f>
        <v>2.9609655792965976E-2</v>
      </c>
    </row>
    <row r="7488" spans="6:7" x14ac:dyDescent="0.25">
      <c r="F7488">
        <v>7485</v>
      </c>
      <c r="G7488">
        <f ca="1">_xlfn.NORM.INV(RAND(),$M$7,$M$8)</f>
        <v>1.194564060699844E-2</v>
      </c>
    </row>
    <row r="7489" spans="6:7" x14ac:dyDescent="0.25">
      <c r="F7489">
        <v>7486</v>
      </c>
      <c r="G7489">
        <f ca="1">_xlfn.NORM.INV(RAND(),$M$7,$M$8)</f>
        <v>-2.8496197728325134E-2</v>
      </c>
    </row>
    <row r="7490" spans="6:7" x14ac:dyDescent="0.25">
      <c r="F7490">
        <v>7487</v>
      </c>
      <c r="G7490">
        <f ca="1">_xlfn.NORM.INV(RAND(),$M$7,$M$8)</f>
        <v>-2.9962697563257427E-2</v>
      </c>
    </row>
    <row r="7491" spans="6:7" x14ac:dyDescent="0.25">
      <c r="F7491">
        <v>7488</v>
      </c>
      <c r="G7491">
        <f ca="1">_xlfn.NORM.INV(RAND(),$M$7,$M$8)</f>
        <v>-3.3757637150496869E-3</v>
      </c>
    </row>
    <row r="7492" spans="6:7" x14ac:dyDescent="0.25">
      <c r="F7492">
        <v>7489</v>
      </c>
      <c r="G7492">
        <f ca="1">_xlfn.NORM.INV(RAND(),$M$7,$M$8)</f>
        <v>-2.6145947504986809E-2</v>
      </c>
    </row>
    <row r="7493" spans="6:7" x14ac:dyDescent="0.25">
      <c r="F7493">
        <v>7490</v>
      </c>
      <c r="G7493">
        <f ca="1">_xlfn.NORM.INV(RAND(),$M$7,$M$8)</f>
        <v>3.0941819366767539E-2</v>
      </c>
    </row>
    <row r="7494" spans="6:7" x14ac:dyDescent="0.25">
      <c r="F7494">
        <v>7491</v>
      </c>
      <c r="G7494">
        <f ca="1">_xlfn.NORM.INV(RAND(),$M$7,$M$8)</f>
        <v>-1.0859436365393899E-2</v>
      </c>
    </row>
    <row r="7495" spans="6:7" x14ac:dyDescent="0.25">
      <c r="F7495">
        <v>7492</v>
      </c>
      <c r="G7495">
        <f ca="1">_xlfn.NORM.INV(RAND(),$M$7,$M$8)</f>
        <v>-1.2988330876128008E-2</v>
      </c>
    </row>
    <row r="7496" spans="6:7" x14ac:dyDescent="0.25">
      <c r="F7496">
        <v>7493</v>
      </c>
      <c r="G7496">
        <f ca="1">_xlfn.NORM.INV(RAND(),$M$7,$M$8)</f>
        <v>-1.6899016652877682E-2</v>
      </c>
    </row>
    <row r="7497" spans="6:7" x14ac:dyDescent="0.25">
      <c r="F7497">
        <v>7494</v>
      </c>
      <c r="G7497">
        <f ca="1">_xlfn.NORM.INV(RAND(),$M$7,$M$8)</f>
        <v>2.556886433355084E-2</v>
      </c>
    </row>
    <row r="7498" spans="6:7" x14ac:dyDescent="0.25">
      <c r="F7498">
        <v>7495</v>
      </c>
      <c r="G7498">
        <f ca="1">_xlfn.NORM.INV(RAND(),$M$7,$M$8)</f>
        <v>3.2703473115201248E-2</v>
      </c>
    </row>
    <row r="7499" spans="6:7" x14ac:dyDescent="0.25">
      <c r="F7499">
        <v>7496</v>
      </c>
      <c r="G7499">
        <f ca="1">_xlfn.NORM.INV(RAND(),$M$7,$M$8)</f>
        <v>-1.5388001097235229E-2</v>
      </c>
    </row>
    <row r="7500" spans="6:7" x14ac:dyDescent="0.25">
      <c r="F7500">
        <v>7497</v>
      </c>
      <c r="G7500">
        <f ca="1">_xlfn.NORM.INV(RAND(),$M$7,$M$8)</f>
        <v>-1.8009496363641821E-2</v>
      </c>
    </row>
    <row r="7501" spans="6:7" x14ac:dyDescent="0.25">
      <c r="F7501">
        <v>7498</v>
      </c>
      <c r="G7501">
        <f ca="1">_xlfn.NORM.INV(RAND(),$M$7,$M$8)</f>
        <v>-1.8099726249977736E-2</v>
      </c>
    </row>
    <row r="7502" spans="6:7" x14ac:dyDescent="0.25">
      <c r="F7502">
        <v>7499</v>
      </c>
      <c r="G7502">
        <f ca="1">_xlfn.NORM.INV(RAND(),$M$7,$M$8)</f>
        <v>-1.1188591552409083E-2</v>
      </c>
    </row>
    <row r="7503" spans="6:7" x14ac:dyDescent="0.25">
      <c r="F7503">
        <v>7500</v>
      </c>
      <c r="G7503">
        <f ca="1">_xlfn.NORM.INV(RAND(),$M$7,$M$8)</f>
        <v>2.7333774758855827E-2</v>
      </c>
    </row>
    <row r="7504" spans="6:7" x14ac:dyDescent="0.25">
      <c r="F7504">
        <v>7501</v>
      </c>
      <c r="G7504">
        <f ca="1">_xlfn.NORM.INV(RAND(),$M$7,$M$8)</f>
        <v>2.1804092186157968E-2</v>
      </c>
    </row>
    <row r="7505" spans="6:7" x14ac:dyDescent="0.25">
      <c r="F7505">
        <v>7502</v>
      </c>
      <c r="G7505">
        <f ca="1">_xlfn.NORM.INV(RAND(),$M$7,$M$8)</f>
        <v>-3.679784632389653E-2</v>
      </c>
    </row>
    <row r="7506" spans="6:7" x14ac:dyDescent="0.25">
      <c r="F7506">
        <v>7503</v>
      </c>
      <c r="G7506">
        <f ca="1">_xlfn.NORM.INV(RAND(),$M$7,$M$8)</f>
        <v>7.2418339441164842E-3</v>
      </c>
    </row>
    <row r="7507" spans="6:7" x14ac:dyDescent="0.25">
      <c r="F7507">
        <v>7504</v>
      </c>
      <c r="G7507">
        <f ca="1">_xlfn.NORM.INV(RAND(),$M$7,$M$8)</f>
        <v>1.985581618501369E-2</v>
      </c>
    </row>
    <row r="7508" spans="6:7" x14ac:dyDescent="0.25">
      <c r="F7508">
        <v>7505</v>
      </c>
      <c r="G7508">
        <f ca="1">_xlfn.NORM.INV(RAND(),$M$7,$M$8)</f>
        <v>1.8805396544522828E-2</v>
      </c>
    </row>
    <row r="7509" spans="6:7" x14ac:dyDescent="0.25">
      <c r="F7509">
        <v>7506</v>
      </c>
      <c r="G7509">
        <f ca="1">_xlfn.NORM.INV(RAND(),$M$7,$M$8)</f>
        <v>2.5163919628777051E-2</v>
      </c>
    </row>
    <row r="7510" spans="6:7" x14ac:dyDescent="0.25">
      <c r="F7510">
        <v>7507</v>
      </c>
      <c r="G7510">
        <f ca="1">_xlfn.NORM.INV(RAND(),$M$7,$M$8)</f>
        <v>-3.2122386231985087E-2</v>
      </c>
    </row>
    <row r="7511" spans="6:7" x14ac:dyDescent="0.25">
      <c r="F7511">
        <v>7508</v>
      </c>
      <c r="G7511">
        <f ca="1">_xlfn.NORM.INV(RAND(),$M$7,$M$8)</f>
        <v>-4.7559999270201124E-2</v>
      </c>
    </row>
    <row r="7512" spans="6:7" x14ac:dyDescent="0.25">
      <c r="F7512">
        <v>7509</v>
      </c>
      <c r="G7512">
        <f ca="1">_xlfn.NORM.INV(RAND(),$M$7,$M$8)</f>
        <v>-1.7763627101996408E-2</v>
      </c>
    </row>
    <row r="7513" spans="6:7" x14ac:dyDescent="0.25">
      <c r="F7513">
        <v>7510</v>
      </c>
      <c r="G7513">
        <f ca="1">_xlfn.NORM.INV(RAND(),$M$7,$M$8)</f>
        <v>-8.2861620163456346E-3</v>
      </c>
    </row>
    <row r="7514" spans="6:7" x14ac:dyDescent="0.25">
      <c r="F7514">
        <v>7511</v>
      </c>
      <c r="G7514">
        <f ca="1">_xlfn.NORM.INV(RAND(),$M$7,$M$8)</f>
        <v>-2.4887538552158465E-2</v>
      </c>
    </row>
    <row r="7515" spans="6:7" x14ac:dyDescent="0.25">
      <c r="F7515">
        <v>7512</v>
      </c>
      <c r="G7515">
        <f ca="1">_xlfn.NORM.INV(RAND(),$M$7,$M$8)</f>
        <v>-7.461759827275892E-3</v>
      </c>
    </row>
    <row r="7516" spans="6:7" x14ac:dyDescent="0.25">
      <c r="F7516">
        <v>7513</v>
      </c>
      <c r="G7516">
        <f ca="1">_xlfn.NORM.INV(RAND(),$M$7,$M$8)</f>
        <v>3.2191727337253444E-2</v>
      </c>
    </row>
    <row r="7517" spans="6:7" x14ac:dyDescent="0.25">
      <c r="F7517">
        <v>7514</v>
      </c>
      <c r="G7517">
        <f ca="1">_xlfn.NORM.INV(RAND(),$M$7,$M$8)</f>
        <v>-2.6365477525131142E-2</v>
      </c>
    </row>
    <row r="7518" spans="6:7" x14ac:dyDescent="0.25">
      <c r="F7518">
        <v>7515</v>
      </c>
      <c r="G7518">
        <f ca="1">_xlfn.NORM.INV(RAND(),$M$7,$M$8)</f>
        <v>-4.6604762640364124E-2</v>
      </c>
    </row>
    <row r="7519" spans="6:7" x14ac:dyDescent="0.25">
      <c r="F7519">
        <v>7516</v>
      </c>
      <c r="G7519">
        <f ca="1">_xlfn.NORM.INV(RAND(),$M$7,$M$8)</f>
        <v>2.8334985115102226E-2</v>
      </c>
    </row>
    <row r="7520" spans="6:7" x14ac:dyDescent="0.25">
      <c r="F7520">
        <v>7517</v>
      </c>
      <c r="G7520">
        <f ca="1">_xlfn.NORM.INV(RAND(),$M$7,$M$8)</f>
        <v>-3.3910042483989225E-2</v>
      </c>
    </row>
    <row r="7521" spans="6:7" x14ac:dyDescent="0.25">
      <c r="F7521">
        <v>7518</v>
      </c>
      <c r="G7521">
        <f ca="1">_xlfn.NORM.INV(RAND(),$M$7,$M$8)</f>
        <v>-1.2019393094855323E-2</v>
      </c>
    </row>
    <row r="7522" spans="6:7" x14ac:dyDescent="0.25">
      <c r="F7522">
        <v>7519</v>
      </c>
      <c r="G7522">
        <f ca="1">_xlfn.NORM.INV(RAND(),$M$7,$M$8)</f>
        <v>-8.3853106300739548E-3</v>
      </c>
    </row>
    <row r="7523" spans="6:7" x14ac:dyDescent="0.25">
      <c r="F7523">
        <v>7520</v>
      </c>
      <c r="G7523">
        <f ca="1">_xlfn.NORM.INV(RAND(),$M$7,$M$8)</f>
        <v>4.9897641613802397E-2</v>
      </c>
    </row>
    <row r="7524" spans="6:7" x14ac:dyDescent="0.25">
      <c r="F7524">
        <v>7521</v>
      </c>
      <c r="G7524">
        <f ca="1">_xlfn.NORM.INV(RAND(),$M$7,$M$8)</f>
        <v>-9.2670156804200814E-3</v>
      </c>
    </row>
    <row r="7525" spans="6:7" x14ac:dyDescent="0.25">
      <c r="F7525">
        <v>7522</v>
      </c>
      <c r="G7525">
        <f ca="1">_xlfn.NORM.INV(RAND(),$M$7,$M$8)</f>
        <v>-1.6097896862780842E-3</v>
      </c>
    </row>
    <row r="7526" spans="6:7" x14ac:dyDescent="0.25">
      <c r="F7526">
        <v>7523</v>
      </c>
      <c r="G7526">
        <f ca="1">_xlfn.NORM.INV(RAND(),$M$7,$M$8)</f>
        <v>-2.2857788170265254E-2</v>
      </c>
    </row>
    <row r="7527" spans="6:7" x14ac:dyDescent="0.25">
      <c r="F7527">
        <v>7524</v>
      </c>
      <c r="G7527">
        <f ca="1">_xlfn.NORM.INV(RAND(),$M$7,$M$8)</f>
        <v>1.0929545634723788E-2</v>
      </c>
    </row>
    <row r="7528" spans="6:7" x14ac:dyDescent="0.25">
      <c r="F7528">
        <v>7525</v>
      </c>
      <c r="G7528">
        <f ca="1">_xlfn.NORM.INV(RAND(),$M$7,$M$8)</f>
        <v>3.2578979287372682E-2</v>
      </c>
    </row>
    <row r="7529" spans="6:7" x14ac:dyDescent="0.25">
      <c r="F7529">
        <v>7526</v>
      </c>
      <c r="G7529">
        <f ca="1">_xlfn.NORM.INV(RAND(),$M$7,$M$8)</f>
        <v>-5.5259115776029766E-2</v>
      </c>
    </row>
    <row r="7530" spans="6:7" x14ac:dyDescent="0.25">
      <c r="F7530">
        <v>7527</v>
      </c>
      <c r="G7530">
        <f ca="1">_xlfn.NORM.INV(RAND(),$M$7,$M$8)</f>
        <v>-6.295675945179182E-3</v>
      </c>
    </row>
    <row r="7531" spans="6:7" x14ac:dyDescent="0.25">
      <c r="F7531">
        <v>7528</v>
      </c>
      <c r="G7531">
        <f ca="1">_xlfn.NORM.INV(RAND(),$M$7,$M$8)</f>
        <v>1.0295975330055546E-2</v>
      </c>
    </row>
    <row r="7532" spans="6:7" x14ac:dyDescent="0.25">
      <c r="F7532">
        <v>7529</v>
      </c>
      <c r="G7532">
        <f ca="1">_xlfn.NORM.INV(RAND(),$M$7,$M$8)</f>
        <v>6.4889803316643679E-3</v>
      </c>
    </row>
    <row r="7533" spans="6:7" x14ac:dyDescent="0.25">
      <c r="F7533">
        <v>7530</v>
      </c>
      <c r="G7533">
        <f ca="1">_xlfn.NORM.INV(RAND(),$M$7,$M$8)</f>
        <v>-5.4541874008051015E-2</v>
      </c>
    </row>
    <row r="7534" spans="6:7" x14ac:dyDescent="0.25">
      <c r="F7534">
        <v>7531</v>
      </c>
      <c r="G7534">
        <f ca="1">_xlfn.NORM.INV(RAND(),$M$7,$M$8)</f>
        <v>-2.6929645633449954E-2</v>
      </c>
    </row>
    <row r="7535" spans="6:7" x14ac:dyDescent="0.25">
      <c r="F7535">
        <v>7532</v>
      </c>
      <c r="G7535">
        <f ca="1">_xlfn.NORM.INV(RAND(),$M$7,$M$8)</f>
        <v>2.8031066611791763E-2</v>
      </c>
    </row>
    <row r="7536" spans="6:7" x14ac:dyDescent="0.25">
      <c r="F7536">
        <v>7533</v>
      </c>
      <c r="G7536">
        <f ca="1">_xlfn.NORM.INV(RAND(),$M$7,$M$8)</f>
        <v>-2.5850429776752164E-2</v>
      </c>
    </row>
    <row r="7537" spans="6:7" x14ac:dyDescent="0.25">
      <c r="F7537">
        <v>7534</v>
      </c>
      <c r="G7537">
        <f ca="1">_xlfn.NORM.INV(RAND(),$M$7,$M$8)</f>
        <v>1.1515002597657939E-2</v>
      </c>
    </row>
    <row r="7538" spans="6:7" x14ac:dyDescent="0.25">
      <c r="F7538">
        <v>7535</v>
      </c>
      <c r="G7538">
        <f ca="1">_xlfn.NORM.INV(RAND(),$M$7,$M$8)</f>
        <v>1.4966511477331525E-2</v>
      </c>
    </row>
    <row r="7539" spans="6:7" x14ac:dyDescent="0.25">
      <c r="F7539">
        <v>7536</v>
      </c>
      <c r="G7539">
        <f ca="1">_xlfn.NORM.INV(RAND(),$M$7,$M$8)</f>
        <v>2.9914325185120194E-3</v>
      </c>
    </row>
    <row r="7540" spans="6:7" x14ac:dyDescent="0.25">
      <c r="F7540">
        <v>7537</v>
      </c>
      <c r="G7540">
        <f ca="1">_xlfn.NORM.INV(RAND(),$M$7,$M$8)</f>
        <v>-5.9976642183737425E-3</v>
      </c>
    </row>
    <row r="7541" spans="6:7" x14ac:dyDescent="0.25">
      <c r="F7541">
        <v>7538</v>
      </c>
      <c r="G7541">
        <f ca="1">_xlfn.NORM.INV(RAND(),$M$7,$M$8)</f>
        <v>-6.2297873174506791E-3</v>
      </c>
    </row>
    <row r="7542" spans="6:7" x14ac:dyDescent="0.25">
      <c r="F7542">
        <v>7539</v>
      </c>
      <c r="G7542">
        <f ca="1">_xlfn.NORM.INV(RAND(),$M$7,$M$8)</f>
        <v>-2.7955489428794555E-2</v>
      </c>
    </row>
    <row r="7543" spans="6:7" x14ac:dyDescent="0.25">
      <c r="F7543">
        <v>7540</v>
      </c>
      <c r="G7543">
        <f ca="1">_xlfn.NORM.INV(RAND(),$M$7,$M$8)</f>
        <v>-7.4585711483334659E-3</v>
      </c>
    </row>
    <row r="7544" spans="6:7" x14ac:dyDescent="0.25">
      <c r="F7544">
        <v>7541</v>
      </c>
      <c r="G7544">
        <f ca="1">_xlfn.NORM.INV(RAND(),$M$7,$M$8)</f>
        <v>-3.5259634039538974E-2</v>
      </c>
    </row>
    <row r="7545" spans="6:7" x14ac:dyDescent="0.25">
      <c r="F7545">
        <v>7542</v>
      </c>
      <c r="G7545">
        <f ca="1">_xlfn.NORM.INV(RAND(),$M$7,$M$8)</f>
        <v>1.1992655826176004E-2</v>
      </c>
    </row>
    <row r="7546" spans="6:7" x14ac:dyDescent="0.25">
      <c r="F7546">
        <v>7543</v>
      </c>
      <c r="G7546">
        <f ca="1">_xlfn.NORM.INV(RAND(),$M$7,$M$8)</f>
        <v>1.1000587849540902E-2</v>
      </c>
    </row>
    <row r="7547" spans="6:7" x14ac:dyDescent="0.25">
      <c r="F7547">
        <v>7544</v>
      </c>
      <c r="G7547">
        <f ca="1">_xlfn.NORM.INV(RAND(),$M$7,$M$8)</f>
        <v>2.3804729031079195E-2</v>
      </c>
    </row>
    <row r="7548" spans="6:7" x14ac:dyDescent="0.25">
      <c r="F7548">
        <v>7545</v>
      </c>
      <c r="G7548">
        <f ca="1">_xlfn.NORM.INV(RAND(),$M$7,$M$8)</f>
        <v>3.2351268760449359E-2</v>
      </c>
    </row>
    <row r="7549" spans="6:7" x14ac:dyDescent="0.25">
      <c r="F7549">
        <v>7546</v>
      </c>
      <c r="G7549">
        <f ca="1">_xlfn.NORM.INV(RAND(),$M$7,$M$8)</f>
        <v>6.3729648139081805E-3</v>
      </c>
    </row>
    <row r="7550" spans="6:7" x14ac:dyDescent="0.25">
      <c r="F7550">
        <v>7547</v>
      </c>
      <c r="G7550">
        <f ca="1">_xlfn.NORM.INV(RAND(),$M$7,$M$8)</f>
        <v>3.9614569517492232E-3</v>
      </c>
    </row>
    <row r="7551" spans="6:7" x14ac:dyDescent="0.25">
      <c r="F7551">
        <v>7548</v>
      </c>
      <c r="G7551">
        <f ca="1">_xlfn.NORM.INV(RAND(),$M$7,$M$8)</f>
        <v>-4.197352821550912E-3</v>
      </c>
    </row>
    <row r="7552" spans="6:7" x14ac:dyDescent="0.25">
      <c r="F7552">
        <v>7549</v>
      </c>
      <c r="G7552">
        <f ca="1">_xlfn.NORM.INV(RAND(),$M$7,$M$8)</f>
        <v>-1.3911866721373484E-2</v>
      </c>
    </row>
    <row r="7553" spans="6:7" x14ac:dyDescent="0.25">
      <c r="F7553">
        <v>7550</v>
      </c>
      <c r="G7553">
        <f ca="1">_xlfn.NORM.INV(RAND(),$M$7,$M$8)</f>
        <v>3.5019966577695349E-2</v>
      </c>
    </row>
    <row r="7554" spans="6:7" x14ac:dyDescent="0.25">
      <c r="F7554">
        <v>7551</v>
      </c>
      <c r="G7554">
        <f ca="1">_xlfn.NORM.INV(RAND(),$M$7,$M$8)</f>
        <v>5.0423076761106286E-3</v>
      </c>
    </row>
    <row r="7555" spans="6:7" x14ac:dyDescent="0.25">
      <c r="F7555">
        <v>7552</v>
      </c>
      <c r="G7555">
        <f ca="1">_xlfn.NORM.INV(RAND(),$M$7,$M$8)</f>
        <v>4.2217858082329002E-2</v>
      </c>
    </row>
    <row r="7556" spans="6:7" x14ac:dyDescent="0.25">
      <c r="F7556">
        <v>7553</v>
      </c>
      <c r="G7556">
        <f ca="1">_xlfn.NORM.INV(RAND(),$M$7,$M$8)</f>
        <v>2.6301619062168973E-3</v>
      </c>
    </row>
    <row r="7557" spans="6:7" x14ac:dyDescent="0.25">
      <c r="F7557">
        <v>7554</v>
      </c>
      <c r="G7557">
        <f ca="1">_xlfn.NORM.INV(RAND(),$M$7,$M$8)</f>
        <v>-8.9186492308725076E-3</v>
      </c>
    </row>
    <row r="7558" spans="6:7" x14ac:dyDescent="0.25">
      <c r="F7558">
        <v>7555</v>
      </c>
      <c r="G7558">
        <f ca="1">_xlfn.NORM.INV(RAND(),$M$7,$M$8)</f>
        <v>-3.1601786833414053E-2</v>
      </c>
    </row>
    <row r="7559" spans="6:7" x14ac:dyDescent="0.25">
      <c r="F7559">
        <v>7556</v>
      </c>
      <c r="G7559">
        <f ca="1">_xlfn.NORM.INV(RAND(),$M$7,$M$8)</f>
        <v>-2.4351696577551386E-3</v>
      </c>
    </row>
    <row r="7560" spans="6:7" x14ac:dyDescent="0.25">
      <c r="F7560">
        <v>7557</v>
      </c>
      <c r="G7560">
        <f ca="1">_xlfn.NORM.INV(RAND(),$M$7,$M$8)</f>
        <v>5.0822516272724548E-4</v>
      </c>
    </row>
    <row r="7561" spans="6:7" x14ac:dyDescent="0.25">
      <c r="F7561">
        <v>7558</v>
      </c>
      <c r="G7561">
        <f ca="1">_xlfn.NORM.INV(RAND(),$M$7,$M$8)</f>
        <v>6.8487173077319309E-3</v>
      </c>
    </row>
    <row r="7562" spans="6:7" x14ac:dyDescent="0.25">
      <c r="F7562">
        <v>7559</v>
      </c>
      <c r="G7562">
        <f ca="1">_xlfn.NORM.INV(RAND(),$M$7,$M$8)</f>
        <v>6.3667921401713672E-3</v>
      </c>
    </row>
    <row r="7563" spans="6:7" x14ac:dyDescent="0.25">
      <c r="F7563">
        <v>7560</v>
      </c>
      <c r="G7563">
        <f ca="1">_xlfn.NORM.INV(RAND(),$M$7,$M$8)</f>
        <v>-2.7861325292215511E-2</v>
      </c>
    </row>
    <row r="7564" spans="6:7" x14ac:dyDescent="0.25">
      <c r="F7564">
        <v>7561</v>
      </c>
      <c r="G7564">
        <f ca="1">_xlfn.NORM.INV(RAND(),$M$7,$M$8)</f>
        <v>-1.8310944160224846E-2</v>
      </c>
    </row>
    <row r="7565" spans="6:7" x14ac:dyDescent="0.25">
      <c r="F7565">
        <v>7562</v>
      </c>
      <c r="G7565">
        <f ca="1">_xlfn.NORM.INV(RAND(),$M$7,$M$8)</f>
        <v>2.2446164791360208E-2</v>
      </c>
    </row>
    <row r="7566" spans="6:7" x14ac:dyDescent="0.25">
      <c r="F7566">
        <v>7563</v>
      </c>
      <c r="G7566">
        <f ca="1">_xlfn.NORM.INV(RAND(),$M$7,$M$8)</f>
        <v>-3.8370242577079818E-3</v>
      </c>
    </row>
    <row r="7567" spans="6:7" x14ac:dyDescent="0.25">
      <c r="F7567">
        <v>7564</v>
      </c>
      <c r="G7567">
        <f ca="1">_xlfn.NORM.INV(RAND(),$M$7,$M$8)</f>
        <v>-1.2160807822303651E-2</v>
      </c>
    </row>
    <row r="7568" spans="6:7" x14ac:dyDescent="0.25">
      <c r="F7568">
        <v>7565</v>
      </c>
      <c r="G7568">
        <f ca="1">_xlfn.NORM.INV(RAND(),$M$7,$M$8)</f>
        <v>-3.6010457199497782E-2</v>
      </c>
    </row>
    <row r="7569" spans="6:7" x14ac:dyDescent="0.25">
      <c r="F7569">
        <v>7566</v>
      </c>
      <c r="G7569">
        <f ca="1">_xlfn.NORM.INV(RAND(),$M$7,$M$8)</f>
        <v>-3.6083591536990374E-2</v>
      </c>
    </row>
    <row r="7570" spans="6:7" x14ac:dyDescent="0.25">
      <c r="F7570">
        <v>7567</v>
      </c>
      <c r="G7570">
        <f ca="1">_xlfn.NORM.INV(RAND(),$M$7,$M$8)</f>
        <v>-1.462290367500888E-2</v>
      </c>
    </row>
    <row r="7571" spans="6:7" x14ac:dyDescent="0.25">
      <c r="F7571">
        <v>7568</v>
      </c>
      <c r="G7571">
        <f ca="1">_xlfn.NORM.INV(RAND(),$M$7,$M$8)</f>
        <v>-1.128611075440402E-3</v>
      </c>
    </row>
    <row r="7572" spans="6:7" x14ac:dyDescent="0.25">
      <c r="F7572">
        <v>7569</v>
      </c>
      <c r="G7572">
        <f ca="1">_xlfn.NORM.INV(RAND(),$M$7,$M$8)</f>
        <v>-2.4284637543080082E-2</v>
      </c>
    </row>
    <row r="7573" spans="6:7" x14ac:dyDescent="0.25">
      <c r="F7573">
        <v>7570</v>
      </c>
      <c r="G7573">
        <f ca="1">_xlfn.NORM.INV(RAND(),$M$7,$M$8)</f>
        <v>1.0241424021344005E-2</v>
      </c>
    </row>
    <row r="7574" spans="6:7" x14ac:dyDescent="0.25">
      <c r="F7574">
        <v>7571</v>
      </c>
      <c r="G7574">
        <f ca="1">_xlfn.NORM.INV(RAND(),$M$7,$M$8)</f>
        <v>5.3505202218548695E-2</v>
      </c>
    </row>
    <row r="7575" spans="6:7" x14ac:dyDescent="0.25">
      <c r="F7575">
        <v>7572</v>
      </c>
      <c r="G7575">
        <f ca="1">_xlfn.NORM.INV(RAND(),$M$7,$M$8)</f>
        <v>-3.1012232177135032E-3</v>
      </c>
    </row>
    <row r="7576" spans="6:7" x14ac:dyDescent="0.25">
      <c r="F7576">
        <v>7573</v>
      </c>
      <c r="G7576">
        <f ca="1">_xlfn.NORM.INV(RAND(),$M$7,$M$8)</f>
        <v>-1.6723467296499803E-2</v>
      </c>
    </row>
    <row r="7577" spans="6:7" x14ac:dyDescent="0.25">
      <c r="F7577">
        <v>7574</v>
      </c>
      <c r="G7577">
        <f ca="1">_xlfn.NORM.INV(RAND(),$M$7,$M$8)</f>
        <v>1.5714028990236467E-2</v>
      </c>
    </row>
    <row r="7578" spans="6:7" x14ac:dyDescent="0.25">
      <c r="F7578">
        <v>7575</v>
      </c>
      <c r="G7578">
        <f ca="1">_xlfn.NORM.INV(RAND(),$M$7,$M$8)</f>
        <v>2.1311932993827679E-2</v>
      </c>
    </row>
    <row r="7579" spans="6:7" x14ac:dyDescent="0.25">
      <c r="F7579">
        <v>7576</v>
      </c>
      <c r="G7579">
        <f ca="1">_xlfn.NORM.INV(RAND(),$M$7,$M$8)</f>
        <v>-1.9290453364737836E-2</v>
      </c>
    </row>
    <row r="7580" spans="6:7" x14ac:dyDescent="0.25">
      <c r="F7580">
        <v>7577</v>
      </c>
      <c r="G7580">
        <f ca="1">_xlfn.NORM.INV(RAND(),$M$7,$M$8)</f>
        <v>7.7227054995415417E-3</v>
      </c>
    </row>
    <row r="7581" spans="6:7" x14ac:dyDescent="0.25">
      <c r="F7581">
        <v>7578</v>
      </c>
      <c r="G7581">
        <f ca="1">_xlfn.NORM.INV(RAND(),$M$7,$M$8)</f>
        <v>-2.3896851626175466E-2</v>
      </c>
    </row>
    <row r="7582" spans="6:7" x14ac:dyDescent="0.25">
      <c r="F7582">
        <v>7579</v>
      </c>
      <c r="G7582">
        <f ca="1">_xlfn.NORM.INV(RAND(),$M$7,$M$8)</f>
        <v>4.1470981959677314E-2</v>
      </c>
    </row>
    <row r="7583" spans="6:7" x14ac:dyDescent="0.25">
      <c r="F7583">
        <v>7580</v>
      </c>
      <c r="G7583">
        <f ca="1">_xlfn.NORM.INV(RAND(),$M$7,$M$8)</f>
        <v>2.6507678243083716E-2</v>
      </c>
    </row>
    <row r="7584" spans="6:7" x14ac:dyDescent="0.25">
      <c r="F7584">
        <v>7581</v>
      </c>
      <c r="G7584">
        <f ca="1">_xlfn.NORM.INV(RAND(),$M$7,$M$8)</f>
        <v>9.484473904049974E-3</v>
      </c>
    </row>
    <row r="7585" spans="6:7" x14ac:dyDescent="0.25">
      <c r="F7585">
        <v>7582</v>
      </c>
      <c r="G7585">
        <f ca="1">_xlfn.NORM.INV(RAND(),$M$7,$M$8)</f>
        <v>1.237924963241286E-2</v>
      </c>
    </row>
    <row r="7586" spans="6:7" x14ac:dyDescent="0.25">
      <c r="F7586">
        <v>7583</v>
      </c>
      <c r="G7586">
        <f ca="1">_xlfn.NORM.INV(RAND(),$M$7,$M$8)</f>
        <v>1.3047885387298534E-2</v>
      </c>
    </row>
    <row r="7587" spans="6:7" x14ac:dyDescent="0.25">
      <c r="F7587">
        <v>7584</v>
      </c>
      <c r="G7587">
        <f ca="1">_xlfn.NORM.INV(RAND(),$M$7,$M$8)</f>
        <v>-6.7500996690787068E-4</v>
      </c>
    </row>
    <row r="7588" spans="6:7" x14ac:dyDescent="0.25">
      <c r="F7588">
        <v>7585</v>
      </c>
      <c r="G7588">
        <f ca="1">_xlfn.NORM.INV(RAND(),$M$7,$M$8)</f>
        <v>2.5539000330087422E-2</v>
      </c>
    </row>
    <row r="7589" spans="6:7" x14ac:dyDescent="0.25">
      <c r="F7589">
        <v>7586</v>
      </c>
      <c r="G7589">
        <f ca="1">_xlfn.NORM.INV(RAND(),$M$7,$M$8)</f>
        <v>-1.9377007741587824E-2</v>
      </c>
    </row>
    <row r="7590" spans="6:7" x14ac:dyDescent="0.25">
      <c r="F7590">
        <v>7587</v>
      </c>
      <c r="G7590">
        <f ca="1">_xlfn.NORM.INV(RAND(),$M$7,$M$8)</f>
        <v>-1.0347226845275951E-2</v>
      </c>
    </row>
    <row r="7591" spans="6:7" x14ac:dyDescent="0.25">
      <c r="F7591">
        <v>7588</v>
      </c>
      <c r="G7591">
        <f ca="1">_xlfn.NORM.INV(RAND(),$M$7,$M$8)</f>
        <v>2.6146705582902455E-2</v>
      </c>
    </row>
    <row r="7592" spans="6:7" x14ac:dyDescent="0.25">
      <c r="F7592">
        <v>7589</v>
      </c>
      <c r="G7592">
        <f ca="1">_xlfn.NORM.INV(RAND(),$M$7,$M$8)</f>
        <v>-3.7399861093160229E-2</v>
      </c>
    </row>
    <row r="7593" spans="6:7" x14ac:dyDescent="0.25">
      <c r="F7593">
        <v>7590</v>
      </c>
      <c r="G7593">
        <f ca="1">_xlfn.NORM.INV(RAND(),$M$7,$M$8)</f>
        <v>1.6638218410992923E-2</v>
      </c>
    </row>
    <row r="7594" spans="6:7" x14ac:dyDescent="0.25">
      <c r="F7594">
        <v>7591</v>
      </c>
      <c r="G7594">
        <f ca="1">_xlfn.NORM.INV(RAND(),$M$7,$M$8)</f>
        <v>2.1755180430924705E-2</v>
      </c>
    </row>
    <row r="7595" spans="6:7" x14ac:dyDescent="0.25">
      <c r="F7595">
        <v>7592</v>
      </c>
      <c r="G7595">
        <f ca="1">_xlfn.NORM.INV(RAND(),$M$7,$M$8)</f>
        <v>-1.2688774037251774E-2</v>
      </c>
    </row>
    <row r="7596" spans="6:7" x14ac:dyDescent="0.25">
      <c r="F7596">
        <v>7593</v>
      </c>
      <c r="G7596">
        <f ca="1">_xlfn.NORM.INV(RAND(),$M$7,$M$8)</f>
        <v>-2.6140325505901039E-2</v>
      </c>
    </row>
    <row r="7597" spans="6:7" x14ac:dyDescent="0.25">
      <c r="F7597">
        <v>7594</v>
      </c>
      <c r="G7597">
        <f ca="1">_xlfn.NORM.INV(RAND(),$M$7,$M$8)</f>
        <v>1.7389063527120024E-2</v>
      </c>
    </row>
    <row r="7598" spans="6:7" x14ac:dyDescent="0.25">
      <c r="F7598">
        <v>7595</v>
      </c>
      <c r="G7598">
        <f ca="1">_xlfn.NORM.INV(RAND(),$M$7,$M$8)</f>
        <v>5.211133772421965E-2</v>
      </c>
    </row>
    <row r="7599" spans="6:7" x14ac:dyDescent="0.25">
      <c r="F7599">
        <v>7596</v>
      </c>
      <c r="G7599">
        <f ca="1">_xlfn.NORM.INV(RAND(),$M$7,$M$8)</f>
        <v>-7.8485815826932048E-3</v>
      </c>
    </row>
    <row r="7600" spans="6:7" x14ac:dyDescent="0.25">
      <c r="F7600">
        <v>7597</v>
      </c>
      <c r="G7600">
        <f ca="1">_xlfn.NORM.INV(RAND(),$M$7,$M$8)</f>
        <v>-1.3178802611073832E-2</v>
      </c>
    </row>
    <row r="7601" spans="6:7" x14ac:dyDescent="0.25">
      <c r="F7601">
        <v>7598</v>
      </c>
      <c r="G7601">
        <f ca="1">_xlfn.NORM.INV(RAND(),$M$7,$M$8)</f>
        <v>-3.1050350462424937E-3</v>
      </c>
    </row>
    <row r="7602" spans="6:7" x14ac:dyDescent="0.25">
      <c r="F7602">
        <v>7599</v>
      </c>
      <c r="G7602">
        <f ca="1">_xlfn.NORM.INV(RAND(),$M$7,$M$8)</f>
        <v>-2.8339655974232023E-2</v>
      </c>
    </row>
    <row r="7603" spans="6:7" x14ac:dyDescent="0.25">
      <c r="F7603">
        <v>7600</v>
      </c>
      <c r="G7603">
        <f ca="1">_xlfn.NORM.INV(RAND(),$M$7,$M$8)</f>
        <v>1.4904348044156402E-2</v>
      </c>
    </row>
    <row r="7604" spans="6:7" x14ac:dyDescent="0.25">
      <c r="F7604">
        <v>7601</v>
      </c>
      <c r="G7604">
        <f ca="1">_xlfn.NORM.INV(RAND(),$M$7,$M$8)</f>
        <v>-1.7822129379250061E-2</v>
      </c>
    </row>
    <row r="7605" spans="6:7" x14ac:dyDescent="0.25">
      <c r="F7605">
        <v>7602</v>
      </c>
      <c r="G7605">
        <f ca="1">_xlfn.NORM.INV(RAND(),$M$7,$M$8)</f>
        <v>-1.0083009120650677E-2</v>
      </c>
    </row>
    <row r="7606" spans="6:7" x14ac:dyDescent="0.25">
      <c r="F7606">
        <v>7603</v>
      </c>
      <c r="G7606">
        <f ca="1">_xlfn.NORM.INV(RAND(),$M$7,$M$8)</f>
        <v>3.745144425739174E-2</v>
      </c>
    </row>
    <row r="7607" spans="6:7" x14ac:dyDescent="0.25">
      <c r="F7607">
        <v>7604</v>
      </c>
      <c r="G7607">
        <f ca="1">_xlfn.NORM.INV(RAND(),$M$7,$M$8)</f>
        <v>-2.3152531514656929E-2</v>
      </c>
    </row>
    <row r="7608" spans="6:7" x14ac:dyDescent="0.25">
      <c r="F7608">
        <v>7605</v>
      </c>
      <c r="G7608">
        <f ca="1">_xlfn.NORM.INV(RAND(),$M$7,$M$8)</f>
        <v>-6.7087000138820064E-3</v>
      </c>
    </row>
    <row r="7609" spans="6:7" x14ac:dyDescent="0.25">
      <c r="F7609">
        <v>7606</v>
      </c>
      <c r="G7609">
        <f ca="1">_xlfn.NORM.INV(RAND(),$M$7,$M$8)</f>
        <v>8.9619639591125289E-3</v>
      </c>
    </row>
    <row r="7610" spans="6:7" x14ac:dyDescent="0.25">
      <c r="F7610">
        <v>7607</v>
      </c>
      <c r="G7610">
        <f ca="1">_xlfn.NORM.INV(RAND(),$M$7,$M$8)</f>
        <v>-8.9578560254424851E-3</v>
      </c>
    </row>
    <row r="7611" spans="6:7" x14ac:dyDescent="0.25">
      <c r="F7611">
        <v>7608</v>
      </c>
      <c r="G7611">
        <f ca="1">_xlfn.NORM.INV(RAND(),$M$7,$M$8)</f>
        <v>4.2049302208672257E-2</v>
      </c>
    </row>
    <row r="7612" spans="6:7" x14ac:dyDescent="0.25">
      <c r="F7612">
        <v>7609</v>
      </c>
      <c r="G7612">
        <f ca="1">_xlfn.NORM.INV(RAND(),$M$7,$M$8)</f>
        <v>-3.7279776801110646E-3</v>
      </c>
    </row>
    <row r="7613" spans="6:7" x14ac:dyDescent="0.25">
      <c r="F7613">
        <v>7610</v>
      </c>
      <c r="G7613">
        <f ca="1">_xlfn.NORM.INV(RAND(),$M$7,$M$8)</f>
        <v>1.9189877100994922E-2</v>
      </c>
    </row>
    <row r="7614" spans="6:7" x14ac:dyDescent="0.25">
      <c r="F7614">
        <v>7611</v>
      </c>
      <c r="G7614">
        <f ca="1">_xlfn.NORM.INV(RAND(),$M$7,$M$8)</f>
        <v>-2.4681885462666968E-2</v>
      </c>
    </row>
    <row r="7615" spans="6:7" x14ac:dyDescent="0.25">
      <c r="F7615">
        <v>7612</v>
      </c>
      <c r="G7615">
        <f ca="1">_xlfn.NORM.INV(RAND(),$M$7,$M$8)</f>
        <v>1.7062633194592055E-2</v>
      </c>
    </row>
    <row r="7616" spans="6:7" x14ac:dyDescent="0.25">
      <c r="F7616">
        <v>7613</v>
      </c>
      <c r="G7616">
        <f ca="1">_xlfn.NORM.INV(RAND(),$M$7,$M$8)</f>
        <v>2.4917726852726921E-2</v>
      </c>
    </row>
    <row r="7617" spans="6:7" x14ac:dyDescent="0.25">
      <c r="F7617">
        <v>7614</v>
      </c>
      <c r="G7617">
        <f ca="1">_xlfn.NORM.INV(RAND(),$M$7,$M$8)</f>
        <v>1.0809442486898708E-2</v>
      </c>
    </row>
    <row r="7618" spans="6:7" x14ac:dyDescent="0.25">
      <c r="F7618">
        <v>7615</v>
      </c>
      <c r="G7618">
        <f ca="1">_xlfn.NORM.INV(RAND(),$M$7,$M$8)</f>
        <v>2.1254076026557017E-2</v>
      </c>
    </row>
    <row r="7619" spans="6:7" x14ac:dyDescent="0.25">
      <c r="F7619">
        <v>7616</v>
      </c>
      <c r="G7619">
        <f ca="1">_xlfn.NORM.INV(RAND(),$M$7,$M$8)</f>
        <v>-4.1985840619289901E-2</v>
      </c>
    </row>
    <row r="7620" spans="6:7" x14ac:dyDescent="0.25">
      <c r="F7620">
        <v>7617</v>
      </c>
      <c r="G7620">
        <f ca="1">_xlfn.NORM.INV(RAND(),$M$7,$M$8)</f>
        <v>1.2844476745027013E-2</v>
      </c>
    </row>
    <row r="7621" spans="6:7" x14ac:dyDescent="0.25">
      <c r="F7621">
        <v>7618</v>
      </c>
      <c r="G7621">
        <f ca="1">_xlfn.NORM.INV(RAND(),$M$7,$M$8)</f>
        <v>-1.212148787908959E-2</v>
      </c>
    </row>
    <row r="7622" spans="6:7" x14ac:dyDescent="0.25">
      <c r="F7622">
        <v>7619</v>
      </c>
      <c r="G7622">
        <f ca="1">_xlfn.NORM.INV(RAND(),$M$7,$M$8)</f>
        <v>1.6996207106698948E-2</v>
      </c>
    </row>
    <row r="7623" spans="6:7" x14ac:dyDescent="0.25">
      <c r="F7623">
        <v>7620</v>
      </c>
      <c r="G7623">
        <f ca="1">_xlfn.NORM.INV(RAND(),$M$7,$M$8)</f>
        <v>3.4114354683930918E-2</v>
      </c>
    </row>
    <row r="7624" spans="6:7" x14ac:dyDescent="0.25">
      <c r="F7624">
        <v>7621</v>
      </c>
      <c r="G7624">
        <f ca="1">_xlfn.NORM.INV(RAND(),$M$7,$M$8)</f>
        <v>2.1756823044445799E-2</v>
      </c>
    </row>
    <row r="7625" spans="6:7" x14ac:dyDescent="0.25">
      <c r="F7625">
        <v>7622</v>
      </c>
      <c r="G7625">
        <f ca="1">_xlfn.NORM.INV(RAND(),$M$7,$M$8)</f>
        <v>-1.1731112279350071E-2</v>
      </c>
    </row>
    <row r="7626" spans="6:7" x14ac:dyDescent="0.25">
      <c r="F7626">
        <v>7623</v>
      </c>
      <c r="G7626">
        <f ca="1">_xlfn.NORM.INV(RAND(),$M$7,$M$8)</f>
        <v>8.9492744315158319E-3</v>
      </c>
    </row>
    <row r="7627" spans="6:7" x14ac:dyDescent="0.25">
      <c r="F7627">
        <v>7624</v>
      </c>
      <c r="G7627">
        <f ca="1">_xlfn.NORM.INV(RAND(),$M$7,$M$8)</f>
        <v>1.6476472900562252E-2</v>
      </c>
    </row>
    <row r="7628" spans="6:7" x14ac:dyDescent="0.25">
      <c r="F7628">
        <v>7625</v>
      </c>
      <c r="G7628">
        <f ca="1">_xlfn.NORM.INV(RAND(),$M$7,$M$8)</f>
        <v>-1.7498276136362564E-2</v>
      </c>
    </row>
    <row r="7629" spans="6:7" x14ac:dyDescent="0.25">
      <c r="F7629">
        <v>7626</v>
      </c>
      <c r="G7629">
        <f ca="1">_xlfn.NORM.INV(RAND(),$M$7,$M$8)</f>
        <v>-3.369362264127624E-2</v>
      </c>
    </row>
    <row r="7630" spans="6:7" x14ac:dyDescent="0.25">
      <c r="F7630">
        <v>7627</v>
      </c>
      <c r="G7630">
        <f ca="1">_xlfn.NORM.INV(RAND(),$M$7,$M$8)</f>
        <v>-4.1186024810059146E-3</v>
      </c>
    </row>
    <row r="7631" spans="6:7" x14ac:dyDescent="0.25">
      <c r="F7631">
        <v>7628</v>
      </c>
      <c r="G7631">
        <f ca="1">_xlfn.NORM.INV(RAND(),$M$7,$M$8)</f>
        <v>-3.4122867269309911E-3</v>
      </c>
    </row>
    <row r="7632" spans="6:7" x14ac:dyDescent="0.25">
      <c r="F7632">
        <v>7629</v>
      </c>
      <c r="G7632">
        <f ca="1">_xlfn.NORM.INV(RAND(),$M$7,$M$8)</f>
        <v>4.5574483937212973E-2</v>
      </c>
    </row>
    <row r="7633" spans="6:7" x14ac:dyDescent="0.25">
      <c r="F7633">
        <v>7630</v>
      </c>
      <c r="G7633">
        <f ca="1">_xlfn.NORM.INV(RAND(),$M$7,$M$8)</f>
        <v>-1.8767248610718545E-2</v>
      </c>
    </row>
    <row r="7634" spans="6:7" x14ac:dyDescent="0.25">
      <c r="F7634">
        <v>7631</v>
      </c>
      <c r="G7634">
        <f ca="1">_xlfn.NORM.INV(RAND(),$M$7,$M$8)</f>
        <v>1.1550190995376184E-2</v>
      </c>
    </row>
    <row r="7635" spans="6:7" x14ac:dyDescent="0.25">
      <c r="F7635">
        <v>7632</v>
      </c>
      <c r="G7635">
        <f ca="1">_xlfn.NORM.INV(RAND(),$M$7,$M$8)</f>
        <v>1.2985042837976254E-3</v>
      </c>
    </row>
    <row r="7636" spans="6:7" x14ac:dyDescent="0.25">
      <c r="F7636">
        <v>7633</v>
      </c>
      <c r="G7636">
        <f ca="1">_xlfn.NORM.INV(RAND(),$M$7,$M$8)</f>
        <v>1.3598887522097184E-2</v>
      </c>
    </row>
    <row r="7637" spans="6:7" x14ac:dyDescent="0.25">
      <c r="F7637">
        <v>7634</v>
      </c>
      <c r="G7637">
        <f ca="1">_xlfn.NORM.INV(RAND(),$M$7,$M$8)</f>
        <v>1.287413777552141E-3</v>
      </c>
    </row>
    <row r="7638" spans="6:7" x14ac:dyDescent="0.25">
      <c r="F7638">
        <v>7635</v>
      </c>
      <c r="G7638">
        <f ca="1">_xlfn.NORM.INV(RAND(),$M$7,$M$8)</f>
        <v>1.6797722250222406E-2</v>
      </c>
    </row>
    <row r="7639" spans="6:7" x14ac:dyDescent="0.25">
      <c r="F7639">
        <v>7636</v>
      </c>
      <c r="G7639">
        <f ca="1">_xlfn.NORM.INV(RAND(),$M$7,$M$8)</f>
        <v>-1.7996311163799541E-2</v>
      </c>
    </row>
    <row r="7640" spans="6:7" x14ac:dyDescent="0.25">
      <c r="F7640">
        <v>7637</v>
      </c>
      <c r="G7640">
        <f ca="1">_xlfn.NORM.INV(RAND(),$M$7,$M$8)</f>
        <v>-1.0484063607617892E-2</v>
      </c>
    </row>
    <row r="7641" spans="6:7" x14ac:dyDescent="0.25">
      <c r="F7641">
        <v>7638</v>
      </c>
      <c r="G7641">
        <f ca="1">_xlfn.NORM.INV(RAND(),$M$7,$M$8)</f>
        <v>7.2351850996795993E-4</v>
      </c>
    </row>
    <row r="7642" spans="6:7" x14ac:dyDescent="0.25">
      <c r="F7642">
        <v>7639</v>
      </c>
      <c r="G7642">
        <f ca="1">_xlfn.NORM.INV(RAND(),$M$7,$M$8)</f>
        <v>-3.3154081979365271E-2</v>
      </c>
    </row>
    <row r="7643" spans="6:7" x14ac:dyDescent="0.25">
      <c r="F7643">
        <v>7640</v>
      </c>
      <c r="G7643">
        <f ca="1">_xlfn.NORM.INV(RAND(),$M$7,$M$8)</f>
        <v>-1.7306117139992753E-2</v>
      </c>
    </row>
    <row r="7644" spans="6:7" x14ac:dyDescent="0.25">
      <c r="F7644">
        <v>7641</v>
      </c>
      <c r="G7644">
        <f ca="1">_xlfn.NORM.INV(RAND(),$M$7,$M$8)</f>
        <v>3.1741631085343461E-2</v>
      </c>
    </row>
    <row r="7645" spans="6:7" x14ac:dyDescent="0.25">
      <c r="F7645">
        <v>7642</v>
      </c>
      <c r="G7645">
        <f ca="1">_xlfn.NORM.INV(RAND(),$M$7,$M$8)</f>
        <v>5.5457086170484553E-2</v>
      </c>
    </row>
    <row r="7646" spans="6:7" x14ac:dyDescent="0.25">
      <c r="F7646">
        <v>7643</v>
      </c>
      <c r="G7646">
        <f ca="1">_xlfn.NORM.INV(RAND(),$M$7,$M$8)</f>
        <v>3.886431518378418E-3</v>
      </c>
    </row>
    <row r="7647" spans="6:7" x14ac:dyDescent="0.25">
      <c r="F7647">
        <v>7644</v>
      </c>
      <c r="G7647">
        <f ca="1">_xlfn.NORM.INV(RAND(),$M$7,$M$8)</f>
        <v>2.1044980186997516E-2</v>
      </c>
    </row>
    <row r="7648" spans="6:7" x14ac:dyDescent="0.25">
      <c r="F7648">
        <v>7645</v>
      </c>
      <c r="G7648">
        <f ca="1">_xlfn.NORM.INV(RAND(),$M$7,$M$8)</f>
        <v>-2.5240919508901463E-2</v>
      </c>
    </row>
    <row r="7649" spans="6:7" x14ac:dyDescent="0.25">
      <c r="F7649">
        <v>7646</v>
      </c>
      <c r="G7649">
        <f ca="1">_xlfn.NORM.INV(RAND(),$M$7,$M$8)</f>
        <v>-2.0333489251515395E-2</v>
      </c>
    </row>
    <row r="7650" spans="6:7" x14ac:dyDescent="0.25">
      <c r="F7650">
        <v>7647</v>
      </c>
      <c r="G7650">
        <f ca="1">_xlfn.NORM.INV(RAND(),$M$7,$M$8)</f>
        <v>-1.9065271091946768E-2</v>
      </c>
    </row>
    <row r="7651" spans="6:7" x14ac:dyDescent="0.25">
      <c r="F7651">
        <v>7648</v>
      </c>
      <c r="G7651">
        <f ca="1">_xlfn.NORM.INV(RAND(),$M$7,$M$8)</f>
        <v>4.8749543916708375E-2</v>
      </c>
    </row>
    <row r="7652" spans="6:7" x14ac:dyDescent="0.25">
      <c r="F7652">
        <v>7649</v>
      </c>
      <c r="G7652">
        <f ca="1">_xlfn.NORM.INV(RAND(),$M$7,$M$8)</f>
        <v>-1.7281938934621627E-2</v>
      </c>
    </row>
    <row r="7653" spans="6:7" x14ac:dyDescent="0.25">
      <c r="F7653">
        <v>7650</v>
      </c>
      <c r="G7653">
        <f ca="1">_xlfn.NORM.INV(RAND(),$M$7,$M$8)</f>
        <v>4.6095047799695329E-3</v>
      </c>
    </row>
    <row r="7654" spans="6:7" x14ac:dyDescent="0.25">
      <c r="F7654">
        <v>7651</v>
      </c>
      <c r="G7654">
        <f ca="1">_xlfn.NORM.INV(RAND(),$M$7,$M$8)</f>
        <v>-2.5258092220259192E-2</v>
      </c>
    </row>
    <row r="7655" spans="6:7" x14ac:dyDescent="0.25">
      <c r="F7655">
        <v>7652</v>
      </c>
      <c r="G7655">
        <f ca="1">_xlfn.NORM.INV(RAND(),$M$7,$M$8)</f>
        <v>3.7205597070623597E-2</v>
      </c>
    </row>
    <row r="7656" spans="6:7" x14ac:dyDescent="0.25">
      <c r="F7656">
        <v>7653</v>
      </c>
      <c r="G7656">
        <f ca="1">_xlfn.NORM.INV(RAND(),$M$7,$M$8)</f>
        <v>3.7572612901936593E-2</v>
      </c>
    </row>
    <row r="7657" spans="6:7" x14ac:dyDescent="0.25">
      <c r="F7657">
        <v>7654</v>
      </c>
      <c r="G7657">
        <f ca="1">_xlfn.NORM.INV(RAND(),$M$7,$M$8)</f>
        <v>5.7438244075757525E-3</v>
      </c>
    </row>
    <row r="7658" spans="6:7" x14ac:dyDescent="0.25">
      <c r="F7658">
        <v>7655</v>
      </c>
      <c r="G7658">
        <f ca="1">_xlfn.NORM.INV(RAND(),$M$7,$M$8)</f>
        <v>4.7817728083025639E-3</v>
      </c>
    </row>
    <row r="7659" spans="6:7" x14ac:dyDescent="0.25">
      <c r="F7659">
        <v>7656</v>
      </c>
      <c r="G7659">
        <f ca="1">_xlfn.NORM.INV(RAND(),$M$7,$M$8)</f>
        <v>-1.8403830778950064E-2</v>
      </c>
    </row>
    <row r="7660" spans="6:7" x14ac:dyDescent="0.25">
      <c r="F7660">
        <v>7657</v>
      </c>
      <c r="G7660">
        <f ca="1">_xlfn.NORM.INV(RAND(),$M$7,$M$8)</f>
        <v>6.2277595223366785E-3</v>
      </c>
    </row>
    <row r="7661" spans="6:7" x14ac:dyDescent="0.25">
      <c r="F7661">
        <v>7658</v>
      </c>
      <c r="G7661">
        <f ca="1">_xlfn.NORM.INV(RAND(),$M$7,$M$8)</f>
        <v>-3.5145123581361577E-2</v>
      </c>
    </row>
    <row r="7662" spans="6:7" x14ac:dyDescent="0.25">
      <c r="F7662">
        <v>7659</v>
      </c>
      <c r="G7662">
        <f ca="1">_xlfn.NORM.INV(RAND(),$M$7,$M$8)</f>
        <v>1.9823609331752735E-2</v>
      </c>
    </row>
    <row r="7663" spans="6:7" x14ac:dyDescent="0.25">
      <c r="F7663">
        <v>7660</v>
      </c>
      <c r="G7663">
        <f ca="1">_xlfn.NORM.INV(RAND(),$M$7,$M$8)</f>
        <v>3.5634268881912574E-2</v>
      </c>
    </row>
    <row r="7664" spans="6:7" x14ac:dyDescent="0.25">
      <c r="F7664">
        <v>7661</v>
      </c>
      <c r="G7664">
        <f ca="1">_xlfn.NORM.INV(RAND(),$M$7,$M$8)</f>
        <v>1.8983815581743106E-2</v>
      </c>
    </row>
    <row r="7665" spans="6:7" x14ac:dyDescent="0.25">
      <c r="F7665">
        <v>7662</v>
      </c>
      <c r="G7665">
        <f ca="1">_xlfn.NORM.INV(RAND(),$M$7,$M$8)</f>
        <v>-2.003627843542588E-2</v>
      </c>
    </row>
    <row r="7666" spans="6:7" x14ac:dyDescent="0.25">
      <c r="F7666">
        <v>7663</v>
      </c>
      <c r="G7666">
        <f ca="1">_xlfn.NORM.INV(RAND(),$M$7,$M$8)</f>
        <v>1.5819927811013504E-2</v>
      </c>
    </row>
    <row r="7667" spans="6:7" x14ac:dyDescent="0.25">
      <c r="F7667">
        <v>7664</v>
      </c>
      <c r="G7667">
        <f ca="1">_xlfn.NORM.INV(RAND(),$M$7,$M$8)</f>
        <v>-6.9442201531941129E-3</v>
      </c>
    </row>
    <row r="7668" spans="6:7" x14ac:dyDescent="0.25">
      <c r="F7668">
        <v>7665</v>
      </c>
      <c r="G7668">
        <f ca="1">_xlfn.NORM.INV(RAND(),$M$7,$M$8)</f>
        <v>-7.6329649481992001E-2</v>
      </c>
    </row>
    <row r="7669" spans="6:7" x14ac:dyDescent="0.25">
      <c r="F7669">
        <v>7666</v>
      </c>
      <c r="G7669">
        <f ca="1">_xlfn.NORM.INV(RAND(),$M$7,$M$8)</f>
        <v>-1.2189338969974805E-2</v>
      </c>
    </row>
    <row r="7670" spans="6:7" x14ac:dyDescent="0.25">
      <c r="F7670">
        <v>7667</v>
      </c>
      <c r="G7670">
        <f ca="1">_xlfn.NORM.INV(RAND(),$M$7,$M$8)</f>
        <v>-4.142340298447262E-2</v>
      </c>
    </row>
    <row r="7671" spans="6:7" x14ac:dyDescent="0.25">
      <c r="F7671">
        <v>7668</v>
      </c>
      <c r="G7671">
        <f ca="1">_xlfn.NORM.INV(RAND(),$M$7,$M$8)</f>
        <v>-4.7260145854309318E-3</v>
      </c>
    </row>
    <row r="7672" spans="6:7" x14ac:dyDescent="0.25">
      <c r="F7672">
        <v>7669</v>
      </c>
      <c r="G7672">
        <f ca="1">_xlfn.NORM.INV(RAND(),$M$7,$M$8)</f>
        <v>-3.7845638382340716E-2</v>
      </c>
    </row>
    <row r="7673" spans="6:7" x14ac:dyDescent="0.25">
      <c r="F7673">
        <v>7670</v>
      </c>
      <c r="G7673">
        <f ca="1">_xlfn.NORM.INV(RAND(),$M$7,$M$8)</f>
        <v>1.8139339004169079E-2</v>
      </c>
    </row>
    <row r="7674" spans="6:7" x14ac:dyDescent="0.25">
      <c r="F7674">
        <v>7671</v>
      </c>
      <c r="G7674">
        <f ca="1">_xlfn.NORM.INV(RAND(),$M$7,$M$8)</f>
        <v>-6.9844089931314565E-3</v>
      </c>
    </row>
    <row r="7675" spans="6:7" x14ac:dyDescent="0.25">
      <c r="F7675">
        <v>7672</v>
      </c>
      <c r="G7675">
        <f ca="1">_xlfn.NORM.INV(RAND(),$M$7,$M$8)</f>
        <v>-6.3969275492854458E-2</v>
      </c>
    </row>
    <row r="7676" spans="6:7" x14ac:dyDescent="0.25">
      <c r="F7676">
        <v>7673</v>
      </c>
      <c r="G7676">
        <f ca="1">_xlfn.NORM.INV(RAND(),$M$7,$M$8)</f>
        <v>1.8903822243513831E-3</v>
      </c>
    </row>
    <row r="7677" spans="6:7" x14ac:dyDescent="0.25">
      <c r="F7677">
        <v>7674</v>
      </c>
      <c r="G7677">
        <f ca="1">_xlfn.NORM.INV(RAND(),$M$7,$M$8)</f>
        <v>1.2295132418612903E-2</v>
      </c>
    </row>
    <row r="7678" spans="6:7" x14ac:dyDescent="0.25">
      <c r="F7678">
        <v>7675</v>
      </c>
      <c r="G7678">
        <f ca="1">_xlfn.NORM.INV(RAND(),$M$7,$M$8)</f>
        <v>5.8360300588231981E-2</v>
      </c>
    </row>
    <row r="7679" spans="6:7" x14ac:dyDescent="0.25">
      <c r="F7679">
        <v>7676</v>
      </c>
      <c r="G7679">
        <f ca="1">_xlfn.NORM.INV(RAND(),$M$7,$M$8)</f>
        <v>2.9207283043173691E-2</v>
      </c>
    </row>
    <row r="7680" spans="6:7" x14ac:dyDescent="0.25">
      <c r="F7680">
        <v>7677</v>
      </c>
      <c r="G7680">
        <f ca="1">_xlfn.NORM.INV(RAND(),$M$7,$M$8)</f>
        <v>-1.3576063743077179E-2</v>
      </c>
    </row>
    <row r="7681" spans="6:7" x14ac:dyDescent="0.25">
      <c r="F7681">
        <v>7678</v>
      </c>
      <c r="G7681">
        <f ca="1">_xlfn.NORM.INV(RAND(),$M$7,$M$8)</f>
        <v>1.4640872640210403E-2</v>
      </c>
    </row>
    <row r="7682" spans="6:7" x14ac:dyDescent="0.25">
      <c r="F7682">
        <v>7679</v>
      </c>
      <c r="G7682">
        <f ca="1">_xlfn.NORM.INV(RAND(),$M$7,$M$8)</f>
        <v>-5.25168965853062E-2</v>
      </c>
    </row>
    <row r="7683" spans="6:7" x14ac:dyDescent="0.25">
      <c r="F7683">
        <v>7680</v>
      </c>
      <c r="G7683">
        <f ca="1">_xlfn.NORM.INV(RAND(),$M$7,$M$8)</f>
        <v>-1.6613792120506515E-3</v>
      </c>
    </row>
    <row r="7684" spans="6:7" x14ac:dyDescent="0.25">
      <c r="F7684">
        <v>7681</v>
      </c>
      <c r="G7684">
        <f ca="1">_xlfn.NORM.INV(RAND(),$M$7,$M$8)</f>
        <v>-1.0183869236191485E-2</v>
      </c>
    </row>
    <row r="7685" spans="6:7" x14ac:dyDescent="0.25">
      <c r="F7685">
        <v>7682</v>
      </c>
      <c r="G7685">
        <f ca="1">_xlfn.NORM.INV(RAND(),$M$7,$M$8)</f>
        <v>4.5982832386200895E-4</v>
      </c>
    </row>
    <row r="7686" spans="6:7" x14ac:dyDescent="0.25">
      <c r="F7686">
        <v>7683</v>
      </c>
      <c r="G7686">
        <f ca="1">_xlfn.NORM.INV(RAND(),$M$7,$M$8)</f>
        <v>-2.6758506845281634E-2</v>
      </c>
    </row>
    <row r="7687" spans="6:7" x14ac:dyDescent="0.25">
      <c r="F7687">
        <v>7684</v>
      </c>
      <c r="G7687">
        <f ca="1">_xlfn.NORM.INV(RAND(),$M$7,$M$8)</f>
        <v>2.4081542484063734E-2</v>
      </c>
    </row>
    <row r="7688" spans="6:7" x14ac:dyDescent="0.25">
      <c r="F7688">
        <v>7685</v>
      </c>
      <c r="G7688">
        <f ca="1">_xlfn.NORM.INV(RAND(),$M$7,$M$8)</f>
        <v>1.0367895615994117E-3</v>
      </c>
    </row>
    <row r="7689" spans="6:7" x14ac:dyDescent="0.25">
      <c r="F7689">
        <v>7686</v>
      </c>
      <c r="G7689">
        <f ca="1">_xlfn.NORM.INV(RAND(),$M$7,$M$8)</f>
        <v>-5.7304847049516633E-2</v>
      </c>
    </row>
    <row r="7690" spans="6:7" x14ac:dyDescent="0.25">
      <c r="F7690">
        <v>7687</v>
      </c>
      <c r="G7690">
        <f ca="1">_xlfn.NORM.INV(RAND(),$M$7,$M$8)</f>
        <v>2.0166482092662235E-2</v>
      </c>
    </row>
    <row r="7691" spans="6:7" x14ac:dyDescent="0.25">
      <c r="F7691">
        <v>7688</v>
      </c>
      <c r="G7691">
        <f ca="1">_xlfn.NORM.INV(RAND(),$M$7,$M$8)</f>
        <v>-4.1132435309349652E-2</v>
      </c>
    </row>
    <row r="7692" spans="6:7" x14ac:dyDescent="0.25">
      <c r="F7692">
        <v>7689</v>
      </c>
      <c r="G7692">
        <f ca="1">_xlfn.NORM.INV(RAND(),$M$7,$M$8)</f>
        <v>3.8011157000942715E-2</v>
      </c>
    </row>
    <row r="7693" spans="6:7" x14ac:dyDescent="0.25">
      <c r="F7693">
        <v>7690</v>
      </c>
      <c r="G7693">
        <f ca="1">_xlfn.NORM.INV(RAND(),$M$7,$M$8)</f>
        <v>1.8718838494849704E-2</v>
      </c>
    </row>
    <row r="7694" spans="6:7" x14ac:dyDescent="0.25">
      <c r="F7694">
        <v>7691</v>
      </c>
      <c r="G7694">
        <f ca="1">_xlfn.NORM.INV(RAND(),$M$7,$M$8)</f>
        <v>-4.3584582042386251E-3</v>
      </c>
    </row>
    <row r="7695" spans="6:7" x14ac:dyDescent="0.25">
      <c r="F7695">
        <v>7692</v>
      </c>
      <c r="G7695">
        <f ca="1">_xlfn.NORM.INV(RAND(),$M$7,$M$8)</f>
        <v>2.7477184572607827E-2</v>
      </c>
    </row>
    <row r="7696" spans="6:7" x14ac:dyDescent="0.25">
      <c r="F7696">
        <v>7693</v>
      </c>
      <c r="G7696">
        <f ca="1">_xlfn.NORM.INV(RAND(),$M$7,$M$8)</f>
        <v>-1.5416896681376486E-2</v>
      </c>
    </row>
    <row r="7697" spans="6:7" x14ac:dyDescent="0.25">
      <c r="F7697">
        <v>7694</v>
      </c>
      <c r="G7697">
        <f ca="1">_xlfn.NORM.INV(RAND(),$M$7,$M$8)</f>
        <v>7.1092150896656259E-3</v>
      </c>
    </row>
    <row r="7698" spans="6:7" x14ac:dyDescent="0.25">
      <c r="F7698">
        <v>7695</v>
      </c>
      <c r="G7698">
        <f ca="1">_xlfn.NORM.INV(RAND(),$M$7,$M$8)</f>
        <v>-3.9549702330972145E-2</v>
      </c>
    </row>
    <row r="7699" spans="6:7" x14ac:dyDescent="0.25">
      <c r="F7699">
        <v>7696</v>
      </c>
      <c r="G7699">
        <f ca="1">_xlfn.NORM.INV(RAND(),$M$7,$M$8)</f>
        <v>5.3595693345101877E-2</v>
      </c>
    </row>
    <row r="7700" spans="6:7" x14ac:dyDescent="0.25">
      <c r="F7700">
        <v>7697</v>
      </c>
      <c r="G7700">
        <f ca="1">_xlfn.NORM.INV(RAND(),$M$7,$M$8)</f>
        <v>6.7666174768110619E-3</v>
      </c>
    </row>
    <row r="7701" spans="6:7" x14ac:dyDescent="0.25">
      <c r="F7701">
        <v>7698</v>
      </c>
      <c r="G7701">
        <f ca="1">_xlfn.NORM.INV(RAND(),$M$7,$M$8)</f>
        <v>-1.8692011381341272E-2</v>
      </c>
    </row>
    <row r="7702" spans="6:7" x14ac:dyDescent="0.25">
      <c r="F7702">
        <v>7699</v>
      </c>
      <c r="G7702">
        <f ca="1">_xlfn.NORM.INV(RAND(),$M$7,$M$8)</f>
        <v>-4.8854634806347746E-2</v>
      </c>
    </row>
    <row r="7703" spans="6:7" x14ac:dyDescent="0.25">
      <c r="F7703">
        <v>7700</v>
      </c>
      <c r="G7703">
        <f ca="1">_xlfn.NORM.INV(RAND(),$M$7,$M$8)</f>
        <v>6.4500664195689273E-3</v>
      </c>
    </row>
    <row r="7704" spans="6:7" x14ac:dyDescent="0.25">
      <c r="F7704">
        <v>7701</v>
      </c>
      <c r="G7704">
        <f ca="1">_xlfn.NORM.INV(RAND(),$M$7,$M$8)</f>
        <v>2.6557089120767758E-3</v>
      </c>
    </row>
    <row r="7705" spans="6:7" x14ac:dyDescent="0.25">
      <c r="F7705">
        <v>7702</v>
      </c>
      <c r="G7705">
        <f ca="1">_xlfn.NORM.INV(RAND(),$M$7,$M$8)</f>
        <v>-1.901701579131242E-2</v>
      </c>
    </row>
    <row r="7706" spans="6:7" x14ac:dyDescent="0.25">
      <c r="F7706">
        <v>7703</v>
      </c>
      <c r="G7706">
        <f ca="1">_xlfn.NORM.INV(RAND(),$M$7,$M$8)</f>
        <v>4.3137829077722359E-2</v>
      </c>
    </row>
    <row r="7707" spans="6:7" x14ac:dyDescent="0.25">
      <c r="F7707">
        <v>7704</v>
      </c>
      <c r="G7707">
        <f ca="1">_xlfn.NORM.INV(RAND(),$M$7,$M$8)</f>
        <v>-1.9500856906363537E-2</v>
      </c>
    </row>
    <row r="7708" spans="6:7" x14ac:dyDescent="0.25">
      <c r="F7708">
        <v>7705</v>
      </c>
      <c r="G7708">
        <f ca="1">_xlfn.NORM.INV(RAND(),$M$7,$M$8)</f>
        <v>1.133623822215123E-2</v>
      </c>
    </row>
    <row r="7709" spans="6:7" x14ac:dyDescent="0.25">
      <c r="F7709">
        <v>7706</v>
      </c>
      <c r="G7709">
        <f ca="1">_xlfn.NORM.INV(RAND(),$M$7,$M$8)</f>
        <v>5.9273413935356598E-3</v>
      </c>
    </row>
    <row r="7710" spans="6:7" x14ac:dyDescent="0.25">
      <c r="F7710">
        <v>7707</v>
      </c>
      <c r="G7710">
        <f ca="1">_xlfn.NORM.INV(RAND(),$M$7,$M$8)</f>
        <v>-1.4622111798175846E-4</v>
      </c>
    </row>
    <row r="7711" spans="6:7" x14ac:dyDescent="0.25">
      <c r="F7711">
        <v>7708</v>
      </c>
      <c r="G7711">
        <f ca="1">_xlfn.NORM.INV(RAND(),$M$7,$M$8)</f>
        <v>-6.8453201729251918E-3</v>
      </c>
    </row>
    <row r="7712" spans="6:7" x14ac:dyDescent="0.25">
      <c r="F7712">
        <v>7709</v>
      </c>
      <c r="G7712">
        <f ca="1">_xlfn.NORM.INV(RAND(),$M$7,$M$8)</f>
        <v>2.782274087339667E-2</v>
      </c>
    </row>
    <row r="7713" spans="6:7" x14ac:dyDescent="0.25">
      <c r="F7713">
        <v>7710</v>
      </c>
      <c r="G7713">
        <f ca="1">_xlfn.NORM.INV(RAND(),$M$7,$M$8)</f>
        <v>-7.9971611047802427E-3</v>
      </c>
    </row>
    <row r="7714" spans="6:7" x14ac:dyDescent="0.25">
      <c r="F7714">
        <v>7711</v>
      </c>
      <c r="G7714">
        <f ca="1">_xlfn.NORM.INV(RAND(),$M$7,$M$8)</f>
        <v>-1.9179664336352129E-2</v>
      </c>
    </row>
    <row r="7715" spans="6:7" x14ac:dyDescent="0.25">
      <c r="F7715">
        <v>7712</v>
      </c>
      <c r="G7715">
        <f ca="1">_xlfn.NORM.INV(RAND(),$M$7,$M$8)</f>
        <v>-2.5812767205091878E-2</v>
      </c>
    </row>
    <row r="7716" spans="6:7" x14ac:dyDescent="0.25">
      <c r="F7716">
        <v>7713</v>
      </c>
      <c r="G7716">
        <f ca="1">_xlfn.NORM.INV(RAND(),$M$7,$M$8)</f>
        <v>-3.3307181342066704E-3</v>
      </c>
    </row>
    <row r="7717" spans="6:7" x14ac:dyDescent="0.25">
      <c r="F7717">
        <v>7714</v>
      </c>
      <c r="G7717">
        <f ca="1">_xlfn.NORM.INV(RAND(),$M$7,$M$8)</f>
        <v>1.4122342404713923E-2</v>
      </c>
    </row>
    <row r="7718" spans="6:7" x14ac:dyDescent="0.25">
      <c r="F7718">
        <v>7715</v>
      </c>
      <c r="G7718">
        <f ca="1">_xlfn.NORM.INV(RAND(),$M$7,$M$8)</f>
        <v>-2.2172504516088633E-2</v>
      </c>
    </row>
    <row r="7719" spans="6:7" x14ac:dyDescent="0.25">
      <c r="F7719">
        <v>7716</v>
      </c>
      <c r="G7719">
        <f ca="1">_xlfn.NORM.INV(RAND(),$M$7,$M$8)</f>
        <v>2.1180226663270196E-2</v>
      </c>
    </row>
    <row r="7720" spans="6:7" x14ac:dyDescent="0.25">
      <c r="F7720">
        <v>7717</v>
      </c>
      <c r="G7720">
        <f ca="1">_xlfn.NORM.INV(RAND(),$M$7,$M$8)</f>
        <v>3.4821397825530745E-2</v>
      </c>
    </row>
    <row r="7721" spans="6:7" x14ac:dyDescent="0.25">
      <c r="F7721">
        <v>7718</v>
      </c>
      <c r="G7721">
        <f ca="1">_xlfn.NORM.INV(RAND(),$M$7,$M$8)</f>
        <v>-3.7918824037395132E-2</v>
      </c>
    </row>
    <row r="7722" spans="6:7" x14ac:dyDescent="0.25">
      <c r="F7722">
        <v>7719</v>
      </c>
      <c r="G7722">
        <f ca="1">_xlfn.NORM.INV(RAND(),$M$7,$M$8)</f>
        <v>-5.7138422478106108E-3</v>
      </c>
    </row>
    <row r="7723" spans="6:7" x14ac:dyDescent="0.25">
      <c r="F7723">
        <v>7720</v>
      </c>
      <c r="G7723">
        <f ca="1">_xlfn.NORM.INV(RAND(),$M$7,$M$8)</f>
        <v>9.4931452084246158E-3</v>
      </c>
    </row>
    <row r="7724" spans="6:7" x14ac:dyDescent="0.25">
      <c r="F7724">
        <v>7721</v>
      </c>
      <c r="G7724">
        <f ca="1">_xlfn.NORM.INV(RAND(),$M$7,$M$8)</f>
        <v>1.9023495384556381E-2</v>
      </c>
    </row>
    <row r="7725" spans="6:7" x14ac:dyDescent="0.25">
      <c r="F7725">
        <v>7722</v>
      </c>
      <c r="G7725">
        <f ca="1">_xlfn.NORM.INV(RAND(),$M$7,$M$8)</f>
        <v>-3.5384619235775982E-3</v>
      </c>
    </row>
    <row r="7726" spans="6:7" x14ac:dyDescent="0.25">
      <c r="F7726">
        <v>7723</v>
      </c>
      <c r="G7726">
        <f ca="1">_xlfn.NORM.INV(RAND(),$M$7,$M$8)</f>
        <v>-1.138464016507691E-2</v>
      </c>
    </row>
    <row r="7727" spans="6:7" x14ac:dyDescent="0.25">
      <c r="F7727">
        <v>7724</v>
      </c>
      <c r="G7727">
        <f ca="1">_xlfn.NORM.INV(RAND(),$M$7,$M$8)</f>
        <v>6.9460179695591557E-3</v>
      </c>
    </row>
    <row r="7728" spans="6:7" x14ac:dyDescent="0.25">
      <c r="F7728">
        <v>7725</v>
      </c>
      <c r="G7728">
        <f ca="1">_xlfn.NORM.INV(RAND(),$M$7,$M$8)</f>
        <v>3.2666020543642163E-2</v>
      </c>
    </row>
    <row r="7729" spans="6:7" x14ac:dyDescent="0.25">
      <c r="F7729">
        <v>7726</v>
      </c>
      <c r="G7729">
        <f ca="1">_xlfn.NORM.INV(RAND(),$M$7,$M$8)</f>
        <v>-4.0990838288529514E-3</v>
      </c>
    </row>
    <row r="7730" spans="6:7" x14ac:dyDescent="0.25">
      <c r="F7730">
        <v>7727</v>
      </c>
      <c r="G7730">
        <f ca="1">_xlfn.NORM.INV(RAND(),$M$7,$M$8)</f>
        <v>4.0667216125047107E-3</v>
      </c>
    </row>
    <row r="7731" spans="6:7" x14ac:dyDescent="0.25">
      <c r="F7731">
        <v>7728</v>
      </c>
      <c r="G7731">
        <f ca="1">_xlfn.NORM.INV(RAND(),$M$7,$M$8)</f>
        <v>-4.9274897824107121E-2</v>
      </c>
    </row>
    <row r="7732" spans="6:7" x14ac:dyDescent="0.25">
      <c r="F7732">
        <v>7729</v>
      </c>
      <c r="G7732">
        <f ca="1">_xlfn.NORM.INV(RAND(),$M$7,$M$8)</f>
        <v>1.5915510351614072E-2</v>
      </c>
    </row>
    <row r="7733" spans="6:7" x14ac:dyDescent="0.25">
      <c r="F7733">
        <v>7730</v>
      </c>
      <c r="G7733">
        <f ca="1">_xlfn.NORM.INV(RAND(),$M$7,$M$8)</f>
        <v>-3.0779827830180278E-2</v>
      </c>
    </row>
    <row r="7734" spans="6:7" x14ac:dyDescent="0.25">
      <c r="F7734">
        <v>7731</v>
      </c>
      <c r="G7734">
        <f ca="1">_xlfn.NORM.INV(RAND(),$M$7,$M$8)</f>
        <v>3.6893814498994428E-4</v>
      </c>
    </row>
    <row r="7735" spans="6:7" x14ac:dyDescent="0.25">
      <c r="F7735">
        <v>7732</v>
      </c>
      <c r="G7735">
        <f ca="1">_xlfn.NORM.INV(RAND(),$M$7,$M$8)</f>
        <v>-5.1644224140423561E-3</v>
      </c>
    </row>
    <row r="7736" spans="6:7" x14ac:dyDescent="0.25">
      <c r="F7736">
        <v>7733</v>
      </c>
      <c r="G7736">
        <f ca="1">_xlfn.NORM.INV(RAND(),$M$7,$M$8)</f>
        <v>1.0820590059234065E-2</v>
      </c>
    </row>
    <row r="7737" spans="6:7" x14ac:dyDescent="0.25">
      <c r="F7737">
        <v>7734</v>
      </c>
      <c r="G7737">
        <f ca="1">_xlfn.NORM.INV(RAND(),$M$7,$M$8)</f>
        <v>5.9485986168814151E-3</v>
      </c>
    </row>
    <row r="7738" spans="6:7" x14ac:dyDescent="0.25">
      <c r="F7738">
        <v>7735</v>
      </c>
      <c r="G7738">
        <f ca="1">_xlfn.NORM.INV(RAND(),$M$7,$M$8)</f>
        <v>1.4204885297348859E-5</v>
      </c>
    </row>
    <row r="7739" spans="6:7" x14ac:dyDescent="0.25">
      <c r="F7739">
        <v>7736</v>
      </c>
      <c r="G7739">
        <f ca="1">_xlfn.NORM.INV(RAND(),$M$7,$M$8)</f>
        <v>-3.9610015367929317E-2</v>
      </c>
    </row>
    <row r="7740" spans="6:7" x14ac:dyDescent="0.25">
      <c r="F7740">
        <v>7737</v>
      </c>
      <c r="G7740">
        <f ca="1">_xlfn.NORM.INV(RAND(),$M$7,$M$8)</f>
        <v>-2.6933853381840806E-2</v>
      </c>
    </row>
    <row r="7741" spans="6:7" x14ac:dyDescent="0.25">
      <c r="F7741">
        <v>7738</v>
      </c>
      <c r="G7741">
        <f ca="1">_xlfn.NORM.INV(RAND(),$M$7,$M$8)</f>
        <v>-1.7270856106743844E-2</v>
      </c>
    </row>
    <row r="7742" spans="6:7" x14ac:dyDescent="0.25">
      <c r="F7742">
        <v>7739</v>
      </c>
      <c r="G7742">
        <f ca="1">_xlfn.NORM.INV(RAND(),$M$7,$M$8)</f>
        <v>-3.9396848656735265E-3</v>
      </c>
    </row>
    <row r="7743" spans="6:7" x14ac:dyDescent="0.25">
      <c r="F7743">
        <v>7740</v>
      </c>
      <c r="G7743">
        <f ca="1">_xlfn.NORM.INV(RAND(),$M$7,$M$8)</f>
        <v>-8.7012587535360807E-3</v>
      </c>
    </row>
    <row r="7744" spans="6:7" x14ac:dyDescent="0.25">
      <c r="F7744">
        <v>7741</v>
      </c>
      <c r="G7744">
        <f ca="1">_xlfn.NORM.INV(RAND(),$M$7,$M$8)</f>
        <v>-2.3639739020262656E-2</v>
      </c>
    </row>
    <row r="7745" spans="6:7" x14ac:dyDescent="0.25">
      <c r="F7745">
        <v>7742</v>
      </c>
      <c r="G7745">
        <f ca="1">_xlfn.NORM.INV(RAND(),$M$7,$M$8)</f>
        <v>2.5499008199318118E-2</v>
      </c>
    </row>
    <row r="7746" spans="6:7" x14ac:dyDescent="0.25">
      <c r="F7746">
        <v>7743</v>
      </c>
      <c r="G7746">
        <f ca="1">_xlfn.NORM.INV(RAND(),$M$7,$M$8)</f>
        <v>1.9530595735243461E-2</v>
      </c>
    </row>
    <row r="7747" spans="6:7" x14ac:dyDescent="0.25">
      <c r="F7747">
        <v>7744</v>
      </c>
      <c r="G7747">
        <f ca="1">_xlfn.NORM.INV(RAND(),$M$7,$M$8)</f>
        <v>-3.8140979706304597E-2</v>
      </c>
    </row>
    <row r="7748" spans="6:7" x14ac:dyDescent="0.25">
      <c r="F7748">
        <v>7745</v>
      </c>
      <c r="G7748">
        <f ca="1">_xlfn.NORM.INV(RAND(),$M$7,$M$8)</f>
        <v>-8.5041359164769355E-3</v>
      </c>
    </row>
    <row r="7749" spans="6:7" x14ac:dyDescent="0.25">
      <c r="F7749">
        <v>7746</v>
      </c>
      <c r="G7749">
        <f ca="1">_xlfn.NORM.INV(RAND(),$M$7,$M$8)</f>
        <v>-6.5353446142345888E-3</v>
      </c>
    </row>
    <row r="7750" spans="6:7" x14ac:dyDescent="0.25">
      <c r="F7750">
        <v>7747</v>
      </c>
      <c r="G7750">
        <f ca="1">_xlfn.NORM.INV(RAND(),$M$7,$M$8)</f>
        <v>-7.1897681161840797E-4</v>
      </c>
    </row>
    <row r="7751" spans="6:7" x14ac:dyDescent="0.25">
      <c r="F7751">
        <v>7748</v>
      </c>
      <c r="G7751">
        <f ca="1">_xlfn.NORM.INV(RAND(),$M$7,$M$8)</f>
        <v>-1.3671470054191434E-3</v>
      </c>
    </row>
    <row r="7752" spans="6:7" x14ac:dyDescent="0.25">
      <c r="F7752">
        <v>7749</v>
      </c>
      <c r="G7752">
        <f ca="1">_xlfn.NORM.INV(RAND(),$M$7,$M$8)</f>
        <v>3.4367459777724013E-2</v>
      </c>
    </row>
    <row r="7753" spans="6:7" x14ac:dyDescent="0.25">
      <c r="F7753">
        <v>7750</v>
      </c>
      <c r="G7753">
        <f ca="1">_xlfn.NORM.INV(RAND(),$M$7,$M$8)</f>
        <v>2.1678104972577019E-2</v>
      </c>
    </row>
    <row r="7754" spans="6:7" x14ac:dyDescent="0.25">
      <c r="F7754">
        <v>7751</v>
      </c>
      <c r="G7754">
        <f ca="1">_xlfn.NORM.INV(RAND(),$M$7,$M$8)</f>
        <v>-1.1991501551223499E-2</v>
      </c>
    </row>
    <row r="7755" spans="6:7" x14ac:dyDescent="0.25">
      <c r="F7755">
        <v>7752</v>
      </c>
      <c r="G7755">
        <f ca="1">_xlfn.NORM.INV(RAND(),$M$7,$M$8)</f>
        <v>-1.1365607605093348E-2</v>
      </c>
    </row>
    <row r="7756" spans="6:7" x14ac:dyDescent="0.25">
      <c r="F7756">
        <v>7753</v>
      </c>
      <c r="G7756">
        <f ca="1">_xlfn.NORM.INV(RAND(),$M$7,$M$8)</f>
        <v>-4.5496582448070477E-2</v>
      </c>
    </row>
    <row r="7757" spans="6:7" x14ac:dyDescent="0.25">
      <c r="F7757">
        <v>7754</v>
      </c>
      <c r="G7757">
        <f ca="1">_xlfn.NORM.INV(RAND(),$M$7,$M$8)</f>
        <v>2.9725888576634745E-3</v>
      </c>
    </row>
    <row r="7758" spans="6:7" x14ac:dyDescent="0.25">
      <c r="F7758">
        <v>7755</v>
      </c>
      <c r="G7758">
        <f ca="1">_xlfn.NORM.INV(RAND(),$M$7,$M$8)</f>
        <v>-1.5924523413497871E-2</v>
      </c>
    </row>
    <row r="7759" spans="6:7" x14ac:dyDescent="0.25">
      <c r="F7759">
        <v>7756</v>
      </c>
      <c r="G7759">
        <f ca="1">_xlfn.NORM.INV(RAND(),$M$7,$M$8)</f>
        <v>2.0346395545571397E-2</v>
      </c>
    </row>
    <row r="7760" spans="6:7" x14ac:dyDescent="0.25">
      <c r="F7760">
        <v>7757</v>
      </c>
      <c r="G7760">
        <f ca="1">_xlfn.NORM.INV(RAND(),$M$7,$M$8)</f>
        <v>-8.0646483597413086E-3</v>
      </c>
    </row>
    <row r="7761" spans="6:7" x14ac:dyDescent="0.25">
      <c r="F7761">
        <v>7758</v>
      </c>
      <c r="G7761">
        <f ca="1">_xlfn.NORM.INV(RAND(),$M$7,$M$8)</f>
        <v>1.1070266475269642E-2</v>
      </c>
    </row>
    <row r="7762" spans="6:7" x14ac:dyDescent="0.25">
      <c r="F7762">
        <v>7759</v>
      </c>
      <c r="G7762">
        <f ca="1">_xlfn.NORM.INV(RAND(),$M$7,$M$8)</f>
        <v>-8.254930067456456E-3</v>
      </c>
    </row>
    <row r="7763" spans="6:7" x14ac:dyDescent="0.25">
      <c r="F7763">
        <v>7760</v>
      </c>
      <c r="G7763">
        <f ca="1">_xlfn.NORM.INV(RAND(),$M$7,$M$8)</f>
        <v>-1.6888549470117482E-2</v>
      </c>
    </row>
    <row r="7764" spans="6:7" x14ac:dyDescent="0.25">
      <c r="F7764">
        <v>7761</v>
      </c>
      <c r="G7764">
        <f ca="1">_xlfn.NORM.INV(RAND(),$M$7,$M$8)</f>
        <v>-1.7425782441622205E-2</v>
      </c>
    </row>
    <row r="7765" spans="6:7" x14ac:dyDescent="0.25">
      <c r="F7765">
        <v>7762</v>
      </c>
      <c r="G7765">
        <f ca="1">_xlfn.NORM.INV(RAND(),$M$7,$M$8)</f>
        <v>-1.5796561846423397E-2</v>
      </c>
    </row>
    <row r="7766" spans="6:7" x14ac:dyDescent="0.25">
      <c r="F7766">
        <v>7763</v>
      </c>
      <c r="G7766">
        <f ca="1">_xlfn.NORM.INV(RAND(),$M$7,$M$8)</f>
        <v>-2.1245188143779459E-3</v>
      </c>
    </row>
    <row r="7767" spans="6:7" x14ac:dyDescent="0.25">
      <c r="F7767">
        <v>7764</v>
      </c>
      <c r="G7767">
        <f ca="1">_xlfn.NORM.INV(RAND(),$M$7,$M$8)</f>
        <v>3.4479210495186562E-2</v>
      </c>
    </row>
    <row r="7768" spans="6:7" x14ac:dyDescent="0.25">
      <c r="F7768">
        <v>7765</v>
      </c>
      <c r="G7768">
        <f ca="1">_xlfn.NORM.INV(RAND(),$M$7,$M$8)</f>
        <v>1.7400051954349498E-2</v>
      </c>
    </row>
    <row r="7769" spans="6:7" x14ac:dyDescent="0.25">
      <c r="F7769">
        <v>7766</v>
      </c>
      <c r="G7769">
        <f ca="1">_xlfn.NORM.INV(RAND(),$M$7,$M$8)</f>
        <v>-2.0731599894221339E-2</v>
      </c>
    </row>
    <row r="7770" spans="6:7" x14ac:dyDescent="0.25">
      <c r="F7770">
        <v>7767</v>
      </c>
      <c r="G7770">
        <f ca="1">_xlfn.NORM.INV(RAND(),$M$7,$M$8)</f>
        <v>8.1906686498399144E-3</v>
      </c>
    </row>
    <row r="7771" spans="6:7" x14ac:dyDescent="0.25">
      <c r="F7771">
        <v>7768</v>
      </c>
      <c r="G7771">
        <f ca="1">_xlfn.NORM.INV(RAND(),$M$7,$M$8)</f>
        <v>2.4430768711500354E-2</v>
      </c>
    </row>
    <row r="7772" spans="6:7" x14ac:dyDescent="0.25">
      <c r="F7772">
        <v>7769</v>
      </c>
      <c r="G7772">
        <f ca="1">_xlfn.NORM.INV(RAND(),$M$7,$M$8)</f>
        <v>-4.1014478029477476E-3</v>
      </c>
    </row>
    <row r="7773" spans="6:7" x14ac:dyDescent="0.25">
      <c r="F7773">
        <v>7770</v>
      </c>
      <c r="G7773">
        <f ca="1">_xlfn.NORM.INV(RAND(),$M$7,$M$8)</f>
        <v>-4.220630124522411E-3</v>
      </c>
    </row>
    <row r="7774" spans="6:7" x14ac:dyDescent="0.25">
      <c r="F7774">
        <v>7771</v>
      </c>
      <c r="G7774">
        <f ca="1">_xlfn.NORM.INV(RAND(),$M$7,$M$8)</f>
        <v>2.610625997306092E-2</v>
      </c>
    </row>
    <row r="7775" spans="6:7" x14ac:dyDescent="0.25">
      <c r="F7775">
        <v>7772</v>
      </c>
      <c r="G7775">
        <f ca="1">_xlfn.NORM.INV(RAND(),$M$7,$M$8)</f>
        <v>1.8961302537254754E-2</v>
      </c>
    </row>
    <row r="7776" spans="6:7" x14ac:dyDescent="0.25">
      <c r="F7776">
        <v>7773</v>
      </c>
      <c r="G7776">
        <f ca="1">_xlfn.NORM.INV(RAND(),$M$7,$M$8)</f>
        <v>-1.1541376015943912E-2</v>
      </c>
    </row>
    <row r="7777" spans="6:7" x14ac:dyDescent="0.25">
      <c r="F7777">
        <v>7774</v>
      </c>
      <c r="G7777">
        <f ca="1">_xlfn.NORM.INV(RAND(),$M$7,$M$8)</f>
        <v>2.184425718784867E-2</v>
      </c>
    </row>
    <row r="7778" spans="6:7" x14ac:dyDescent="0.25">
      <c r="F7778">
        <v>7775</v>
      </c>
      <c r="G7778">
        <f ca="1">_xlfn.NORM.INV(RAND(),$M$7,$M$8)</f>
        <v>2.1440092053465434E-2</v>
      </c>
    </row>
    <row r="7779" spans="6:7" x14ac:dyDescent="0.25">
      <c r="F7779">
        <v>7776</v>
      </c>
      <c r="G7779">
        <f ca="1">_xlfn.NORM.INV(RAND(),$M$7,$M$8)</f>
        <v>-6.0683215876476877E-4</v>
      </c>
    </row>
    <row r="7780" spans="6:7" x14ac:dyDescent="0.25">
      <c r="F7780">
        <v>7777</v>
      </c>
      <c r="G7780">
        <f ca="1">_xlfn.NORM.INV(RAND(),$M$7,$M$8)</f>
        <v>1.346295379604997E-2</v>
      </c>
    </row>
    <row r="7781" spans="6:7" x14ac:dyDescent="0.25">
      <c r="F7781">
        <v>7778</v>
      </c>
      <c r="G7781">
        <f ca="1">_xlfn.NORM.INV(RAND(),$M$7,$M$8)</f>
        <v>-5.2959791482312682E-2</v>
      </c>
    </row>
    <row r="7782" spans="6:7" x14ac:dyDescent="0.25">
      <c r="F7782">
        <v>7779</v>
      </c>
      <c r="G7782">
        <f ca="1">_xlfn.NORM.INV(RAND(),$M$7,$M$8)</f>
        <v>-4.7430332353958146E-3</v>
      </c>
    </row>
    <row r="7783" spans="6:7" x14ac:dyDescent="0.25">
      <c r="F7783">
        <v>7780</v>
      </c>
      <c r="G7783">
        <f ca="1">_xlfn.NORM.INV(RAND(),$M$7,$M$8)</f>
        <v>-7.0937864898260928E-4</v>
      </c>
    </row>
    <row r="7784" spans="6:7" x14ac:dyDescent="0.25">
      <c r="F7784">
        <v>7781</v>
      </c>
      <c r="G7784">
        <f ca="1">_xlfn.NORM.INV(RAND(),$M$7,$M$8)</f>
        <v>-7.5121300595403281E-3</v>
      </c>
    </row>
    <row r="7785" spans="6:7" x14ac:dyDescent="0.25">
      <c r="F7785">
        <v>7782</v>
      </c>
      <c r="G7785">
        <f ca="1">_xlfn.NORM.INV(RAND(),$M$7,$M$8)</f>
        <v>-3.1431509128663159E-3</v>
      </c>
    </row>
    <row r="7786" spans="6:7" x14ac:dyDescent="0.25">
      <c r="F7786">
        <v>7783</v>
      </c>
      <c r="G7786">
        <f ca="1">_xlfn.NORM.INV(RAND(),$M$7,$M$8)</f>
        <v>1.9685527300256789E-2</v>
      </c>
    </row>
    <row r="7787" spans="6:7" x14ac:dyDescent="0.25">
      <c r="F7787">
        <v>7784</v>
      </c>
      <c r="G7787">
        <f ca="1">_xlfn.NORM.INV(RAND(),$M$7,$M$8)</f>
        <v>-1.244180049168761E-2</v>
      </c>
    </row>
    <row r="7788" spans="6:7" x14ac:dyDescent="0.25">
      <c r="F7788">
        <v>7785</v>
      </c>
      <c r="G7788">
        <f ca="1">_xlfn.NORM.INV(RAND(),$M$7,$M$8)</f>
        <v>-3.0301760582459307E-2</v>
      </c>
    </row>
    <row r="7789" spans="6:7" x14ac:dyDescent="0.25">
      <c r="F7789">
        <v>7786</v>
      </c>
      <c r="G7789">
        <f ca="1">_xlfn.NORM.INV(RAND(),$M$7,$M$8)</f>
        <v>1.6047542891839975E-2</v>
      </c>
    </row>
    <row r="7790" spans="6:7" x14ac:dyDescent="0.25">
      <c r="F7790">
        <v>7787</v>
      </c>
      <c r="G7790">
        <f ca="1">_xlfn.NORM.INV(RAND(),$M$7,$M$8)</f>
        <v>5.854772279197934E-2</v>
      </c>
    </row>
    <row r="7791" spans="6:7" x14ac:dyDescent="0.25">
      <c r="F7791">
        <v>7788</v>
      </c>
      <c r="G7791">
        <f ca="1">_xlfn.NORM.INV(RAND(),$M$7,$M$8)</f>
        <v>-4.1463092187172621E-3</v>
      </c>
    </row>
    <row r="7792" spans="6:7" x14ac:dyDescent="0.25">
      <c r="F7792">
        <v>7789</v>
      </c>
      <c r="G7792">
        <f ca="1">_xlfn.NORM.INV(RAND(),$M$7,$M$8)</f>
        <v>9.947816072588208E-3</v>
      </c>
    </row>
    <row r="7793" spans="6:7" x14ac:dyDescent="0.25">
      <c r="F7793">
        <v>7790</v>
      </c>
      <c r="G7793">
        <f ca="1">_xlfn.NORM.INV(RAND(),$M$7,$M$8)</f>
        <v>-1.1284644181104088E-2</v>
      </c>
    </row>
    <row r="7794" spans="6:7" x14ac:dyDescent="0.25">
      <c r="F7794">
        <v>7791</v>
      </c>
      <c r="G7794">
        <f ca="1">_xlfn.NORM.INV(RAND(),$M$7,$M$8)</f>
        <v>-2.5553315217482369E-2</v>
      </c>
    </row>
    <row r="7795" spans="6:7" x14ac:dyDescent="0.25">
      <c r="F7795">
        <v>7792</v>
      </c>
      <c r="G7795">
        <f ca="1">_xlfn.NORM.INV(RAND(),$M$7,$M$8)</f>
        <v>-1.9457117023973406E-2</v>
      </c>
    </row>
    <row r="7796" spans="6:7" x14ac:dyDescent="0.25">
      <c r="F7796">
        <v>7793</v>
      </c>
      <c r="G7796">
        <f ca="1">_xlfn.NORM.INV(RAND(),$M$7,$M$8)</f>
        <v>1.6285407739851772E-2</v>
      </c>
    </row>
    <row r="7797" spans="6:7" x14ac:dyDescent="0.25">
      <c r="F7797">
        <v>7794</v>
      </c>
      <c r="G7797">
        <f ca="1">_xlfn.NORM.INV(RAND(),$M$7,$M$8)</f>
        <v>8.3308452923520817E-3</v>
      </c>
    </row>
    <row r="7798" spans="6:7" x14ac:dyDescent="0.25">
      <c r="F7798">
        <v>7795</v>
      </c>
      <c r="G7798">
        <f ca="1">_xlfn.NORM.INV(RAND(),$M$7,$M$8)</f>
        <v>-1.9254338358913065E-3</v>
      </c>
    </row>
    <row r="7799" spans="6:7" x14ac:dyDescent="0.25">
      <c r="F7799">
        <v>7796</v>
      </c>
      <c r="G7799">
        <f ca="1">_xlfn.NORM.INV(RAND(),$M$7,$M$8)</f>
        <v>-2.8760497929522101E-2</v>
      </c>
    </row>
    <row r="7800" spans="6:7" x14ac:dyDescent="0.25">
      <c r="F7800">
        <v>7797</v>
      </c>
      <c r="G7800">
        <f ca="1">_xlfn.NORM.INV(RAND(),$M$7,$M$8)</f>
        <v>-5.7820737424341788E-3</v>
      </c>
    </row>
    <row r="7801" spans="6:7" x14ac:dyDescent="0.25">
      <c r="F7801">
        <v>7798</v>
      </c>
      <c r="G7801">
        <f ca="1">_xlfn.NORM.INV(RAND(),$M$7,$M$8)</f>
        <v>2.626939187792773E-2</v>
      </c>
    </row>
    <row r="7802" spans="6:7" x14ac:dyDescent="0.25">
      <c r="F7802">
        <v>7799</v>
      </c>
      <c r="G7802">
        <f ca="1">_xlfn.NORM.INV(RAND(),$M$7,$M$8)</f>
        <v>-2.3751960523262141E-2</v>
      </c>
    </row>
    <row r="7803" spans="6:7" x14ac:dyDescent="0.25">
      <c r="F7803">
        <v>7800</v>
      </c>
      <c r="G7803">
        <f ca="1">_xlfn.NORM.INV(RAND(),$M$7,$M$8)</f>
        <v>1.3514050466696395E-2</v>
      </c>
    </row>
    <row r="7804" spans="6:7" x14ac:dyDescent="0.25">
      <c r="F7804">
        <v>7801</v>
      </c>
      <c r="G7804">
        <f ca="1">_xlfn.NORM.INV(RAND(),$M$7,$M$8)</f>
        <v>1.5026054477952546E-2</v>
      </c>
    </row>
    <row r="7805" spans="6:7" x14ac:dyDescent="0.25">
      <c r="F7805">
        <v>7802</v>
      </c>
      <c r="G7805">
        <f ca="1">_xlfn.NORM.INV(RAND(),$M$7,$M$8)</f>
        <v>-1.3147757769941667E-2</v>
      </c>
    </row>
    <row r="7806" spans="6:7" x14ac:dyDescent="0.25">
      <c r="F7806">
        <v>7803</v>
      </c>
      <c r="G7806">
        <f ca="1">_xlfn.NORM.INV(RAND(),$M$7,$M$8)</f>
        <v>1.3796433721471244E-2</v>
      </c>
    </row>
    <row r="7807" spans="6:7" x14ac:dyDescent="0.25">
      <c r="F7807">
        <v>7804</v>
      </c>
      <c r="G7807">
        <f ca="1">_xlfn.NORM.INV(RAND(),$M$7,$M$8)</f>
        <v>-2.1281903184615536E-2</v>
      </c>
    </row>
    <row r="7808" spans="6:7" x14ac:dyDescent="0.25">
      <c r="F7808">
        <v>7805</v>
      </c>
      <c r="G7808">
        <f ca="1">_xlfn.NORM.INV(RAND(),$M$7,$M$8)</f>
        <v>-3.4424576140295621E-2</v>
      </c>
    </row>
    <row r="7809" spans="6:7" x14ac:dyDescent="0.25">
      <c r="F7809">
        <v>7806</v>
      </c>
      <c r="G7809">
        <f ca="1">_xlfn.NORM.INV(RAND(),$M$7,$M$8)</f>
        <v>4.4711559602073486E-2</v>
      </c>
    </row>
    <row r="7810" spans="6:7" x14ac:dyDescent="0.25">
      <c r="F7810">
        <v>7807</v>
      </c>
      <c r="G7810">
        <f ca="1">_xlfn.NORM.INV(RAND(),$M$7,$M$8)</f>
        <v>9.4570303999615343E-3</v>
      </c>
    </row>
    <row r="7811" spans="6:7" x14ac:dyDescent="0.25">
      <c r="F7811">
        <v>7808</v>
      </c>
      <c r="G7811">
        <f ca="1">_xlfn.NORM.INV(RAND(),$M$7,$M$8)</f>
        <v>1.2929371548970364E-2</v>
      </c>
    </row>
    <row r="7812" spans="6:7" x14ac:dyDescent="0.25">
      <c r="F7812">
        <v>7809</v>
      </c>
      <c r="G7812">
        <f ca="1">_xlfn.NORM.INV(RAND(),$M$7,$M$8)</f>
        <v>1.994672074301734E-2</v>
      </c>
    </row>
    <row r="7813" spans="6:7" x14ac:dyDescent="0.25">
      <c r="F7813">
        <v>7810</v>
      </c>
      <c r="G7813">
        <f ca="1">_xlfn.NORM.INV(RAND(),$M$7,$M$8)</f>
        <v>2.755478217567665E-2</v>
      </c>
    </row>
    <row r="7814" spans="6:7" x14ac:dyDescent="0.25">
      <c r="F7814">
        <v>7811</v>
      </c>
      <c r="G7814">
        <f ca="1">_xlfn.NORM.INV(RAND(),$M$7,$M$8)</f>
        <v>-3.0655847772800924E-2</v>
      </c>
    </row>
    <row r="7815" spans="6:7" x14ac:dyDescent="0.25">
      <c r="F7815">
        <v>7812</v>
      </c>
      <c r="G7815">
        <f ca="1">_xlfn.NORM.INV(RAND(),$M$7,$M$8)</f>
        <v>4.0663450645691971E-3</v>
      </c>
    </row>
    <row r="7816" spans="6:7" x14ac:dyDescent="0.25">
      <c r="F7816">
        <v>7813</v>
      </c>
      <c r="G7816">
        <f ca="1">_xlfn.NORM.INV(RAND(),$M$7,$M$8)</f>
        <v>-1.6546222655467391E-2</v>
      </c>
    </row>
    <row r="7817" spans="6:7" x14ac:dyDescent="0.25">
      <c r="F7817">
        <v>7814</v>
      </c>
      <c r="G7817">
        <f ca="1">_xlfn.NORM.INV(RAND(),$M$7,$M$8)</f>
        <v>-3.3629555032690175E-2</v>
      </c>
    </row>
    <row r="7818" spans="6:7" x14ac:dyDescent="0.25">
      <c r="F7818">
        <v>7815</v>
      </c>
      <c r="G7818">
        <f ca="1">_xlfn.NORM.INV(RAND(),$M$7,$M$8)</f>
        <v>-5.8461925151858579E-2</v>
      </c>
    </row>
    <row r="7819" spans="6:7" x14ac:dyDescent="0.25">
      <c r="F7819">
        <v>7816</v>
      </c>
      <c r="G7819">
        <f ca="1">_xlfn.NORM.INV(RAND(),$M$7,$M$8)</f>
        <v>6.4244375007421525E-3</v>
      </c>
    </row>
    <row r="7820" spans="6:7" x14ac:dyDescent="0.25">
      <c r="F7820">
        <v>7817</v>
      </c>
      <c r="G7820">
        <f ca="1">_xlfn.NORM.INV(RAND(),$M$7,$M$8)</f>
        <v>2.2031629960227242E-3</v>
      </c>
    </row>
    <row r="7821" spans="6:7" x14ac:dyDescent="0.25">
      <c r="F7821">
        <v>7818</v>
      </c>
      <c r="G7821">
        <f ca="1">_xlfn.NORM.INV(RAND(),$M$7,$M$8)</f>
        <v>-3.262170517548645E-3</v>
      </c>
    </row>
    <row r="7822" spans="6:7" x14ac:dyDescent="0.25">
      <c r="F7822">
        <v>7819</v>
      </c>
      <c r="G7822">
        <f ca="1">_xlfn.NORM.INV(RAND(),$M$7,$M$8)</f>
        <v>1.4534725093087687E-3</v>
      </c>
    </row>
    <row r="7823" spans="6:7" x14ac:dyDescent="0.25">
      <c r="F7823">
        <v>7820</v>
      </c>
      <c r="G7823">
        <f ca="1">_xlfn.NORM.INV(RAND(),$M$7,$M$8)</f>
        <v>3.5154614769545539E-2</v>
      </c>
    </row>
    <row r="7824" spans="6:7" x14ac:dyDescent="0.25">
      <c r="F7824">
        <v>7821</v>
      </c>
      <c r="G7824">
        <f ca="1">_xlfn.NORM.INV(RAND(),$M$7,$M$8)</f>
        <v>1.9352756116129005E-4</v>
      </c>
    </row>
    <row r="7825" spans="6:7" x14ac:dyDescent="0.25">
      <c r="F7825">
        <v>7822</v>
      </c>
      <c r="G7825">
        <f ca="1">_xlfn.NORM.INV(RAND(),$M$7,$M$8)</f>
        <v>1.9594836320550389E-2</v>
      </c>
    </row>
    <row r="7826" spans="6:7" x14ac:dyDescent="0.25">
      <c r="F7826">
        <v>7823</v>
      </c>
      <c r="G7826">
        <f ca="1">_xlfn.NORM.INV(RAND(),$M$7,$M$8)</f>
        <v>-9.6995550621375957E-3</v>
      </c>
    </row>
    <row r="7827" spans="6:7" x14ac:dyDescent="0.25">
      <c r="F7827">
        <v>7824</v>
      </c>
      <c r="G7827">
        <f ca="1">_xlfn.NORM.INV(RAND(),$M$7,$M$8)</f>
        <v>-5.2076672104141991E-3</v>
      </c>
    </row>
    <row r="7828" spans="6:7" x14ac:dyDescent="0.25">
      <c r="F7828">
        <v>7825</v>
      </c>
      <c r="G7828">
        <f ca="1">_xlfn.NORM.INV(RAND(),$M$7,$M$8)</f>
        <v>4.8674184595885739E-7</v>
      </c>
    </row>
    <row r="7829" spans="6:7" x14ac:dyDescent="0.25">
      <c r="F7829">
        <v>7826</v>
      </c>
      <c r="G7829">
        <f ca="1">_xlfn.NORM.INV(RAND(),$M$7,$M$8)</f>
        <v>1.9596477294290399E-2</v>
      </c>
    </row>
    <row r="7830" spans="6:7" x14ac:dyDescent="0.25">
      <c r="F7830">
        <v>7827</v>
      </c>
      <c r="G7830">
        <f ca="1">_xlfn.NORM.INV(RAND(),$M$7,$M$8)</f>
        <v>-4.4836412898688685E-4</v>
      </c>
    </row>
    <row r="7831" spans="6:7" x14ac:dyDescent="0.25">
      <c r="F7831">
        <v>7828</v>
      </c>
      <c r="G7831">
        <f ca="1">_xlfn.NORM.INV(RAND(),$M$7,$M$8)</f>
        <v>6.235565365315018E-3</v>
      </c>
    </row>
    <row r="7832" spans="6:7" x14ac:dyDescent="0.25">
      <c r="F7832">
        <v>7829</v>
      </c>
      <c r="G7832">
        <f ca="1">_xlfn.NORM.INV(RAND(),$M$7,$M$8)</f>
        <v>-5.5692376249223494E-3</v>
      </c>
    </row>
    <row r="7833" spans="6:7" x14ac:dyDescent="0.25">
      <c r="F7833">
        <v>7830</v>
      </c>
      <c r="G7833">
        <f ca="1">_xlfn.NORM.INV(RAND(),$M$7,$M$8)</f>
        <v>4.5019740224786491E-2</v>
      </c>
    </row>
    <row r="7834" spans="6:7" x14ac:dyDescent="0.25">
      <c r="F7834">
        <v>7831</v>
      </c>
      <c r="G7834">
        <f ca="1">_xlfn.NORM.INV(RAND(),$M$7,$M$8)</f>
        <v>-6.0574262972350416E-3</v>
      </c>
    </row>
    <row r="7835" spans="6:7" x14ac:dyDescent="0.25">
      <c r="F7835">
        <v>7832</v>
      </c>
      <c r="G7835">
        <f ca="1">_xlfn.NORM.INV(RAND(),$M$7,$M$8)</f>
        <v>5.0667378396736996E-2</v>
      </c>
    </row>
    <row r="7836" spans="6:7" x14ac:dyDescent="0.25">
      <c r="F7836">
        <v>7833</v>
      </c>
      <c r="G7836">
        <f ca="1">_xlfn.NORM.INV(RAND(),$M$7,$M$8)</f>
        <v>6.4965260886365346E-3</v>
      </c>
    </row>
    <row r="7837" spans="6:7" x14ac:dyDescent="0.25">
      <c r="F7837">
        <v>7834</v>
      </c>
      <c r="G7837">
        <f ca="1">_xlfn.NORM.INV(RAND(),$M$7,$M$8)</f>
        <v>-5.5475166907967256E-2</v>
      </c>
    </row>
    <row r="7838" spans="6:7" x14ac:dyDescent="0.25">
      <c r="F7838">
        <v>7835</v>
      </c>
      <c r="G7838">
        <f ca="1">_xlfn.NORM.INV(RAND(),$M$7,$M$8)</f>
        <v>5.5092296099652945E-3</v>
      </c>
    </row>
    <row r="7839" spans="6:7" x14ac:dyDescent="0.25">
      <c r="F7839">
        <v>7836</v>
      </c>
      <c r="G7839">
        <f ca="1">_xlfn.NORM.INV(RAND(),$M$7,$M$8)</f>
        <v>1.4750865258417054E-2</v>
      </c>
    </row>
    <row r="7840" spans="6:7" x14ac:dyDescent="0.25">
      <c r="F7840">
        <v>7837</v>
      </c>
      <c r="G7840">
        <f ca="1">_xlfn.NORM.INV(RAND(),$M$7,$M$8)</f>
        <v>1.3305118830837901E-2</v>
      </c>
    </row>
    <row r="7841" spans="6:7" x14ac:dyDescent="0.25">
      <c r="F7841">
        <v>7838</v>
      </c>
      <c r="G7841">
        <f ca="1">_xlfn.NORM.INV(RAND(),$M$7,$M$8)</f>
        <v>-9.5865436320969957E-3</v>
      </c>
    </row>
    <row r="7842" spans="6:7" x14ac:dyDescent="0.25">
      <c r="F7842">
        <v>7839</v>
      </c>
      <c r="G7842">
        <f ca="1">_xlfn.NORM.INV(RAND(),$M$7,$M$8)</f>
        <v>2.8356881944645609E-2</v>
      </c>
    </row>
    <row r="7843" spans="6:7" x14ac:dyDescent="0.25">
      <c r="F7843">
        <v>7840</v>
      </c>
      <c r="G7843">
        <f ca="1">_xlfn.NORM.INV(RAND(),$M$7,$M$8)</f>
        <v>-1.3321437594960706E-2</v>
      </c>
    </row>
    <row r="7844" spans="6:7" x14ac:dyDescent="0.25">
      <c r="F7844">
        <v>7841</v>
      </c>
      <c r="G7844">
        <f ca="1">_xlfn.NORM.INV(RAND(),$M$7,$M$8)</f>
        <v>-1.7304340272580574E-2</v>
      </c>
    </row>
    <row r="7845" spans="6:7" x14ac:dyDescent="0.25">
      <c r="F7845">
        <v>7842</v>
      </c>
      <c r="G7845">
        <f ca="1">_xlfn.NORM.INV(RAND(),$M$7,$M$8)</f>
        <v>-1.1493214721323626E-2</v>
      </c>
    </row>
    <row r="7846" spans="6:7" x14ac:dyDescent="0.25">
      <c r="F7846">
        <v>7843</v>
      </c>
      <c r="G7846">
        <f ca="1">_xlfn.NORM.INV(RAND(),$M$7,$M$8)</f>
        <v>3.9281615507728261E-2</v>
      </c>
    </row>
    <row r="7847" spans="6:7" x14ac:dyDescent="0.25">
      <c r="F7847">
        <v>7844</v>
      </c>
      <c r="G7847">
        <f ca="1">_xlfn.NORM.INV(RAND(),$M$7,$M$8)</f>
        <v>1.6709900884148789E-2</v>
      </c>
    </row>
    <row r="7848" spans="6:7" x14ac:dyDescent="0.25">
      <c r="F7848">
        <v>7845</v>
      </c>
      <c r="G7848">
        <f ca="1">_xlfn.NORM.INV(RAND(),$M$7,$M$8)</f>
        <v>1.642622245775029E-2</v>
      </c>
    </row>
    <row r="7849" spans="6:7" x14ac:dyDescent="0.25">
      <c r="F7849">
        <v>7846</v>
      </c>
      <c r="G7849">
        <f ca="1">_xlfn.NORM.INV(RAND(),$M$7,$M$8)</f>
        <v>-2.082116051640507E-2</v>
      </c>
    </row>
    <row r="7850" spans="6:7" x14ac:dyDescent="0.25">
      <c r="F7850">
        <v>7847</v>
      </c>
      <c r="G7850">
        <f ca="1">_xlfn.NORM.INV(RAND(),$M$7,$M$8)</f>
        <v>-2.8509933384807163E-2</v>
      </c>
    </row>
    <row r="7851" spans="6:7" x14ac:dyDescent="0.25">
      <c r="F7851">
        <v>7848</v>
      </c>
      <c r="G7851">
        <f ca="1">_xlfn.NORM.INV(RAND(),$M$7,$M$8)</f>
        <v>5.689979458702631E-3</v>
      </c>
    </row>
    <row r="7852" spans="6:7" x14ac:dyDescent="0.25">
      <c r="F7852">
        <v>7849</v>
      </c>
      <c r="G7852">
        <f ca="1">_xlfn.NORM.INV(RAND(),$M$7,$M$8)</f>
        <v>-3.8657074017891334E-2</v>
      </c>
    </row>
    <row r="7853" spans="6:7" x14ac:dyDescent="0.25">
      <c r="F7853">
        <v>7850</v>
      </c>
      <c r="G7853">
        <f ca="1">_xlfn.NORM.INV(RAND(),$M$7,$M$8)</f>
        <v>-2.9912583386409834E-2</v>
      </c>
    </row>
    <row r="7854" spans="6:7" x14ac:dyDescent="0.25">
      <c r="F7854">
        <v>7851</v>
      </c>
      <c r="G7854">
        <f ca="1">_xlfn.NORM.INV(RAND(),$M$7,$M$8)</f>
        <v>-6.239443115667908E-2</v>
      </c>
    </row>
    <row r="7855" spans="6:7" x14ac:dyDescent="0.25">
      <c r="F7855">
        <v>7852</v>
      </c>
      <c r="G7855">
        <f ca="1">_xlfn.NORM.INV(RAND(),$M$7,$M$8)</f>
        <v>1.3485094688894476E-2</v>
      </c>
    </row>
    <row r="7856" spans="6:7" x14ac:dyDescent="0.25">
      <c r="F7856">
        <v>7853</v>
      </c>
      <c r="G7856">
        <f ca="1">_xlfn.NORM.INV(RAND(),$M$7,$M$8)</f>
        <v>-1.7976330746514196E-2</v>
      </c>
    </row>
    <row r="7857" spans="6:7" x14ac:dyDescent="0.25">
      <c r="F7857">
        <v>7854</v>
      </c>
      <c r="G7857">
        <f ca="1">_xlfn.NORM.INV(RAND(),$M$7,$M$8)</f>
        <v>3.7558634219476044E-3</v>
      </c>
    </row>
    <row r="7858" spans="6:7" x14ac:dyDescent="0.25">
      <c r="F7858">
        <v>7855</v>
      </c>
      <c r="G7858">
        <f ca="1">_xlfn.NORM.INV(RAND(),$M$7,$M$8)</f>
        <v>-2.050348242056052E-2</v>
      </c>
    </row>
    <row r="7859" spans="6:7" x14ac:dyDescent="0.25">
      <c r="F7859">
        <v>7856</v>
      </c>
      <c r="G7859">
        <f ca="1">_xlfn.NORM.INV(RAND(),$M$7,$M$8)</f>
        <v>-8.6407973645055095E-3</v>
      </c>
    </row>
    <row r="7860" spans="6:7" x14ac:dyDescent="0.25">
      <c r="F7860">
        <v>7857</v>
      </c>
      <c r="G7860">
        <f ca="1">_xlfn.NORM.INV(RAND(),$M$7,$M$8)</f>
        <v>9.6294238158154775E-3</v>
      </c>
    </row>
    <row r="7861" spans="6:7" x14ac:dyDescent="0.25">
      <c r="F7861">
        <v>7858</v>
      </c>
      <c r="G7861">
        <f ca="1">_xlfn.NORM.INV(RAND(),$M$7,$M$8)</f>
        <v>4.3551962689903169E-2</v>
      </c>
    </row>
    <row r="7862" spans="6:7" x14ac:dyDescent="0.25">
      <c r="F7862">
        <v>7859</v>
      </c>
      <c r="G7862">
        <f ca="1">_xlfn.NORM.INV(RAND(),$M$7,$M$8)</f>
        <v>4.576437975936562E-2</v>
      </c>
    </row>
    <row r="7863" spans="6:7" x14ac:dyDescent="0.25">
      <c r="F7863">
        <v>7860</v>
      </c>
      <c r="G7863">
        <f ca="1">_xlfn.NORM.INV(RAND(),$M$7,$M$8)</f>
        <v>-2.2146964412398457E-2</v>
      </c>
    </row>
    <row r="7864" spans="6:7" x14ac:dyDescent="0.25">
      <c r="F7864">
        <v>7861</v>
      </c>
      <c r="G7864">
        <f ca="1">_xlfn.NORM.INV(RAND(),$M$7,$M$8)</f>
        <v>-1.2606464961597045E-2</v>
      </c>
    </row>
    <row r="7865" spans="6:7" x14ac:dyDescent="0.25">
      <c r="F7865">
        <v>7862</v>
      </c>
      <c r="G7865">
        <f ca="1">_xlfn.NORM.INV(RAND(),$M$7,$M$8)</f>
        <v>3.1185744244210754E-2</v>
      </c>
    </row>
    <row r="7866" spans="6:7" x14ac:dyDescent="0.25">
      <c r="F7866">
        <v>7863</v>
      </c>
      <c r="G7866">
        <f ca="1">_xlfn.NORM.INV(RAND(),$M$7,$M$8)</f>
        <v>-2.2608579765590137E-2</v>
      </c>
    </row>
    <row r="7867" spans="6:7" x14ac:dyDescent="0.25">
      <c r="F7867">
        <v>7864</v>
      </c>
      <c r="G7867">
        <f ca="1">_xlfn.NORM.INV(RAND(),$M$7,$M$8)</f>
        <v>5.6139811957226816E-3</v>
      </c>
    </row>
    <row r="7868" spans="6:7" x14ac:dyDescent="0.25">
      <c r="F7868">
        <v>7865</v>
      </c>
      <c r="G7868">
        <f ca="1">_xlfn.NORM.INV(RAND(),$M$7,$M$8)</f>
        <v>-1.3846197670955089E-2</v>
      </c>
    </row>
    <row r="7869" spans="6:7" x14ac:dyDescent="0.25">
      <c r="F7869">
        <v>7866</v>
      </c>
      <c r="G7869">
        <f ca="1">_xlfn.NORM.INV(RAND(),$M$7,$M$8)</f>
        <v>3.2233014722739567E-2</v>
      </c>
    </row>
    <row r="7870" spans="6:7" x14ac:dyDescent="0.25">
      <c r="F7870">
        <v>7867</v>
      </c>
      <c r="G7870">
        <f ca="1">_xlfn.NORM.INV(RAND(),$M$7,$M$8)</f>
        <v>-6.4271105511869587E-3</v>
      </c>
    </row>
    <row r="7871" spans="6:7" x14ac:dyDescent="0.25">
      <c r="F7871">
        <v>7868</v>
      </c>
      <c r="G7871">
        <f ca="1">_xlfn.NORM.INV(RAND(),$M$7,$M$8)</f>
        <v>1.9485868740605886E-2</v>
      </c>
    </row>
    <row r="7872" spans="6:7" x14ac:dyDescent="0.25">
      <c r="F7872">
        <v>7869</v>
      </c>
      <c r="G7872">
        <f ca="1">_xlfn.NORM.INV(RAND(),$M$7,$M$8)</f>
        <v>2.5546605563665628E-2</v>
      </c>
    </row>
    <row r="7873" spans="6:7" x14ac:dyDescent="0.25">
      <c r="F7873">
        <v>7870</v>
      </c>
      <c r="G7873">
        <f ca="1">_xlfn.NORM.INV(RAND(),$M$7,$M$8)</f>
        <v>-2.8223238322843854E-2</v>
      </c>
    </row>
    <row r="7874" spans="6:7" x14ac:dyDescent="0.25">
      <c r="F7874">
        <v>7871</v>
      </c>
      <c r="G7874">
        <f ca="1">_xlfn.NORM.INV(RAND(),$M$7,$M$8)</f>
        <v>-1.2383795022435074E-2</v>
      </c>
    </row>
    <row r="7875" spans="6:7" x14ac:dyDescent="0.25">
      <c r="F7875">
        <v>7872</v>
      </c>
      <c r="G7875">
        <f ca="1">_xlfn.NORM.INV(RAND(),$M$7,$M$8)</f>
        <v>-1.6975280963924779E-2</v>
      </c>
    </row>
    <row r="7876" spans="6:7" x14ac:dyDescent="0.25">
      <c r="F7876">
        <v>7873</v>
      </c>
      <c r="G7876">
        <f ca="1">_xlfn.NORM.INV(RAND(),$M$7,$M$8)</f>
        <v>6.8491359532453763E-2</v>
      </c>
    </row>
    <row r="7877" spans="6:7" x14ac:dyDescent="0.25">
      <c r="F7877">
        <v>7874</v>
      </c>
      <c r="G7877">
        <f ca="1">_xlfn.NORM.INV(RAND(),$M$7,$M$8)</f>
        <v>2.9308446421868192E-2</v>
      </c>
    </row>
    <row r="7878" spans="6:7" x14ac:dyDescent="0.25">
      <c r="F7878">
        <v>7875</v>
      </c>
      <c r="G7878">
        <f ca="1">_xlfn.NORM.INV(RAND(),$M$7,$M$8)</f>
        <v>-3.0303525666791193E-2</v>
      </c>
    </row>
    <row r="7879" spans="6:7" x14ac:dyDescent="0.25">
      <c r="F7879">
        <v>7876</v>
      </c>
      <c r="G7879">
        <f ca="1">_xlfn.NORM.INV(RAND(),$M$7,$M$8)</f>
        <v>3.9564377659657805E-3</v>
      </c>
    </row>
    <row r="7880" spans="6:7" x14ac:dyDescent="0.25">
      <c r="F7880">
        <v>7877</v>
      </c>
      <c r="G7880">
        <f ca="1">_xlfn.NORM.INV(RAND(),$M$7,$M$8)</f>
        <v>2.649525669597543E-3</v>
      </c>
    </row>
    <row r="7881" spans="6:7" x14ac:dyDescent="0.25">
      <c r="F7881">
        <v>7878</v>
      </c>
      <c r="G7881">
        <f ca="1">_xlfn.NORM.INV(RAND(),$M$7,$M$8)</f>
        <v>-3.8302375493530646E-3</v>
      </c>
    </row>
    <row r="7882" spans="6:7" x14ac:dyDescent="0.25">
      <c r="F7882">
        <v>7879</v>
      </c>
      <c r="G7882">
        <f ca="1">_xlfn.NORM.INV(RAND(),$M$7,$M$8)</f>
        <v>3.589611042824719E-2</v>
      </c>
    </row>
    <row r="7883" spans="6:7" x14ac:dyDescent="0.25">
      <c r="F7883">
        <v>7880</v>
      </c>
      <c r="G7883">
        <f ca="1">_xlfn.NORM.INV(RAND(),$M$7,$M$8)</f>
        <v>-6.0234225940982416E-3</v>
      </c>
    </row>
    <row r="7884" spans="6:7" x14ac:dyDescent="0.25">
      <c r="F7884">
        <v>7881</v>
      </c>
      <c r="G7884">
        <f ca="1">_xlfn.NORM.INV(RAND(),$M$7,$M$8)</f>
        <v>3.1417567228805336E-2</v>
      </c>
    </row>
    <row r="7885" spans="6:7" x14ac:dyDescent="0.25">
      <c r="F7885">
        <v>7882</v>
      </c>
      <c r="G7885">
        <f ca="1">_xlfn.NORM.INV(RAND(),$M$7,$M$8)</f>
        <v>2.527630281799978E-2</v>
      </c>
    </row>
    <row r="7886" spans="6:7" x14ac:dyDescent="0.25">
      <c r="F7886">
        <v>7883</v>
      </c>
      <c r="G7886">
        <f ca="1">_xlfn.NORM.INV(RAND(),$M$7,$M$8)</f>
        <v>-2.4775669000458491E-3</v>
      </c>
    </row>
    <row r="7887" spans="6:7" x14ac:dyDescent="0.25">
      <c r="F7887">
        <v>7884</v>
      </c>
      <c r="G7887">
        <f ca="1">_xlfn.NORM.INV(RAND(),$M$7,$M$8)</f>
        <v>2.8542385160642454E-2</v>
      </c>
    </row>
    <row r="7888" spans="6:7" x14ac:dyDescent="0.25">
      <c r="F7888">
        <v>7885</v>
      </c>
      <c r="G7888">
        <f ca="1">_xlfn.NORM.INV(RAND(),$M$7,$M$8)</f>
        <v>-1.7442130665395714E-2</v>
      </c>
    </row>
    <row r="7889" spans="6:7" x14ac:dyDescent="0.25">
      <c r="F7889">
        <v>7886</v>
      </c>
      <c r="G7889">
        <f ca="1">_xlfn.NORM.INV(RAND(),$M$7,$M$8)</f>
        <v>-2.7514392657234533E-2</v>
      </c>
    </row>
    <row r="7890" spans="6:7" x14ac:dyDescent="0.25">
      <c r="F7890">
        <v>7887</v>
      </c>
      <c r="G7890">
        <f ca="1">_xlfn.NORM.INV(RAND(),$M$7,$M$8)</f>
        <v>-3.3004355009825785E-2</v>
      </c>
    </row>
    <row r="7891" spans="6:7" x14ac:dyDescent="0.25">
      <c r="F7891">
        <v>7888</v>
      </c>
      <c r="G7891">
        <f ca="1">_xlfn.NORM.INV(RAND(),$M$7,$M$8)</f>
        <v>-2.5626086809559197E-2</v>
      </c>
    </row>
    <row r="7892" spans="6:7" x14ac:dyDescent="0.25">
      <c r="F7892">
        <v>7889</v>
      </c>
      <c r="G7892">
        <f ca="1">_xlfn.NORM.INV(RAND(),$M$7,$M$8)</f>
        <v>9.7074160624462669E-3</v>
      </c>
    </row>
    <row r="7893" spans="6:7" x14ac:dyDescent="0.25">
      <c r="F7893">
        <v>7890</v>
      </c>
      <c r="G7893">
        <f ca="1">_xlfn.NORM.INV(RAND(),$M$7,$M$8)</f>
        <v>1.7651967809135832E-2</v>
      </c>
    </row>
    <row r="7894" spans="6:7" x14ac:dyDescent="0.25">
      <c r="F7894">
        <v>7891</v>
      </c>
      <c r="G7894">
        <f ca="1">_xlfn.NORM.INV(RAND(),$M$7,$M$8)</f>
        <v>-2.7381054588056675E-2</v>
      </c>
    </row>
    <row r="7895" spans="6:7" x14ac:dyDescent="0.25">
      <c r="F7895">
        <v>7892</v>
      </c>
      <c r="G7895">
        <f ca="1">_xlfn.NORM.INV(RAND(),$M$7,$M$8)</f>
        <v>-2.1671080650053867E-2</v>
      </c>
    </row>
    <row r="7896" spans="6:7" x14ac:dyDescent="0.25">
      <c r="F7896">
        <v>7893</v>
      </c>
      <c r="G7896">
        <f ca="1">_xlfn.NORM.INV(RAND(),$M$7,$M$8)</f>
        <v>-1.1124984483997473E-2</v>
      </c>
    </row>
    <row r="7897" spans="6:7" x14ac:dyDescent="0.25">
      <c r="F7897">
        <v>7894</v>
      </c>
      <c r="G7897">
        <f ca="1">_xlfn.NORM.INV(RAND(),$M$7,$M$8)</f>
        <v>-1.9052086247486839E-2</v>
      </c>
    </row>
    <row r="7898" spans="6:7" x14ac:dyDescent="0.25">
      <c r="F7898">
        <v>7895</v>
      </c>
      <c r="G7898">
        <f ca="1">_xlfn.NORM.INV(RAND(),$M$7,$M$8)</f>
        <v>-2.4562256072845189E-2</v>
      </c>
    </row>
    <row r="7899" spans="6:7" x14ac:dyDescent="0.25">
      <c r="F7899">
        <v>7896</v>
      </c>
      <c r="G7899">
        <f ca="1">_xlfn.NORM.INV(RAND(),$M$7,$M$8)</f>
        <v>-1.9814245549803777E-2</v>
      </c>
    </row>
    <row r="7900" spans="6:7" x14ac:dyDescent="0.25">
      <c r="F7900">
        <v>7897</v>
      </c>
      <c r="G7900">
        <f ca="1">_xlfn.NORM.INV(RAND(),$M$7,$M$8)</f>
        <v>1.802484727288365E-2</v>
      </c>
    </row>
    <row r="7901" spans="6:7" x14ac:dyDescent="0.25">
      <c r="F7901">
        <v>7898</v>
      </c>
      <c r="G7901">
        <f ca="1">_xlfn.NORM.INV(RAND(),$M$7,$M$8)</f>
        <v>5.5377245380157994E-2</v>
      </c>
    </row>
    <row r="7902" spans="6:7" x14ac:dyDescent="0.25">
      <c r="F7902">
        <v>7899</v>
      </c>
      <c r="G7902">
        <f ca="1">_xlfn.NORM.INV(RAND(),$M$7,$M$8)</f>
        <v>2.576068819180111E-2</v>
      </c>
    </row>
    <row r="7903" spans="6:7" x14ac:dyDescent="0.25">
      <c r="F7903">
        <v>7900</v>
      </c>
      <c r="G7903">
        <f ca="1">_xlfn.NORM.INV(RAND(),$M$7,$M$8)</f>
        <v>-3.5847603267081536E-2</v>
      </c>
    </row>
    <row r="7904" spans="6:7" x14ac:dyDescent="0.25">
      <c r="F7904">
        <v>7901</v>
      </c>
      <c r="G7904">
        <f ca="1">_xlfn.NORM.INV(RAND(),$M$7,$M$8)</f>
        <v>4.0209396292520388E-3</v>
      </c>
    </row>
    <row r="7905" spans="6:7" x14ac:dyDescent="0.25">
      <c r="F7905">
        <v>7902</v>
      </c>
      <c r="G7905">
        <f ca="1">_xlfn.NORM.INV(RAND(),$M$7,$M$8)</f>
        <v>-8.7780162065195233E-3</v>
      </c>
    </row>
    <row r="7906" spans="6:7" x14ac:dyDescent="0.25">
      <c r="F7906">
        <v>7903</v>
      </c>
      <c r="G7906">
        <f ca="1">_xlfn.NORM.INV(RAND(),$M$7,$M$8)</f>
        <v>1.5676155608351606E-2</v>
      </c>
    </row>
    <row r="7907" spans="6:7" x14ac:dyDescent="0.25">
      <c r="F7907">
        <v>7904</v>
      </c>
      <c r="G7907">
        <f ca="1">_xlfn.NORM.INV(RAND(),$M$7,$M$8)</f>
        <v>5.0160121951838263E-2</v>
      </c>
    </row>
    <row r="7908" spans="6:7" x14ac:dyDescent="0.25">
      <c r="F7908">
        <v>7905</v>
      </c>
      <c r="G7908">
        <f ca="1">_xlfn.NORM.INV(RAND(),$M$7,$M$8)</f>
        <v>-1.7912910046832924E-2</v>
      </c>
    </row>
    <row r="7909" spans="6:7" x14ac:dyDescent="0.25">
      <c r="F7909">
        <v>7906</v>
      </c>
      <c r="G7909">
        <f ca="1">_xlfn.NORM.INV(RAND(),$M$7,$M$8)</f>
        <v>9.8534899560061701E-3</v>
      </c>
    </row>
    <row r="7910" spans="6:7" x14ac:dyDescent="0.25">
      <c r="F7910">
        <v>7907</v>
      </c>
      <c r="G7910">
        <f ca="1">_xlfn.NORM.INV(RAND(),$M$7,$M$8)</f>
        <v>-2.5839262058173579E-2</v>
      </c>
    </row>
    <row r="7911" spans="6:7" x14ac:dyDescent="0.25">
      <c r="F7911">
        <v>7908</v>
      </c>
      <c r="G7911">
        <f ca="1">_xlfn.NORM.INV(RAND(),$M$7,$M$8)</f>
        <v>3.406049650793367E-2</v>
      </c>
    </row>
    <row r="7912" spans="6:7" x14ac:dyDescent="0.25">
      <c r="F7912">
        <v>7909</v>
      </c>
      <c r="G7912">
        <f ca="1">_xlfn.NORM.INV(RAND(),$M$7,$M$8)</f>
        <v>1.3102363016385184E-2</v>
      </c>
    </row>
    <row r="7913" spans="6:7" x14ac:dyDescent="0.25">
      <c r="F7913">
        <v>7910</v>
      </c>
      <c r="G7913">
        <f ca="1">_xlfn.NORM.INV(RAND(),$M$7,$M$8)</f>
        <v>1.8896349669328318E-2</v>
      </c>
    </row>
    <row r="7914" spans="6:7" x14ac:dyDescent="0.25">
      <c r="F7914">
        <v>7911</v>
      </c>
      <c r="G7914">
        <f ca="1">_xlfn.NORM.INV(RAND(),$M$7,$M$8)</f>
        <v>2.7520720090090028E-2</v>
      </c>
    </row>
    <row r="7915" spans="6:7" x14ac:dyDescent="0.25">
      <c r="F7915">
        <v>7912</v>
      </c>
      <c r="G7915">
        <f ca="1">_xlfn.NORM.INV(RAND(),$M$7,$M$8)</f>
        <v>1.1595285964930657E-2</v>
      </c>
    </row>
    <row r="7916" spans="6:7" x14ac:dyDescent="0.25">
      <c r="F7916">
        <v>7913</v>
      </c>
      <c r="G7916">
        <f ca="1">_xlfn.NORM.INV(RAND(),$M$7,$M$8)</f>
        <v>2.812183196759524E-2</v>
      </c>
    </row>
    <row r="7917" spans="6:7" x14ac:dyDescent="0.25">
      <c r="F7917">
        <v>7914</v>
      </c>
      <c r="G7917">
        <f ca="1">_xlfn.NORM.INV(RAND(),$M$7,$M$8)</f>
        <v>1.3193209710671189E-2</v>
      </c>
    </row>
    <row r="7918" spans="6:7" x14ac:dyDescent="0.25">
      <c r="F7918">
        <v>7915</v>
      </c>
      <c r="G7918">
        <f ca="1">_xlfn.NORM.INV(RAND(),$M$7,$M$8)</f>
        <v>-2.1120378572021547E-2</v>
      </c>
    </row>
    <row r="7919" spans="6:7" x14ac:dyDescent="0.25">
      <c r="F7919">
        <v>7916</v>
      </c>
      <c r="G7919">
        <f ca="1">_xlfn.NORM.INV(RAND(),$M$7,$M$8)</f>
        <v>-6.4568305396476514E-3</v>
      </c>
    </row>
    <row r="7920" spans="6:7" x14ac:dyDescent="0.25">
      <c r="F7920">
        <v>7917</v>
      </c>
      <c r="G7920">
        <f ca="1">_xlfn.NORM.INV(RAND(),$M$7,$M$8)</f>
        <v>3.2502320509723444E-3</v>
      </c>
    </row>
    <row r="7921" spans="6:7" x14ac:dyDescent="0.25">
      <c r="F7921">
        <v>7918</v>
      </c>
      <c r="G7921">
        <f ca="1">_xlfn.NORM.INV(RAND(),$M$7,$M$8)</f>
        <v>2.8312833135930551E-2</v>
      </c>
    </row>
    <row r="7922" spans="6:7" x14ac:dyDescent="0.25">
      <c r="F7922">
        <v>7919</v>
      </c>
      <c r="G7922">
        <f ca="1">_xlfn.NORM.INV(RAND(),$M$7,$M$8)</f>
        <v>1.5422977019497762E-2</v>
      </c>
    </row>
    <row r="7923" spans="6:7" x14ac:dyDescent="0.25">
      <c r="F7923">
        <v>7920</v>
      </c>
      <c r="G7923">
        <f ca="1">_xlfn.NORM.INV(RAND(),$M$7,$M$8)</f>
        <v>4.4378386629583655E-2</v>
      </c>
    </row>
    <row r="7924" spans="6:7" x14ac:dyDescent="0.25">
      <c r="F7924">
        <v>7921</v>
      </c>
      <c r="G7924">
        <f ca="1">_xlfn.NORM.INV(RAND(),$M$7,$M$8)</f>
        <v>-1.6565256144807491E-3</v>
      </c>
    </row>
    <row r="7925" spans="6:7" x14ac:dyDescent="0.25">
      <c r="F7925">
        <v>7922</v>
      </c>
      <c r="G7925">
        <f ca="1">_xlfn.NORM.INV(RAND(),$M$7,$M$8)</f>
        <v>-4.8439784455553116E-2</v>
      </c>
    </row>
    <row r="7926" spans="6:7" x14ac:dyDescent="0.25">
      <c r="F7926">
        <v>7923</v>
      </c>
      <c r="G7926">
        <f ca="1">_xlfn.NORM.INV(RAND(),$M$7,$M$8)</f>
        <v>1.265875594161734E-2</v>
      </c>
    </row>
    <row r="7927" spans="6:7" x14ac:dyDescent="0.25">
      <c r="F7927">
        <v>7924</v>
      </c>
      <c r="G7927">
        <f ca="1">_xlfn.NORM.INV(RAND(),$M$7,$M$8)</f>
        <v>1.9917572467407847E-2</v>
      </c>
    </row>
    <row r="7928" spans="6:7" x14ac:dyDescent="0.25">
      <c r="F7928">
        <v>7925</v>
      </c>
      <c r="G7928">
        <f ca="1">_xlfn.NORM.INV(RAND(),$M$7,$M$8)</f>
        <v>-2.8582422813726315E-2</v>
      </c>
    </row>
    <row r="7929" spans="6:7" x14ac:dyDescent="0.25">
      <c r="F7929">
        <v>7926</v>
      </c>
      <c r="G7929">
        <f ca="1">_xlfn.NORM.INV(RAND(),$M$7,$M$8)</f>
        <v>3.3248355433779199E-3</v>
      </c>
    </row>
    <row r="7930" spans="6:7" x14ac:dyDescent="0.25">
      <c r="F7930">
        <v>7927</v>
      </c>
      <c r="G7930">
        <f ca="1">_xlfn.NORM.INV(RAND(),$M$7,$M$8)</f>
        <v>-2.099237642436442E-3</v>
      </c>
    </row>
    <row r="7931" spans="6:7" x14ac:dyDescent="0.25">
      <c r="F7931">
        <v>7928</v>
      </c>
      <c r="G7931">
        <f ca="1">_xlfn.NORM.INV(RAND(),$M$7,$M$8)</f>
        <v>-2.5649622148168873E-2</v>
      </c>
    </row>
    <row r="7932" spans="6:7" x14ac:dyDescent="0.25">
      <c r="F7932">
        <v>7929</v>
      </c>
      <c r="G7932">
        <f ca="1">_xlfn.NORM.INV(RAND(),$M$7,$M$8)</f>
        <v>-5.2750282681638741E-3</v>
      </c>
    </row>
    <row r="7933" spans="6:7" x14ac:dyDescent="0.25">
      <c r="F7933">
        <v>7930</v>
      </c>
      <c r="G7933">
        <f ca="1">_xlfn.NORM.INV(RAND(),$M$7,$M$8)</f>
        <v>1.7391504368936269E-2</v>
      </c>
    </row>
    <row r="7934" spans="6:7" x14ac:dyDescent="0.25">
      <c r="F7934">
        <v>7931</v>
      </c>
      <c r="G7934">
        <f ca="1">_xlfn.NORM.INV(RAND(),$M$7,$M$8)</f>
        <v>-4.4683637025671005E-2</v>
      </c>
    </row>
    <row r="7935" spans="6:7" x14ac:dyDescent="0.25">
      <c r="F7935">
        <v>7932</v>
      </c>
      <c r="G7935">
        <f ca="1">_xlfn.NORM.INV(RAND(),$M$7,$M$8)</f>
        <v>2.2301548199662156E-2</v>
      </c>
    </row>
    <row r="7936" spans="6:7" x14ac:dyDescent="0.25">
      <c r="F7936">
        <v>7933</v>
      </c>
      <c r="G7936">
        <f ca="1">_xlfn.NORM.INV(RAND(),$M$7,$M$8)</f>
        <v>-1.1370706899572727E-2</v>
      </c>
    </row>
    <row r="7937" spans="6:7" x14ac:dyDescent="0.25">
      <c r="F7937">
        <v>7934</v>
      </c>
      <c r="G7937">
        <f ca="1">_xlfn.NORM.INV(RAND(),$M$7,$M$8)</f>
        <v>3.1963496655404489E-2</v>
      </c>
    </row>
    <row r="7938" spans="6:7" x14ac:dyDescent="0.25">
      <c r="F7938">
        <v>7935</v>
      </c>
      <c r="G7938">
        <f ca="1">_xlfn.NORM.INV(RAND(),$M$7,$M$8)</f>
        <v>1.9374734344024667E-2</v>
      </c>
    </row>
    <row r="7939" spans="6:7" x14ac:dyDescent="0.25">
      <c r="F7939">
        <v>7936</v>
      </c>
      <c r="G7939">
        <f ca="1">_xlfn.NORM.INV(RAND(),$M$7,$M$8)</f>
        <v>-1.4966489096274009E-2</v>
      </c>
    </row>
    <row r="7940" spans="6:7" x14ac:dyDescent="0.25">
      <c r="F7940">
        <v>7937</v>
      </c>
      <c r="G7940">
        <f ca="1">_xlfn.NORM.INV(RAND(),$M$7,$M$8)</f>
        <v>-5.7574221857849706E-4</v>
      </c>
    </row>
    <row r="7941" spans="6:7" x14ac:dyDescent="0.25">
      <c r="F7941">
        <v>7938</v>
      </c>
      <c r="G7941">
        <f ca="1">_xlfn.NORM.INV(RAND(),$M$7,$M$8)</f>
        <v>-2.3229066449921246E-2</v>
      </c>
    </row>
    <row r="7942" spans="6:7" x14ac:dyDescent="0.25">
      <c r="F7942">
        <v>7939</v>
      </c>
      <c r="G7942">
        <f ca="1">_xlfn.NORM.INV(RAND(),$M$7,$M$8)</f>
        <v>1.1342801443271489E-2</v>
      </c>
    </row>
    <row r="7943" spans="6:7" x14ac:dyDescent="0.25">
      <c r="F7943">
        <v>7940</v>
      </c>
      <c r="G7943">
        <f ca="1">_xlfn.NORM.INV(RAND(),$M$7,$M$8)</f>
        <v>-1.0047132371537145E-2</v>
      </c>
    </row>
    <row r="7944" spans="6:7" x14ac:dyDescent="0.25">
      <c r="F7944">
        <v>7941</v>
      </c>
      <c r="G7944">
        <f ca="1">_xlfn.NORM.INV(RAND(),$M$7,$M$8)</f>
        <v>-1.2539896686534758E-2</v>
      </c>
    </row>
    <row r="7945" spans="6:7" x14ac:dyDescent="0.25">
      <c r="F7945">
        <v>7942</v>
      </c>
      <c r="G7945">
        <f ca="1">_xlfn.NORM.INV(RAND(),$M$7,$M$8)</f>
        <v>-1.121340209215292E-2</v>
      </c>
    </row>
    <row r="7946" spans="6:7" x14ac:dyDescent="0.25">
      <c r="F7946">
        <v>7943</v>
      </c>
      <c r="G7946">
        <f ca="1">_xlfn.NORM.INV(RAND(),$M$7,$M$8)</f>
        <v>1.4006397926848877E-2</v>
      </c>
    </row>
    <row r="7947" spans="6:7" x14ac:dyDescent="0.25">
      <c r="F7947">
        <v>7944</v>
      </c>
      <c r="G7947">
        <f ca="1">_xlfn.NORM.INV(RAND(),$M$7,$M$8)</f>
        <v>1.7653773716717676E-2</v>
      </c>
    </row>
    <row r="7948" spans="6:7" x14ac:dyDescent="0.25">
      <c r="F7948">
        <v>7945</v>
      </c>
      <c r="G7948">
        <f ca="1">_xlfn.NORM.INV(RAND(),$M$7,$M$8)</f>
        <v>-1.9373165766381477E-2</v>
      </c>
    </row>
    <row r="7949" spans="6:7" x14ac:dyDescent="0.25">
      <c r="F7949">
        <v>7946</v>
      </c>
      <c r="G7949">
        <f ca="1">_xlfn.NORM.INV(RAND(),$M$7,$M$8)</f>
        <v>-2.691633448520727E-2</v>
      </c>
    </row>
    <row r="7950" spans="6:7" x14ac:dyDescent="0.25">
      <c r="F7950">
        <v>7947</v>
      </c>
      <c r="G7950">
        <f ca="1">_xlfn.NORM.INV(RAND(),$M$7,$M$8)</f>
        <v>1.4479892882775337E-2</v>
      </c>
    </row>
    <row r="7951" spans="6:7" x14ac:dyDescent="0.25">
      <c r="F7951">
        <v>7948</v>
      </c>
      <c r="G7951">
        <f ca="1">_xlfn.NORM.INV(RAND(),$M$7,$M$8)</f>
        <v>5.5039740818159044E-2</v>
      </c>
    </row>
    <row r="7952" spans="6:7" x14ac:dyDescent="0.25">
      <c r="F7952">
        <v>7949</v>
      </c>
      <c r="G7952">
        <f ca="1">_xlfn.NORM.INV(RAND(),$M$7,$M$8)</f>
        <v>2.1855519900566153E-2</v>
      </c>
    </row>
    <row r="7953" spans="6:7" x14ac:dyDescent="0.25">
      <c r="F7953">
        <v>7950</v>
      </c>
      <c r="G7953">
        <f ca="1">_xlfn.NORM.INV(RAND(),$M$7,$M$8)</f>
        <v>8.4834728638130963E-3</v>
      </c>
    </row>
    <row r="7954" spans="6:7" x14ac:dyDescent="0.25">
      <c r="F7954">
        <v>7951</v>
      </c>
      <c r="G7954">
        <f ca="1">_xlfn.NORM.INV(RAND(),$M$7,$M$8)</f>
        <v>7.8120321308004139E-3</v>
      </c>
    </row>
    <row r="7955" spans="6:7" x14ac:dyDescent="0.25">
      <c r="F7955">
        <v>7952</v>
      </c>
      <c r="G7955">
        <f ca="1">_xlfn.NORM.INV(RAND(),$M$7,$M$8)</f>
        <v>1.988521168105177E-2</v>
      </c>
    </row>
    <row r="7956" spans="6:7" x14ac:dyDescent="0.25">
      <c r="F7956">
        <v>7953</v>
      </c>
      <c r="G7956">
        <f ca="1">_xlfn.NORM.INV(RAND(),$M$7,$M$8)</f>
        <v>3.4396365690890808E-2</v>
      </c>
    </row>
    <row r="7957" spans="6:7" x14ac:dyDescent="0.25">
      <c r="F7957">
        <v>7954</v>
      </c>
      <c r="G7957">
        <f ca="1">_xlfn.NORM.INV(RAND(),$M$7,$M$8)</f>
        <v>-1.0566442008366718E-2</v>
      </c>
    </row>
    <row r="7958" spans="6:7" x14ac:dyDescent="0.25">
      <c r="F7958">
        <v>7955</v>
      </c>
      <c r="G7958">
        <f ca="1">_xlfn.NORM.INV(RAND(),$M$7,$M$8)</f>
        <v>-3.1552596883648198E-2</v>
      </c>
    </row>
    <row r="7959" spans="6:7" x14ac:dyDescent="0.25">
      <c r="F7959">
        <v>7956</v>
      </c>
      <c r="G7959">
        <f ca="1">_xlfn.NORM.INV(RAND(),$M$7,$M$8)</f>
        <v>4.4527829790083351E-2</v>
      </c>
    </row>
    <row r="7960" spans="6:7" x14ac:dyDescent="0.25">
      <c r="F7960">
        <v>7957</v>
      </c>
      <c r="G7960">
        <f ca="1">_xlfn.NORM.INV(RAND(),$M$7,$M$8)</f>
        <v>-3.9164687618972113E-3</v>
      </c>
    </row>
    <row r="7961" spans="6:7" x14ac:dyDescent="0.25">
      <c r="F7961">
        <v>7958</v>
      </c>
      <c r="G7961">
        <f ca="1">_xlfn.NORM.INV(RAND(),$M$7,$M$8)</f>
        <v>7.6122565531059911E-3</v>
      </c>
    </row>
    <row r="7962" spans="6:7" x14ac:dyDescent="0.25">
      <c r="F7962">
        <v>7959</v>
      </c>
      <c r="G7962">
        <f ca="1">_xlfn.NORM.INV(RAND(),$M$7,$M$8)</f>
        <v>2.6980009989325477E-3</v>
      </c>
    </row>
    <row r="7963" spans="6:7" x14ac:dyDescent="0.25">
      <c r="F7963">
        <v>7960</v>
      </c>
      <c r="G7963">
        <f ca="1">_xlfn.NORM.INV(RAND(),$M$7,$M$8)</f>
        <v>-8.6951993297164441E-3</v>
      </c>
    </row>
    <row r="7964" spans="6:7" x14ac:dyDescent="0.25">
      <c r="F7964">
        <v>7961</v>
      </c>
      <c r="G7964">
        <f ca="1">_xlfn.NORM.INV(RAND(),$M$7,$M$8)</f>
        <v>-9.7405040673652389E-3</v>
      </c>
    </row>
    <row r="7965" spans="6:7" x14ac:dyDescent="0.25">
      <c r="F7965">
        <v>7962</v>
      </c>
      <c r="G7965">
        <f ca="1">_xlfn.NORM.INV(RAND(),$M$7,$M$8)</f>
        <v>3.1172948657018997E-2</v>
      </c>
    </row>
    <row r="7966" spans="6:7" x14ac:dyDescent="0.25">
      <c r="F7966">
        <v>7963</v>
      </c>
      <c r="G7966">
        <f ca="1">_xlfn.NORM.INV(RAND(),$M$7,$M$8)</f>
        <v>7.5523248101305399E-3</v>
      </c>
    </row>
    <row r="7967" spans="6:7" x14ac:dyDescent="0.25">
      <c r="F7967">
        <v>7964</v>
      </c>
      <c r="G7967">
        <f ca="1">_xlfn.NORM.INV(RAND(),$M$7,$M$8)</f>
        <v>-1.5172695891958753E-2</v>
      </c>
    </row>
    <row r="7968" spans="6:7" x14ac:dyDescent="0.25">
      <c r="F7968">
        <v>7965</v>
      </c>
      <c r="G7968">
        <f ca="1">_xlfn.NORM.INV(RAND(),$M$7,$M$8)</f>
        <v>1.954086584862131E-2</v>
      </c>
    </row>
    <row r="7969" spans="6:7" x14ac:dyDescent="0.25">
      <c r="F7969">
        <v>7966</v>
      </c>
      <c r="G7969">
        <f ca="1">_xlfn.NORM.INV(RAND(),$M$7,$M$8)</f>
        <v>-1.6088786715124301E-2</v>
      </c>
    </row>
    <row r="7970" spans="6:7" x14ac:dyDescent="0.25">
      <c r="F7970">
        <v>7967</v>
      </c>
      <c r="G7970">
        <f ca="1">_xlfn.NORM.INV(RAND(),$M$7,$M$8)</f>
        <v>-3.9296974184471943E-2</v>
      </c>
    </row>
    <row r="7971" spans="6:7" x14ac:dyDescent="0.25">
      <c r="F7971">
        <v>7968</v>
      </c>
      <c r="G7971">
        <f ca="1">_xlfn.NORM.INV(RAND(),$M$7,$M$8)</f>
        <v>-3.5052486790224748E-2</v>
      </c>
    </row>
    <row r="7972" spans="6:7" x14ac:dyDescent="0.25">
      <c r="F7972">
        <v>7969</v>
      </c>
      <c r="G7972">
        <f ca="1">_xlfn.NORM.INV(RAND(),$M$7,$M$8)</f>
        <v>2.6223706229151936E-2</v>
      </c>
    </row>
    <row r="7973" spans="6:7" x14ac:dyDescent="0.25">
      <c r="F7973">
        <v>7970</v>
      </c>
      <c r="G7973">
        <f ca="1">_xlfn.NORM.INV(RAND(),$M$7,$M$8)</f>
        <v>-1.0345028479651649E-2</v>
      </c>
    </row>
    <row r="7974" spans="6:7" x14ac:dyDescent="0.25">
      <c r="F7974">
        <v>7971</v>
      </c>
      <c r="G7974">
        <f ca="1">_xlfn.NORM.INV(RAND(),$M$7,$M$8)</f>
        <v>-5.3102990231555826E-3</v>
      </c>
    </row>
    <row r="7975" spans="6:7" x14ac:dyDescent="0.25">
      <c r="F7975">
        <v>7972</v>
      </c>
      <c r="G7975">
        <f ca="1">_xlfn.NORM.INV(RAND(),$M$7,$M$8)</f>
        <v>5.4484933027759766E-2</v>
      </c>
    </row>
    <row r="7976" spans="6:7" x14ac:dyDescent="0.25">
      <c r="F7976">
        <v>7973</v>
      </c>
      <c r="G7976">
        <f ca="1">_xlfn.NORM.INV(RAND(),$M$7,$M$8)</f>
        <v>-2.255002976971756E-2</v>
      </c>
    </row>
    <row r="7977" spans="6:7" x14ac:dyDescent="0.25">
      <c r="F7977">
        <v>7974</v>
      </c>
      <c r="G7977">
        <f ca="1">_xlfn.NORM.INV(RAND(),$M$7,$M$8)</f>
        <v>1.4409152776329339E-2</v>
      </c>
    </row>
    <row r="7978" spans="6:7" x14ac:dyDescent="0.25">
      <c r="F7978">
        <v>7975</v>
      </c>
      <c r="G7978">
        <f ca="1">_xlfn.NORM.INV(RAND(),$M$7,$M$8)</f>
        <v>4.818732673328668E-3</v>
      </c>
    </row>
    <row r="7979" spans="6:7" x14ac:dyDescent="0.25">
      <c r="F7979">
        <v>7976</v>
      </c>
      <c r="G7979">
        <f ca="1">_xlfn.NORM.INV(RAND(),$M$7,$M$8)</f>
        <v>4.1797748707857033E-2</v>
      </c>
    </row>
    <row r="7980" spans="6:7" x14ac:dyDescent="0.25">
      <c r="F7980">
        <v>7977</v>
      </c>
      <c r="G7980">
        <f ca="1">_xlfn.NORM.INV(RAND(),$M$7,$M$8)</f>
        <v>-1.0131479384259555E-2</v>
      </c>
    </row>
    <row r="7981" spans="6:7" x14ac:dyDescent="0.25">
      <c r="F7981">
        <v>7978</v>
      </c>
      <c r="G7981">
        <f ca="1">_xlfn.NORM.INV(RAND(),$M$7,$M$8)</f>
        <v>-1.2547932547899494E-2</v>
      </c>
    </row>
    <row r="7982" spans="6:7" x14ac:dyDescent="0.25">
      <c r="F7982">
        <v>7979</v>
      </c>
      <c r="G7982">
        <f ca="1">_xlfn.NORM.INV(RAND(),$M$7,$M$8)</f>
        <v>-1.2153921656712558E-3</v>
      </c>
    </row>
    <row r="7983" spans="6:7" x14ac:dyDescent="0.25">
      <c r="F7983">
        <v>7980</v>
      </c>
      <c r="G7983">
        <f ca="1">_xlfn.NORM.INV(RAND(),$M$7,$M$8)</f>
        <v>-2.2932765650233378E-2</v>
      </c>
    </row>
    <row r="7984" spans="6:7" x14ac:dyDescent="0.25">
      <c r="F7984">
        <v>7981</v>
      </c>
      <c r="G7984">
        <f ca="1">_xlfn.NORM.INV(RAND(),$M$7,$M$8)</f>
        <v>-2.1734236272357488E-2</v>
      </c>
    </row>
    <row r="7985" spans="6:7" x14ac:dyDescent="0.25">
      <c r="F7985">
        <v>7982</v>
      </c>
      <c r="G7985">
        <f ca="1">_xlfn.NORM.INV(RAND(),$M$7,$M$8)</f>
        <v>5.9338423696649413E-2</v>
      </c>
    </row>
    <row r="7986" spans="6:7" x14ac:dyDescent="0.25">
      <c r="F7986">
        <v>7983</v>
      </c>
      <c r="G7986">
        <f ca="1">_xlfn.NORM.INV(RAND(),$M$7,$M$8)</f>
        <v>-7.1015830495746224E-2</v>
      </c>
    </row>
    <row r="7987" spans="6:7" x14ac:dyDescent="0.25">
      <c r="F7987">
        <v>7984</v>
      </c>
      <c r="G7987">
        <f ca="1">_xlfn.NORM.INV(RAND(),$M$7,$M$8)</f>
        <v>2.3181171929429235E-2</v>
      </c>
    </row>
    <row r="7988" spans="6:7" x14ac:dyDescent="0.25">
      <c r="F7988">
        <v>7985</v>
      </c>
      <c r="G7988">
        <f ca="1">_xlfn.NORM.INV(RAND(),$M$7,$M$8)</f>
        <v>5.2947536296982525E-2</v>
      </c>
    </row>
    <row r="7989" spans="6:7" x14ac:dyDescent="0.25">
      <c r="F7989">
        <v>7986</v>
      </c>
      <c r="G7989">
        <f ca="1">_xlfn.NORM.INV(RAND(),$M$7,$M$8)</f>
        <v>3.1923761216666288E-3</v>
      </c>
    </row>
    <row r="7990" spans="6:7" x14ac:dyDescent="0.25">
      <c r="F7990">
        <v>7987</v>
      </c>
      <c r="G7990">
        <f ca="1">_xlfn.NORM.INV(RAND(),$M$7,$M$8)</f>
        <v>6.7788011491328858E-3</v>
      </c>
    </row>
    <row r="7991" spans="6:7" x14ac:dyDescent="0.25">
      <c r="F7991">
        <v>7988</v>
      </c>
      <c r="G7991">
        <f ca="1">_xlfn.NORM.INV(RAND(),$M$7,$M$8)</f>
        <v>4.1210564150094907E-2</v>
      </c>
    </row>
    <row r="7992" spans="6:7" x14ac:dyDescent="0.25">
      <c r="F7992">
        <v>7989</v>
      </c>
      <c r="G7992">
        <f ca="1">_xlfn.NORM.INV(RAND(),$M$7,$M$8)</f>
        <v>1.7722118747070057E-2</v>
      </c>
    </row>
    <row r="7993" spans="6:7" x14ac:dyDescent="0.25">
      <c r="F7993">
        <v>7990</v>
      </c>
      <c r="G7993">
        <f ca="1">_xlfn.NORM.INV(RAND(),$M$7,$M$8)</f>
        <v>2.5136884910872462E-2</v>
      </c>
    </row>
    <row r="7994" spans="6:7" x14ac:dyDescent="0.25">
      <c r="F7994">
        <v>7991</v>
      </c>
      <c r="G7994">
        <f ca="1">_xlfn.NORM.INV(RAND(),$M$7,$M$8)</f>
        <v>-3.2393737217039892E-2</v>
      </c>
    </row>
    <row r="7995" spans="6:7" x14ac:dyDescent="0.25">
      <c r="F7995">
        <v>7992</v>
      </c>
      <c r="G7995">
        <f ca="1">_xlfn.NORM.INV(RAND(),$M$7,$M$8)</f>
        <v>-7.1295946567510194E-3</v>
      </c>
    </row>
    <row r="7996" spans="6:7" x14ac:dyDescent="0.25">
      <c r="F7996">
        <v>7993</v>
      </c>
      <c r="G7996">
        <f ca="1">_xlfn.NORM.INV(RAND(),$M$7,$M$8)</f>
        <v>-3.0721157100674596E-2</v>
      </c>
    </row>
    <row r="7997" spans="6:7" x14ac:dyDescent="0.25">
      <c r="F7997">
        <v>7994</v>
      </c>
      <c r="G7997">
        <f ca="1">_xlfn.NORM.INV(RAND(),$M$7,$M$8)</f>
        <v>-1.7785743956814183E-2</v>
      </c>
    </row>
    <row r="7998" spans="6:7" x14ac:dyDescent="0.25">
      <c r="F7998">
        <v>7995</v>
      </c>
      <c r="G7998">
        <f ca="1">_xlfn.NORM.INV(RAND(),$M$7,$M$8)</f>
        <v>1.3718418250719925E-2</v>
      </c>
    </row>
    <row r="7999" spans="6:7" x14ac:dyDescent="0.25">
      <c r="F7999">
        <v>7996</v>
      </c>
      <c r="G7999">
        <f ca="1">_xlfn.NORM.INV(RAND(),$M$7,$M$8)</f>
        <v>3.5405035199268409E-2</v>
      </c>
    </row>
    <row r="8000" spans="6:7" x14ac:dyDescent="0.25">
      <c r="F8000">
        <v>7997</v>
      </c>
      <c r="G8000">
        <f ca="1">_xlfn.NORM.INV(RAND(),$M$7,$M$8)</f>
        <v>2.0601104759193876E-3</v>
      </c>
    </row>
    <row r="8001" spans="6:7" x14ac:dyDescent="0.25">
      <c r="F8001">
        <v>7998</v>
      </c>
      <c r="G8001">
        <f ca="1">_xlfn.NORM.INV(RAND(),$M$7,$M$8)</f>
        <v>1.2764054429098511E-2</v>
      </c>
    </row>
    <row r="8002" spans="6:7" x14ac:dyDescent="0.25">
      <c r="F8002">
        <v>7999</v>
      </c>
      <c r="G8002">
        <f ca="1">_xlfn.NORM.INV(RAND(),$M$7,$M$8)</f>
        <v>9.9919858644518227E-3</v>
      </c>
    </row>
    <row r="8003" spans="6:7" x14ac:dyDescent="0.25">
      <c r="F8003">
        <v>8000</v>
      </c>
      <c r="G8003">
        <f ca="1">_xlfn.NORM.INV(RAND(),$M$7,$M$8)</f>
        <v>-1.3073557907489161E-2</v>
      </c>
    </row>
    <row r="8004" spans="6:7" x14ac:dyDescent="0.25">
      <c r="F8004">
        <v>8001</v>
      </c>
      <c r="G8004">
        <f ca="1">_xlfn.NORM.INV(RAND(),$M$7,$M$8)</f>
        <v>-2.4501662380176065E-2</v>
      </c>
    </row>
    <row r="8005" spans="6:7" x14ac:dyDescent="0.25">
      <c r="F8005">
        <v>8002</v>
      </c>
      <c r="G8005">
        <f ca="1">_xlfn.NORM.INV(RAND(),$M$7,$M$8)</f>
        <v>-2.6042280839738075E-2</v>
      </c>
    </row>
    <row r="8006" spans="6:7" x14ac:dyDescent="0.25">
      <c r="F8006">
        <v>8003</v>
      </c>
      <c r="G8006">
        <f ca="1">_xlfn.NORM.INV(RAND(),$M$7,$M$8)</f>
        <v>4.7014179450082523E-2</v>
      </c>
    </row>
    <row r="8007" spans="6:7" x14ac:dyDescent="0.25">
      <c r="F8007">
        <v>8004</v>
      </c>
      <c r="G8007">
        <f ca="1">_xlfn.NORM.INV(RAND(),$M$7,$M$8)</f>
        <v>-1.9854904609753827E-2</v>
      </c>
    </row>
    <row r="8008" spans="6:7" x14ac:dyDescent="0.25">
      <c r="F8008">
        <v>8005</v>
      </c>
      <c r="G8008">
        <f ca="1">_xlfn.NORM.INV(RAND(),$M$7,$M$8)</f>
        <v>2.0225189610789288E-2</v>
      </c>
    </row>
    <row r="8009" spans="6:7" x14ac:dyDescent="0.25">
      <c r="F8009">
        <v>8006</v>
      </c>
      <c r="G8009">
        <f ca="1">_xlfn.NORM.INV(RAND(),$M$7,$M$8)</f>
        <v>1.1276966394286301E-2</v>
      </c>
    </row>
    <row r="8010" spans="6:7" x14ac:dyDescent="0.25">
      <c r="F8010">
        <v>8007</v>
      </c>
      <c r="G8010">
        <f ca="1">_xlfn.NORM.INV(RAND(),$M$7,$M$8)</f>
        <v>4.9411827985390237E-3</v>
      </c>
    </row>
    <row r="8011" spans="6:7" x14ac:dyDescent="0.25">
      <c r="F8011">
        <v>8008</v>
      </c>
      <c r="G8011">
        <f ca="1">_xlfn.NORM.INV(RAND(),$M$7,$M$8)</f>
        <v>5.6648867997320662E-3</v>
      </c>
    </row>
    <row r="8012" spans="6:7" x14ac:dyDescent="0.25">
      <c r="F8012">
        <v>8009</v>
      </c>
      <c r="G8012">
        <f ca="1">_xlfn.NORM.INV(RAND(),$M$7,$M$8)</f>
        <v>-2.779619199737376E-3</v>
      </c>
    </row>
    <row r="8013" spans="6:7" x14ac:dyDescent="0.25">
      <c r="F8013">
        <v>8010</v>
      </c>
      <c r="G8013">
        <f ca="1">_xlfn.NORM.INV(RAND(),$M$7,$M$8)</f>
        <v>5.170990999689748E-3</v>
      </c>
    </row>
    <row r="8014" spans="6:7" x14ac:dyDescent="0.25">
      <c r="F8014">
        <v>8011</v>
      </c>
      <c r="G8014">
        <f ca="1">_xlfn.NORM.INV(RAND(),$M$7,$M$8)</f>
        <v>1.1502524117983989E-2</v>
      </c>
    </row>
    <row r="8015" spans="6:7" x14ac:dyDescent="0.25">
      <c r="F8015">
        <v>8012</v>
      </c>
      <c r="G8015">
        <f ca="1">_xlfn.NORM.INV(RAND(),$M$7,$M$8)</f>
        <v>1.6104171340980081E-2</v>
      </c>
    </row>
    <row r="8016" spans="6:7" x14ac:dyDescent="0.25">
      <c r="F8016">
        <v>8013</v>
      </c>
      <c r="G8016">
        <f ca="1">_xlfn.NORM.INV(RAND(),$M$7,$M$8)</f>
        <v>2.826408739277516E-2</v>
      </c>
    </row>
    <row r="8017" spans="6:7" x14ac:dyDescent="0.25">
      <c r="F8017">
        <v>8014</v>
      </c>
      <c r="G8017">
        <f ca="1">_xlfn.NORM.INV(RAND(),$M$7,$M$8)</f>
        <v>6.3744754722414917E-3</v>
      </c>
    </row>
    <row r="8018" spans="6:7" x14ac:dyDescent="0.25">
      <c r="F8018">
        <v>8015</v>
      </c>
      <c r="G8018">
        <f ca="1">_xlfn.NORM.INV(RAND(),$M$7,$M$8)</f>
        <v>2.1691518942468409E-2</v>
      </c>
    </row>
    <row r="8019" spans="6:7" x14ac:dyDescent="0.25">
      <c r="F8019">
        <v>8016</v>
      </c>
      <c r="G8019">
        <f ca="1">_xlfn.NORM.INV(RAND(),$M$7,$M$8)</f>
        <v>6.2686661897866664E-3</v>
      </c>
    </row>
    <row r="8020" spans="6:7" x14ac:dyDescent="0.25">
      <c r="F8020">
        <v>8017</v>
      </c>
      <c r="G8020">
        <f ca="1">_xlfn.NORM.INV(RAND(),$M$7,$M$8)</f>
        <v>-9.9381485637518759E-3</v>
      </c>
    </row>
    <row r="8021" spans="6:7" x14ac:dyDescent="0.25">
      <c r="F8021">
        <v>8018</v>
      </c>
      <c r="G8021">
        <f ca="1">_xlfn.NORM.INV(RAND(),$M$7,$M$8)</f>
        <v>-4.5850118730083479E-3</v>
      </c>
    </row>
    <row r="8022" spans="6:7" x14ac:dyDescent="0.25">
      <c r="F8022">
        <v>8019</v>
      </c>
      <c r="G8022">
        <f ca="1">_xlfn.NORM.INV(RAND(),$M$7,$M$8)</f>
        <v>1.0978042578822463E-3</v>
      </c>
    </row>
    <row r="8023" spans="6:7" x14ac:dyDescent="0.25">
      <c r="F8023">
        <v>8020</v>
      </c>
      <c r="G8023">
        <f ca="1">_xlfn.NORM.INV(RAND(),$M$7,$M$8)</f>
        <v>6.5652200777482801E-3</v>
      </c>
    </row>
    <row r="8024" spans="6:7" x14ac:dyDescent="0.25">
      <c r="F8024">
        <v>8021</v>
      </c>
      <c r="G8024">
        <f ca="1">_xlfn.NORM.INV(RAND(),$M$7,$M$8)</f>
        <v>-3.1892361707591597E-2</v>
      </c>
    </row>
    <row r="8025" spans="6:7" x14ac:dyDescent="0.25">
      <c r="F8025">
        <v>8022</v>
      </c>
      <c r="G8025">
        <f ca="1">_xlfn.NORM.INV(RAND(),$M$7,$M$8)</f>
        <v>8.0543995634169314E-3</v>
      </c>
    </row>
    <row r="8026" spans="6:7" x14ac:dyDescent="0.25">
      <c r="F8026">
        <v>8023</v>
      </c>
      <c r="G8026">
        <f ca="1">_xlfn.NORM.INV(RAND(),$M$7,$M$8)</f>
        <v>-1.804045406105223E-3</v>
      </c>
    </row>
    <row r="8027" spans="6:7" x14ac:dyDescent="0.25">
      <c r="F8027">
        <v>8024</v>
      </c>
      <c r="G8027">
        <f ca="1">_xlfn.NORM.INV(RAND(),$M$7,$M$8)</f>
        <v>2.8962092722838974E-2</v>
      </c>
    </row>
    <row r="8028" spans="6:7" x14ac:dyDescent="0.25">
      <c r="F8028">
        <v>8025</v>
      </c>
      <c r="G8028">
        <f ca="1">_xlfn.NORM.INV(RAND(),$M$7,$M$8)</f>
        <v>-3.217995351954657E-2</v>
      </c>
    </row>
    <row r="8029" spans="6:7" x14ac:dyDescent="0.25">
      <c r="F8029">
        <v>8026</v>
      </c>
      <c r="G8029">
        <f ca="1">_xlfn.NORM.INV(RAND(),$M$7,$M$8)</f>
        <v>1.5744315378946404E-2</v>
      </c>
    </row>
    <row r="8030" spans="6:7" x14ac:dyDescent="0.25">
      <c r="F8030">
        <v>8027</v>
      </c>
      <c r="G8030">
        <f ca="1">_xlfn.NORM.INV(RAND(),$M$7,$M$8)</f>
        <v>1.019130245882046E-2</v>
      </c>
    </row>
    <row r="8031" spans="6:7" x14ac:dyDescent="0.25">
      <c r="F8031">
        <v>8028</v>
      </c>
      <c r="G8031">
        <f ca="1">_xlfn.NORM.INV(RAND(),$M$7,$M$8)</f>
        <v>-1.3934068653972034E-3</v>
      </c>
    </row>
    <row r="8032" spans="6:7" x14ac:dyDescent="0.25">
      <c r="F8032">
        <v>8029</v>
      </c>
      <c r="G8032">
        <f ca="1">_xlfn.NORM.INV(RAND(),$M$7,$M$8)</f>
        <v>6.0278029615266869E-3</v>
      </c>
    </row>
    <row r="8033" spans="6:7" x14ac:dyDescent="0.25">
      <c r="F8033">
        <v>8030</v>
      </c>
      <c r="G8033">
        <f ca="1">_xlfn.NORM.INV(RAND(),$M$7,$M$8)</f>
        <v>2.7480345755598684E-2</v>
      </c>
    </row>
    <row r="8034" spans="6:7" x14ac:dyDescent="0.25">
      <c r="F8034">
        <v>8031</v>
      </c>
      <c r="G8034">
        <f ca="1">_xlfn.NORM.INV(RAND(),$M$7,$M$8)</f>
        <v>3.3102174953837077E-2</v>
      </c>
    </row>
    <row r="8035" spans="6:7" x14ac:dyDescent="0.25">
      <c r="F8035">
        <v>8032</v>
      </c>
      <c r="G8035">
        <f ca="1">_xlfn.NORM.INV(RAND(),$M$7,$M$8)</f>
        <v>9.5558762156457977E-3</v>
      </c>
    </row>
    <row r="8036" spans="6:7" x14ac:dyDescent="0.25">
      <c r="F8036">
        <v>8033</v>
      </c>
      <c r="G8036">
        <f ca="1">_xlfn.NORM.INV(RAND(),$M$7,$M$8)</f>
        <v>-2.8334096445234234E-2</v>
      </c>
    </row>
    <row r="8037" spans="6:7" x14ac:dyDescent="0.25">
      <c r="F8037">
        <v>8034</v>
      </c>
      <c r="G8037">
        <f ca="1">_xlfn.NORM.INV(RAND(),$M$7,$M$8)</f>
        <v>-3.2033121808329117E-2</v>
      </c>
    </row>
    <row r="8038" spans="6:7" x14ac:dyDescent="0.25">
      <c r="F8038">
        <v>8035</v>
      </c>
      <c r="G8038">
        <f ca="1">_xlfn.NORM.INV(RAND(),$M$7,$M$8)</f>
        <v>-2.0896317677119483E-2</v>
      </c>
    </row>
    <row r="8039" spans="6:7" x14ac:dyDescent="0.25">
      <c r="F8039">
        <v>8036</v>
      </c>
      <c r="G8039">
        <f ca="1">_xlfn.NORM.INV(RAND(),$M$7,$M$8)</f>
        <v>1.3833083915975134E-2</v>
      </c>
    </row>
    <row r="8040" spans="6:7" x14ac:dyDescent="0.25">
      <c r="F8040">
        <v>8037</v>
      </c>
      <c r="G8040">
        <f ca="1">_xlfn.NORM.INV(RAND(),$M$7,$M$8)</f>
        <v>2.4577618835768346E-2</v>
      </c>
    </row>
    <row r="8041" spans="6:7" x14ac:dyDescent="0.25">
      <c r="F8041">
        <v>8038</v>
      </c>
      <c r="G8041">
        <f ca="1">_xlfn.NORM.INV(RAND(),$M$7,$M$8)</f>
        <v>8.0500198468400654E-3</v>
      </c>
    </row>
    <row r="8042" spans="6:7" x14ac:dyDescent="0.25">
      <c r="F8042">
        <v>8039</v>
      </c>
      <c r="G8042">
        <f ca="1">_xlfn.NORM.INV(RAND(),$M$7,$M$8)</f>
        <v>1.542011828001575E-2</v>
      </c>
    </row>
    <row r="8043" spans="6:7" x14ac:dyDescent="0.25">
      <c r="F8043">
        <v>8040</v>
      </c>
      <c r="G8043">
        <f ca="1">_xlfn.NORM.INV(RAND(),$M$7,$M$8)</f>
        <v>1.8213449175593883E-2</v>
      </c>
    </row>
    <row r="8044" spans="6:7" x14ac:dyDescent="0.25">
      <c r="F8044">
        <v>8041</v>
      </c>
      <c r="G8044">
        <f ca="1">_xlfn.NORM.INV(RAND(),$M$7,$M$8)</f>
        <v>-2.5176074774985593E-2</v>
      </c>
    </row>
    <row r="8045" spans="6:7" x14ac:dyDescent="0.25">
      <c r="F8045">
        <v>8042</v>
      </c>
      <c r="G8045">
        <f ca="1">_xlfn.NORM.INV(RAND(),$M$7,$M$8)</f>
        <v>-1.0376252568016503E-2</v>
      </c>
    </row>
    <row r="8046" spans="6:7" x14ac:dyDescent="0.25">
      <c r="F8046">
        <v>8043</v>
      </c>
      <c r="G8046">
        <f ca="1">_xlfn.NORM.INV(RAND(),$M$7,$M$8)</f>
        <v>4.3513122320566451E-5</v>
      </c>
    </row>
    <row r="8047" spans="6:7" x14ac:dyDescent="0.25">
      <c r="F8047">
        <v>8044</v>
      </c>
      <c r="G8047">
        <f ca="1">_xlfn.NORM.INV(RAND(),$M$7,$M$8)</f>
        <v>-2.3050418510720146E-2</v>
      </c>
    </row>
    <row r="8048" spans="6:7" x14ac:dyDescent="0.25">
      <c r="F8048">
        <v>8045</v>
      </c>
      <c r="G8048">
        <f ca="1">_xlfn.NORM.INV(RAND(),$M$7,$M$8)</f>
        <v>2.6555631524438706E-3</v>
      </c>
    </row>
    <row r="8049" spans="6:7" x14ac:dyDescent="0.25">
      <c r="F8049">
        <v>8046</v>
      </c>
      <c r="G8049">
        <f ca="1">_xlfn.NORM.INV(RAND(),$M$7,$M$8)</f>
        <v>-7.6145189767677316E-3</v>
      </c>
    </row>
    <row r="8050" spans="6:7" x14ac:dyDescent="0.25">
      <c r="F8050">
        <v>8047</v>
      </c>
      <c r="G8050">
        <f ca="1">_xlfn.NORM.INV(RAND(),$M$7,$M$8)</f>
        <v>-1.6748704056176664E-2</v>
      </c>
    </row>
    <row r="8051" spans="6:7" x14ac:dyDescent="0.25">
      <c r="F8051">
        <v>8048</v>
      </c>
      <c r="G8051">
        <f ca="1">_xlfn.NORM.INV(RAND(),$M$7,$M$8)</f>
        <v>1.55701142978617E-2</v>
      </c>
    </row>
    <row r="8052" spans="6:7" x14ac:dyDescent="0.25">
      <c r="F8052">
        <v>8049</v>
      </c>
      <c r="G8052">
        <f ca="1">_xlfn.NORM.INV(RAND(),$M$7,$M$8)</f>
        <v>2.2593903332815631E-2</v>
      </c>
    </row>
    <row r="8053" spans="6:7" x14ac:dyDescent="0.25">
      <c r="F8053">
        <v>8050</v>
      </c>
      <c r="G8053">
        <f ca="1">_xlfn.NORM.INV(RAND(),$M$7,$M$8)</f>
        <v>-3.7436507968112764E-2</v>
      </c>
    </row>
    <row r="8054" spans="6:7" x14ac:dyDescent="0.25">
      <c r="F8054">
        <v>8051</v>
      </c>
      <c r="G8054">
        <f ca="1">_xlfn.NORM.INV(RAND(),$M$7,$M$8)</f>
        <v>-5.8635217735570674E-3</v>
      </c>
    </row>
    <row r="8055" spans="6:7" x14ac:dyDescent="0.25">
      <c r="F8055">
        <v>8052</v>
      </c>
      <c r="G8055">
        <f ca="1">_xlfn.NORM.INV(RAND(),$M$7,$M$8)</f>
        <v>-2.4895726084305774E-2</v>
      </c>
    </row>
    <row r="8056" spans="6:7" x14ac:dyDescent="0.25">
      <c r="F8056">
        <v>8053</v>
      </c>
      <c r="G8056">
        <f ca="1">_xlfn.NORM.INV(RAND(),$M$7,$M$8)</f>
        <v>-3.0397034233285374E-2</v>
      </c>
    </row>
    <row r="8057" spans="6:7" x14ac:dyDescent="0.25">
      <c r="F8057">
        <v>8054</v>
      </c>
      <c r="G8057">
        <f ca="1">_xlfn.NORM.INV(RAND(),$M$7,$M$8)</f>
        <v>5.017512048082777E-2</v>
      </c>
    </row>
    <row r="8058" spans="6:7" x14ac:dyDescent="0.25">
      <c r="F8058">
        <v>8055</v>
      </c>
      <c r="G8058">
        <f ca="1">_xlfn.NORM.INV(RAND(),$M$7,$M$8)</f>
        <v>-2.0659744743972766E-2</v>
      </c>
    </row>
    <row r="8059" spans="6:7" x14ac:dyDescent="0.25">
      <c r="F8059">
        <v>8056</v>
      </c>
      <c r="G8059">
        <f ca="1">_xlfn.NORM.INV(RAND(),$M$7,$M$8)</f>
        <v>-4.9592419164639651E-3</v>
      </c>
    </row>
    <row r="8060" spans="6:7" x14ac:dyDescent="0.25">
      <c r="F8060">
        <v>8057</v>
      </c>
      <c r="G8060">
        <f ca="1">_xlfn.NORM.INV(RAND(),$M$7,$M$8)</f>
        <v>-3.508809120553204E-3</v>
      </c>
    </row>
    <row r="8061" spans="6:7" x14ac:dyDescent="0.25">
      <c r="F8061">
        <v>8058</v>
      </c>
      <c r="G8061">
        <f ca="1">_xlfn.NORM.INV(RAND(),$M$7,$M$8)</f>
        <v>-6.3066669855861707E-3</v>
      </c>
    </row>
    <row r="8062" spans="6:7" x14ac:dyDescent="0.25">
      <c r="F8062">
        <v>8059</v>
      </c>
      <c r="G8062">
        <f ca="1">_xlfn.NORM.INV(RAND(),$M$7,$M$8)</f>
        <v>1.4007182251458269E-2</v>
      </c>
    </row>
    <row r="8063" spans="6:7" x14ac:dyDescent="0.25">
      <c r="F8063">
        <v>8060</v>
      </c>
      <c r="G8063">
        <f ca="1">_xlfn.NORM.INV(RAND(),$M$7,$M$8)</f>
        <v>8.8737276498096365E-4</v>
      </c>
    </row>
    <row r="8064" spans="6:7" x14ac:dyDescent="0.25">
      <c r="F8064">
        <v>8061</v>
      </c>
      <c r="G8064">
        <f ca="1">_xlfn.NORM.INV(RAND(),$M$7,$M$8)</f>
        <v>-1.1538559574314242E-2</v>
      </c>
    </row>
    <row r="8065" spans="6:7" x14ac:dyDescent="0.25">
      <c r="F8065">
        <v>8062</v>
      </c>
      <c r="G8065">
        <f ca="1">_xlfn.NORM.INV(RAND(),$M$7,$M$8)</f>
        <v>-3.4920260036989746E-2</v>
      </c>
    </row>
    <row r="8066" spans="6:7" x14ac:dyDescent="0.25">
      <c r="F8066">
        <v>8063</v>
      </c>
      <c r="G8066">
        <f ca="1">_xlfn.NORM.INV(RAND(),$M$7,$M$8)</f>
        <v>-2.7697092074553068E-2</v>
      </c>
    </row>
    <row r="8067" spans="6:7" x14ac:dyDescent="0.25">
      <c r="F8067">
        <v>8064</v>
      </c>
      <c r="G8067">
        <f ca="1">_xlfn.NORM.INV(RAND(),$M$7,$M$8)</f>
        <v>-1.6402504770847089E-2</v>
      </c>
    </row>
    <row r="8068" spans="6:7" x14ac:dyDescent="0.25">
      <c r="F8068">
        <v>8065</v>
      </c>
      <c r="G8068">
        <f ca="1">_xlfn.NORM.INV(RAND(),$M$7,$M$8)</f>
        <v>-2.396471410421459E-2</v>
      </c>
    </row>
    <row r="8069" spans="6:7" x14ac:dyDescent="0.25">
      <c r="F8069">
        <v>8066</v>
      </c>
      <c r="G8069">
        <f ca="1">_xlfn.NORM.INV(RAND(),$M$7,$M$8)</f>
        <v>2.2344911221129058E-2</v>
      </c>
    </row>
    <row r="8070" spans="6:7" x14ac:dyDescent="0.25">
      <c r="F8070">
        <v>8067</v>
      </c>
      <c r="G8070">
        <f ca="1">_xlfn.NORM.INV(RAND(),$M$7,$M$8)</f>
        <v>-3.7646507728463049E-2</v>
      </c>
    </row>
    <row r="8071" spans="6:7" x14ac:dyDescent="0.25">
      <c r="F8071">
        <v>8068</v>
      </c>
      <c r="G8071">
        <f ca="1">_xlfn.NORM.INV(RAND(),$M$7,$M$8)</f>
        <v>-1.3085316924248898E-2</v>
      </c>
    </row>
    <row r="8072" spans="6:7" x14ac:dyDescent="0.25">
      <c r="F8072">
        <v>8069</v>
      </c>
      <c r="G8072">
        <f ca="1">_xlfn.NORM.INV(RAND(),$M$7,$M$8)</f>
        <v>-2.3792970337859858E-2</v>
      </c>
    </row>
    <row r="8073" spans="6:7" x14ac:dyDescent="0.25">
      <c r="F8073">
        <v>8070</v>
      </c>
      <c r="G8073">
        <f ca="1">_xlfn.NORM.INV(RAND(),$M$7,$M$8)</f>
        <v>-1.0400657928226361E-3</v>
      </c>
    </row>
    <row r="8074" spans="6:7" x14ac:dyDescent="0.25">
      <c r="F8074">
        <v>8071</v>
      </c>
      <c r="G8074">
        <f ca="1">_xlfn.NORM.INV(RAND(),$M$7,$M$8)</f>
        <v>1.5880998932695799E-2</v>
      </c>
    </row>
    <row r="8075" spans="6:7" x14ac:dyDescent="0.25">
      <c r="F8075">
        <v>8072</v>
      </c>
      <c r="G8075">
        <f ca="1">_xlfn.NORM.INV(RAND(),$M$7,$M$8)</f>
        <v>-5.3687403025674492E-2</v>
      </c>
    </row>
    <row r="8076" spans="6:7" x14ac:dyDescent="0.25">
      <c r="F8076">
        <v>8073</v>
      </c>
      <c r="G8076">
        <f ca="1">_xlfn.NORM.INV(RAND(),$M$7,$M$8)</f>
        <v>-1.6312816739821262E-3</v>
      </c>
    </row>
    <row r="8077" spans="6:7" x14ac:dyDescent="0.25">
      <c r="F8077">
        <v>8074</v>
      </c>
      <c r="G8077">
        <f ca="1">_xlfn.NORM.INV(RAND(),$M$7,$M$8)</f>
        <v>9.4632628908109819E-4</v>
      </c>
    </row>
    <row r="8078" spans="6:7" x14ac:dyDescent="0.25">
      <c r="F8078">
        <v>8075</v>
      </c>
      <c r="G8078">
        <f ca="1">_xlfn.NORM.INV(RAND(),$M$7,$M$8)</f>
        <v>4.9558968172417686E-2</v>
      </c>
    </row>
    <row r="8079" spans="6:7" x14ac:dyDescent="0.25">
      <c r="F8079">
        <v>8076</v>
      </c>
      <c r="G8079">
        <f ca="1">_xlfn.NORM.INV(RAND(),$M$7,$M$8)</f>
        <v>-1.2481820667898026E-2</v>
      </c>
    </row>
    <row r="8080" spans="6:7" x14ac:dyDescent="0.25">
      <c r="F8080">
        <v>8077</v>
      </c>
      <c r="G8080">
        <f ca="1">_xlfn.NORM.INV(RAND(),$M$7,$M$8)</f>
        <v>2.4192028584793579E-2</v>
      </c>
    </row>
    <row r="8081" spans="6:7" x14ac:dyDescent="0.25">
      <c r="F8081">
        <v>8078</v>
      </c>
      <c r="G8081">
        <f ca="1">_xlfn.NORM.INV(RAND(),$M$7,$M$8)</f>
        <v>-3.7856420212755607E-2</v>
      </c>
    </row>
    <row r="8082" spans="6:7" x14ac:dyDescent="0.25">
      <c r="F8082">
        <v>8079</v>
      </c>
      <c r="G8082">
        <f ca="1">_xlfn.NORM.INV(RAND(),$M$7,$M$8)</f>
        <v>-1.0033501468301034E-2</v>
      </c>
    </row>
    <row r="8083" spans="6:7" x14ac:dyDescent="0.25">
      <c r="F8083">
        <v>8080</v>
      </c>
      <c r="G8083">
        <f ca="1">_xlfn.NORM.INV(RAND(),$M$7,$M$8)</f>
        <v>-2.0599760519398401E-2</v>
      </c>
    </row>
    <row r="8084" spans="6:7" x14ac:dyDescent="0.25">
      <c r="F8084">
        <v>8081</v>
      </c>
      <c r="G8084">
        <f ca="1">_xlfn.NORM.INV(RAND(),$M$7,$M$8)</f>
        <v>-1.0998182239465014E-2</v>
      </c>
    </row>
    <row r="8085" spans="6:7" x14ac:dyDescent="0.25">
      <c r="F8085">
        <v>8082</v>
      </c>
      <c r="G8085">
        <f ca="1">_xlfn.NORM.INV(RAND(),$M$7,$M$8)</f>
        <v>1.1511487526024506E-2</v>
      </c>
    </row>
    <row r="8086" spans="6:7" x14ac:dyDescent="0.25">
      <c r="F8086">
        <v>8083</v>
      </c>
      <c r="G8086">
        <f ca="1">_xlfn.NORM.INV(RAND(),$M$7,$M$8)</f>
        <v>-2.1377364256179511E-2</v>
      </c>
    </row>
    <row r="8087" spans="6:7" x14ac:dyDescent="0.25">
      <c r="F8087">
        <v>8084</v>
      </c>
      <c r="G8087">
        <f ca="1">_xlfn.NORM.INV(RAND(),$M$7,$M$8)</f>
        <v>-4.7881318338541028E-2</v>
      </c>
    </row>
    <row r="8088" spans="6:7" x14ac:dyDescent="0.25">
      <c r="F8088">
        <v>8085</v>
      </c>
      <c r="G8088">
        <f ca="1">_xlfn.NORM.INV(RAND(),$M$7,$M$8)</f>
        <v>-1.633029364836234E-3</v>
      </c>
    </row>
    <row r="8089" spans="6:7" x14ac:dyDescent="0.25">
      <c r="F8089">
        <v>8086</v>
      </c>
      <c r="G8089">
        <f ca="1">_xlfn.NORM.INV(RAND(),$M$7,$M$8)</f>
        <v>-3.5705012660737001E-2</v>
      </c>
    </row>
    <row r="8090" spans="6:7" x14ac:dyDescent="0.25">
      <c r="F8090">
        <v>8087</v>
      </c>
      <c r="G8090">
        <f ca="1">_xlfn.NORM.INV(RAND(),$M$7,$M$8)</f>
        <v>-1.1553227942547682E-2</v>
      </c>
    </row>
    <row r="8091" spans="6:7" x14ac:dyDescent="0.25">
      <c r="F8091">
        <v>8088</v>
      </c>
      <c r="G8091">
        <f ca="1">_xlfn.NORM.INV(RAND(),$M$7,$M$8)</f>
        <v>-2.4094535271377959E-2</v>
      </c>
    </row>
    <row r="8092" spans="6:7" x14ac:dyDescent="0.25">
      <c r="F8092">
        <v>8089</v>
      </c>
      <c r="G8092">
        <f ca="1">_xlfn.NORM.INV(RAND(),$M$7,$M$8)</f>
        <v>-4.1825518749751206E-4</v>
      </c>
    </row>
    <row r="8093" spans="6:7" x14ac:dyDescent="0.25">
      <c r="F8093">
        <v>8090</v>
      </c>
      <c r="G8093">
        <f ca="1">_xlfn.NORM.INV(RAND(),$M$7,$M$8)</f>
        <v>1.7216620109980041E-2</v>
      </c>
    </row>
    <row r="8094" spans="6:7" x14ac:dyDescent="0.25">
      <c r="F8094">
        <v>8091</v>
      </c>
      <c r="G8094">
        <f ca="1">_xlfn.NORM.INV(RAND(),$M$7,$M$8)</f>
        <v>9.2262688923183695E-3</v>
      </c>
    </row>
    <row r="8095" spans="6:7" x14ac:dyDescent="0.25">
      <c r="F8095">
        <v>8092</v>
      </c>
      <c r="G8095">
        <f ca="1">_xlfn.NORM.INV(RAND(),$M$7,$M$8)</f>
        <v>3.761848659473415E-2</v>
      </c>
    </row>
    <row r="8096" spans="6:7" x14ac:dyDescent="0.25">
      <c r="F8096">
        <v>8093</v>
      </c>
      <c r="G8096">
        <f ca="1">_xlfn.NORM.INV(RAND(),$M$7,$M$8)</f>
        <v>-1.4309176871663932E-2</v>
      </c>
    </row>
    <row r="8097" spans="6:7" x14ac:dyDescent="0.25">
      <c r="F8097">
        <v>8094</v>
      </c>
      <c r="G8097">
        <f ca="1">_xlfn.NORM.INV(RAND(),$M$7,$M$8)</f>
        <v>5.1509835348638129E-2</v>
      </c>
    </row>
    <row r="8098" spans="6:7" x14ac:dyDescent="0.25">
      <c r="F8098">
        <v>8095</v>
      </c>
      <c r="G8098">
        <f ca="1">_xlfn.NORM.INV(RAND(),$M$7,$M$8)</f>
        <v>-1.0987874874882326E-2</v>
      </c>
    </row>
    <row r="8099" spans="6:7" x14ac:dyDescent="0.25">
      <c r="F8099">
        <v>8096</v>
      </c>
      <c r="G8099">
        <f ca="1">_xlfn.NORM.INV(RAND(),$M$7,$M$8)</f>
        <v>1.4470117091563182E-2</v>
      </c>
    </row>
    <row r="8100" spans="6:7" x14ac:dyDescent="0.25">
      <c r="F8100">
        <v>8097</v>
      </c>
      <c r="G8100">
        <f ca="1">_xlfn.NORM.INV(RAND(),$M$7,$M$8)</f>
        <v>8.4597971953609893E-3</v>
      </c>
    </row>
    <row r="8101" spans="6:7" x14ac:dyDescent="0.25">
      <c r="F8101">
        <v>8098</v>
      </c>
      <c r="G8101">
        <f ca="1">_xlfn.NORM.INV(RAND(),$M$7,$M$8)</f>
        <v>1.3358616755020827E-2</v>
      </c>
    </row>
    <row r="8102" spans="6:7" x14ac:dyDescent="0.25">
      <c r="F8102">
        <v>8099</v>
      </c>
      <c r="G8102">
        <f ca="1">_xlfn.NORM.INV(RAND(),$M$7,$M$8)</f>
        <v>8.1898544215987419E-3</v>
      </c>
    </row>
    <row r="8103" spans="6:7" x14ac:dyDescent="0.25">
      <c r="F8103">
        <v>8100</v>
      </c>
      <c r="G8103">
        <f ca="1">_xlfn.NORM.INV(RAND(),$M$7,$M$8)</f>
        <v>1.039839625850991E-2</v>
      </c>
    </row>
    <row r="8104" spans="6:7" x14ac:dyDescent="0.25">
      <c r="F8104">
        <v>8101</v>
      </c>
      <c r="G8104">
        <f ca="1">_xlfn.NORM.INV(RAND(),$M$7,$M$8)</f>
        <v>2.674871576298677E-2</v>
      </c>
    </row>
    <row r="8105" spans="6:7" x14ac:dyDescent="0.25">
      <c r="F8105">
        <v>8102</v>
      </c>
      <c r="G8105">
        <f ca="1">_xlfn.NORM.INV(RAND(),$M$7,$M$8)</f>
        <v>-3.3780467001098026E-2</v>
      </c>
    </row>
    <row r="8106" spans="6:7" x14ac:dyDescent="0.25">
      <c r="F8106">
        <v>8103</v>
      </c>
      <c r="G8106">
        <f ca="1">_xlfn.NORM.INV(RAND(),$M$7,$M$8)</f>
        <v>1.4388405382316158E-2</v>
      </c>
    </row>
    <row r="8107" spans="6:7" x14ac:dyDescent="0.25">
      <c r="F8107">
        <v>8104</v>
      </c>
      <c r="G8107">
        <f ca="1">_xlfn.NORM.INV(RAND(),$M$7,$M$8)</f>
        <v>2.3890999713206593E-3</v>
      </c>
    </row>
    <row r="8108" spans="6:7" x14ac:dyDescent="0.25">
      <c r="F8108">
        <v>8105</v>
      </c>
      <c r="G8108">
        <f ca="1">_xlfn.NORM.INV(RAND(),$M$7,$M$8)</f>
        <v>-5.5920359944614639E-2</v>
      </c>
    </row>
    <row r="8109" spans="6:7" x14ac:dyDescent="0.25">
      <c r="F8109">
        <v>8106</v>
      </c>
      <c r="G8109">
        <f ca="1">_xlfn.NORM.INV(RAND(),$M$7,$M$8)</f>
        <v>-1.4917876619940072E-2</v>
      </c>
    </row>
    <row r="8110" spans="6:7" x14ac:dyDescent="0.25">
      <c r="F8110">
        <v>8107</v>
      </c>
      <c r="G8110">
        <f ca="1">_xlfn.NORM.INV(RAND(),$M$7,$M$8)</f>
        <v>1.5157992775861068E-2</v>
      </c>
    </row>
    <row r="8111" spans="6:7" x14ac:dyDescent="0.25">
      <c r="F8111">
        <v>8108</v>
      </c>
      <c r="G8111">
        <f ca="1">_xlfn.NORM.INV(RAND(),$M$7,$M$8)</f>
        <v>-4.7666485907824786E-3</v>
      </c>
    </row>
    <row r="8112" spans="6:7" x14ac:dyDescent="0.25">
      <c r="F8112">
        <v>8109</v>
      </c>
      <c r="G8112">
        <f ca="1">_xlfn.NORM.INV(RAND(),$M$7,$M$8)</f>
        <v>-3.6997717380087627E-2</v>
      </c>
    </row>
    <row r="8113" spans="6:7" x14ac:dyDescent="0.25">
      <c r="F8113">
        <v>8110</v>
      </c>
      <c r="G8113">
        <f ca="1">_xlfn.NORM.INV(RAND(),$M$7,$M$8)</f>
        <v>-2.4639755032495051E-2</v>
      </c>
    </row>
    <row r="8114" spans="6:7" x14ac:dyDescent="0.25">
      <c r="F8114">
        <v>8111</v>
      </c>
      <c r="G8114">
        <f ca="1">_xlfn.NORM.INV(RAND(),$M$7,$M$8)</f>
        <v>-3.3619488339732183E-2</v>
      </c>
    </row>
    <row r="8115" spans="6:7" x14ac:dyDescent="0.25">
      <c r="F8115">
        <v>8112</v>
      </c>
      <c r="G8115">
        <f ca="1">_xlfn.NORM.INV(RAND(),$M$7,$M$8)</f>
        <v>2.0699996008876231E-2</v>
      </c>
    </row>
    <row r="8116" spans="6:7" x14ac:dyDescent="0.25">
      <c r="F8116">
        <v>8113</v>
      </c>
      <c r="G8116">
        <f ca="1">_xlfn.NORM.INV(RAND(),$M$7,$M$8)</f>
        <v>6.2124914974931965E-3</v>
      </c>
    </row>
    <row r="8117" spans="6:7" x14ac:dyDescent="0.25">
      <c r="F8117">
        <v>8114</v>
      </c>
      <c r="G8117">
        <f ca="1">_xlfn.NORM.INV(RAND(),$M$7,$M$8)</f>
        <v>-2.9063941177241082E-2</v>
      </c>
    </row>
    <row r="8118" spans="6:7" x14ac:dyDescent="0.25">
      <c r="F8118">
        <v>8115</v>
      </c>
      <c r="G8118">
        <f ca="1">_xlfn.NORM.INV(RAND(),$M$7,$M$8)</f>
        <v>-5.1214849338038861E-2</v>
      </c>
    </row>
    <row r="8119" spans="6:7" x14ac:dyDescent="0.25">
      <c r="F8119">
        <v>8116</v>
      </c>
      <c r="G8119">
        <f ca="1">_xlfn.NORM.INV(RAND(),$M$7,$M$8)</f>
        <v>1.8192912148747967E-2</v>
      </c>
    </row>
    <row r="8120" spans="6:7" x14ac:dyDescent="0.25">
      <c r="F8120">
        <v>8117</v>
      </c>
      <c r="G8120">
        <f ca="1">_xlfn.NORM.INV(RAND(),$M$7,$M$8)</f>
        <v>1.0770524397073196E-2</v>
      </c>
    </row>
    <row r="8121" spans="6:7" x14ac:dyDescent="0.25">
      <c r="F8121">
        <v>8118</v>
      </c>
      <c r="G8121">
        <f ca="1">_xlfn.NORM.INV(RAND(),$M$7,$M$8)</f>
        <v>8.2840040120965713E-3</v>
      </c>
    </row>
    <row r="8122" spans="6:7" x14ac:dyDescent="0.25">
      <c r="F8122">
        <v>8119</v>
      </c>
      <c r="G8122">
        <f ca="1">_xlfn.NORM.INV(RAND(),$M$7,$M$8)</f>
        <v>-7.0309004454536389E-3</v>
      </c>
    </row>
    <row r="8123" spans="6:7" x14ac:dyDescent="0.25">
      <c r="F8123">
        <v>8120</v>
      </c>
      <c r="G8123">
        <f ca="1">_xlfn.NORM.INV(RAND(),$M$7,$M$8)</f>
        <v>2.7483194307310523E-2</v>
      </c>
    </row>
    <row r="8124" spans="6:7" x14ac:dyDescent="0.25">
      <c r="F8124">
        <v>8121</v>
      </c>
      <c r="G8124">
        <f ca="1">_xlfn.NORM.INV(RAND(),$M$7,$M$8)</f>
        <v>1.6616057488432926E-2</v>
      </c>
    </row>
    <row r="8125" spans="6:7" x14ac:dyDescent="0.25">
      <c r="F8125">
        <v>8122</v>
      </c>
      <c r="G8125">
        <f ca="1">_xlfn.NORM.INV(RAND(),$M$7,$M$8)</f>
        <v>1.2299835206148904E-2</v>
      </c>
    </row>
    <row r="8126" spans="6:7" x14ac:dyDescent="0.25">
      <c r="F8126">
        <v>8123</v>
      </c>
      <c r="G8126">
        <f ca="1">_xlfn.NORM.INV(RAND(),$M$7,$M$8)</f>
        <v>-1.9021048019147054E-2</v>
      </c>
    </row>
    <row r="8127" spans="6:7" x14ac:dyDescent="0.25">
      <c r="F8127">
        <v>8124</v>
      </c>
      <c r="G8127">
        <f ca="1">_xlfn.NORM.INV(RAND(),$M$7,$M$8)</f>
        <v>-7.3598894267824285E-3</v>
      </c>
    </row>
    <row r="8128" spans="6:7" x14ac:dyDescent="0.25">
      <c r="F8128">
        <v>8125</v>
      </c>
      <c r="G8128">
        <f ca="1">_xlfn.NORM.INV(RAND(),$M$7,$M$8)</f>
        <v>-9.6138772071977102E-3</v>
      </c>
    </row>
    <row r="8129" spans="6:7" x14ac:dyDescent="0.25">
      <c r="F8129">
        <v>8126</v>
      </c>
      <c r="G8129">
        <f ca="1">_xlfn.NORM.INV(RAND(),$M$7,$M$8)</f>
        <v>-7.3301069292557915E-3</v>
      </c>
    </row>
    <row r="8130" spans="6:7" x14ac:dyDescent="0.25">
      <c r="F8130">
        <v>8127</v>
      </c>
      <c r="G8130">
        <f ca="1">_xlfn.NORM.INV(RAND(),$M$7,$M$8)</f>
        <v>1.3636438033872912E-2</v>
      </c>
    </row>
    <row r="8131" spans="6:7" x14ac:dyDescent="0.25">
      <c r="F8131">
        <v>8128</v>
      </c>
      <c r="G8131">
        <f ca="1">_xlfn.NORM.INV(RAND(),$M$7,$M$8)</f>
        <v>7.1278656929307498E-3</v>
      </c>
    </row>
    <row r="8132" spans="6:7" x14ac:dyDescent="0.25">
      <c r="F8132">
        <v>8129</v>
      </c>
      <c r="G8132">
        <f ca="1">_xlfn.NORM.INV(RAND(),$M$7,$M$8)</f>
        <v>-4.0846311978711795E-3</v>
      </c>
    </row>
    <row r="8133" spans="6:7" x14ac:dyDescent="0.25">
      <c r="F8133">
        <v>8130</v>
      </c>
      <c r="G8133">
        <f ca="1">_xlfn.NORM.INV(RAND(),$M$7,$M$8)</f>
        <v>1.2251284073378929E-2</v>
      </c>
    </row>
    <row r="8134" spans="6:7" x14ac:dyDescent="0.25">
      <c r="F8134">
        <v>8131</v>
      </c>
      <c r="G8134">
        <f ca="1">_xlfn.NORM.INV(RAND(),$M$7,$M$8)</f>
        <v>1.5922843268976371E-2</v>
      </c>
    </row>
    <row r="8135" spans="6:7" x14ac:dyDescent="0.25">
      <c r="F8135">
        <v>8132</v>
      </c>
      <c r="G8135">
        <f ca="1">_xlfn.NORM.INV(RAND(),$M$7,$M$8)</f>
        <v>-2.6322160344023648E-3</v>
      </c>
    </row>
    <row r="8136" spans="6:7" x14ac:dyDescent="0.25">
      <c r="F8136">
        <v>8133</v>
      </c>
      <c r="G8136">
        <f ca="1">_xlfn.NORM.INV(RAND(),$M$7,$M$8)</f>
        <v>2.2802429297219658E-2</v>
      </c>
    </row>
    <row r="8137" spans="6:7" x14ac:dyDescent="0.25">
      <c r="F8137">
        <v>8134</v>
      </c>
      <c r="G8137">
        <f ca="1">_xlfn.NORM.INV(RAND(),$M$7,$M$8)</f>
        <v>4.3283145580998557E-2</v>
      </c>
    </row>
    <row r="8138" spans="6:7" x14ac:dyDescent="0.25">
      <c r="F8138">
        <v>8135</v>
      </c>
      <c r="G8138">
        <f ca="1">_xlfn.NORM.INV(RAND(),$M$7,$M$8)</f>
        <v>9.3395711907427736E-4</v>
      </c>
    </row>
    <row r="8139" spans="6:7" x14ac:dyDescent="0.25">
      <c r="F8139">
        <v>8136</v>
      </c>
      <c r="G8139">
        <f ca="1">_xlfn.NORM.INV(RAND(),$M$7,$M$8)</f>
        <v>-1.5304402098610854E-2</v>
      </c>
    </row>
    <row r="8140" spans="6:7" x14ac:dyDescent="0.25">
      <c r="F8140">
        <v>8137</v>
      </c>
      <c r="G8140">
        <f ca="1">_xlfn.NORM.INV(RAND(),$M$7,$M$8)</f>
        <v>-2.316554196411837E-2</v>
      </c>
    </row>
    <row r="8141" spans="6:7" x14ac:dyDescent="0.25">
      <c r="F8141">
        <v>8138</v>
      </c>
      <c r="G8141">
        <f ca="1">_xlfn.NORM.INV(RAND(),$M$7,$M$8)</f>
        <v>-8.6639552497640854E-5</v>
      </c>
    </row>
    <row r="8142" spans="6:7" x14ac:dyDescent="0.25">
      <c r="F8142">
        <v>8139</v>
      </c>
      <c r="G8142">
        <f ca="1">_xlfn.NORM.INV(RAND(),$M$7,$M$8)</f>
        <v>4.1533714449456555E-2</v>
      </c>
    </row>
    <row r="8143" spans="6:7" x14ac:dyDescent="0.25">
      <c r="F8143">
        <v>8140</v>
      </c>
      <c r="G8143">
        <f ca="1">_xlfn.NORM.INV(RAND(),$M$7,$M$8)</f>
        <v>-2.4414579989450784E-2</v>
      </c>
    </row>
    <row r="8144" spans="6:7" x14ac:dyDescent="0.25">
      <c r="F8144">
        <v>8141</v>
      </c>
      <c r="G8144">
        <f ca="1">_xlfn.NORM.INV(RAND(),$M$7,$M$8)</f>
        <v>4.7543839927178116E-2</v>
      </c>
    </row>
    <row r="8145" spans="6:7" x14ac:dyDescent="0.25">
      <c r="F8145">
        <v>8142</v>
      </c>
      <c r="G8145">
        <f ca="1">_xlfn.NORM.INV(RAND(),$M$7,$M$8)</f>
        <v>1.8283536419740416E-2</v>
      </c>
    </row>
    <row r="8146" spans="6:7" x14ac:dyDescent="0.25">
      <c r="F8146">
        <v>8143</v>
      </c>
      <c r="G8146">
        <f ca="1">_xlfn.NORM.INV(RAND(),$M$7,$M$8)</f>
        <v>-1.0562693805104592E-2</v>
      </c>
    </row>
    <row r="8147" spans="6:7" x14ac:dyDescent="0.25">
      <c r="F8147">
        <v>8144</v>
      </c>
      <c r="G8147">
        <f ca="1">_xlfn.NORM.INV(RAND(),$M$7,$M$8)</f>
        <v>-2.4351733201715665E-3</v>
      </c>
    </row>
    <row r="8148" spans="6:7" x14ac:dyDescent="0.25">
      <c r="F8148">
        <v>8145</v>
      </c>
      <c r="G8148">
        <f ca="1">_xlfn.NORM.INV(RAND(),$M$7,$M$8)</f>
        <v>1.9020310509292919E-2</v>
      </c>
    </row>
    <row r="8149" spans="6:7" x14ac:dyDescent="0.25">
      <c r="F8149">
        <v>8146</v>
      </c>
      <c r="G8149">
        <f ca="1">_xlfn.NORM.INV(RAND(),$M$7,$M$8)</f>
        <v>-2.7795977182600885E-2</v>
      </c>
    </row>
    <row r="8150" spans="6:7" x14ac:dyDescent="0.25">
      <c r="F8150">
        <v>8147</v>
      </c>
      <c r="G8150">
        <f ca="1">_xlfn.NORM.INV(RAND(),$M$7,$M$8)</f>
        <v>2.7015457813884935E-2</v>
      </c>
    </row>
    <row r="8151" spans="6:7" x14ac:dyDescent="0.25">
      <c r="F8151">
        <v>8148</v>
      </c>
      <c r="G8151">
        <f ca="1">_xlfn.NORM.INV(RAND(),$M$7,$M$8)</f>
        <v>2.091087364719903E-2</v>
      </c>
    </row>
    <row r="8152" spans="6:7" x14ac:dyDescent="0.25">
      <c r="F8152">
        <v>8149</v>
      </c>
      <c r="G8152">
        <f ca="1">_xlfn.NORM.INV(RAND(),$M$7,$M$8)</f>
        <v>-3.2584249746105912E-4</v>
      </c>
    </row>
    <row r="8153" spans="6:7" x14ac:dyDescent="0.25">
      <c r="F8153">
        <v>8150</v>
      </c>
      <c r="G8153">
        <f ca="1">_xlfn.NORM.INV(RAND(),$M$7,$M$8)</f>
        <v>-2.1241006368815481E-2</v>
      </c>
    </row>
    <row r="8154" spans="6:7" x14ac:dyDescent="0.25">
      <c r="F8154">
        <v>8151</v>
      </c>
      <c r="G8154">
        <f ca="1">_xlfn.NORM.INV(RAND(),$M$7,$M$8)</f>
        <v>2.812246523417878E-2</v>
      </c>
    </row>
    <row r="8155" spans="6:7" x14ac:dyDescent="0.25">
      <c r="F8155">
        <v>8152</v>
      </c>
      <c r="G8155">
        <f ca="1">_xlfn.NORM.INV(RAND(),$M$7,$M$8)</f>
        <v>-2.7580321044007088E-2</v>
      </c>
    </row>
    <row r="8156" spans="6:7" x14ac:dyDescent="0.25">
      <c r="F8156">
        <v>8153</v>
      </c>
      <c r="G8156">
        <f ca="1">_xlfn.NORM.INV(RAND(),$M$7,$M$8)</f>
        <v>2.9992041042002281E-2</v>
      </c>
    </row>
    <row r="8157" spans="6:7" x14ac:dyDescent="0.25">
      <c r="F8157">
        <v>8154</v>
      </c>
      <c r="G8157">
        <f ca="1">_xlfn.NORM.INV(RAND(),$M$7,$M$8)</f>
        <v>-3.0274067093502507E-3</v>
      </c>
    </row>
    <row r="8158" spans="6:7" x14ac:dyDescent="0.25">
      <c r="F8158">
        <v>8155</v>
      </c>
      <c r="G8158">
        <f ca="1">_xlfn.NORM.INV(RAND(),$M$7,$M$8)</f>
        <v>1.5698338927731242E-2</v>
      </c>
    </row>
    <row r="8159" spans="6:7" x14ac:dyDescent="0.25">
      <c r="F8159">
        <v>8156</v>
      </c>
      <c r="G8159">
        <f ca="1">_xlfn.NORM.INV(RAND(),$M$7,$M$8)</f>
        <v>-3.0778017061325515E-2</v>
      </c>
    </row>
    <row r="8160" spans="6:7" x14ac:dyDescent="0.25">
      <c r="F8160">
        <v>8157</v>
      </c>
      <c r="G8160">
        <f ca="1">_xlfn.NORM.INV(RAND(),$M$7,$M$8)</f>
        <v>-1.4110941600682578E-2</v>
      </c>
    </row>
    <row r="8161" spans="6:7" x14ac:dyDescent="0.25">
      <c r="F8161">
        <v>8158</v>
      </c>
      <c r="G8161">
        <f ca="1">_xlfn.NORM.INV(RAND(),$M$7,$M$8)</f>
        <v>-8.530359832479413E-3</v>
      </c>
    </row>
    <row r="8162" spans="6:7" x14ac:dyDescent="0.25">
      <c r="F8162">
        <v>8159</v>
      </c>
      <c r="G8162">
        <f ca="1">_xlfn.NORM.INV(RAND(),$M$7,$M$8)</f>
        <v>-2.276325437412521E-2</v>
      </c>
    </row>
    <row r="8163" spans="6:7" x14ac:dyDescent="0.25">
      <c r="F8163">
        <v>8160</v>
      </c>
      <c r="G8163">
        <f ca="1">_xlfn.NORM.INV(RAND(),$M$7,$M$8)</f>
        <v>-2.0235582892217118E-2</v>
      </c>
    </row>
    <row r="8164" spans="6:7" x14ac:dyDescent="0.25">
      <c r="F8164">
        <v>8161</v>
      </c>
      <c r="G8164">
        <f ca="1">_xlfn.NORM.INV(RAND(),$M$7,$M$8)</f>
        <v>-3.1497715509486192E-2</v>
      </c>
    </row>
    <row r="8165" spans="6:7" x14ac:dyDescent="0.25">
      <c r="F8165">
        <v>8162</v>
      </c>
      <c r="G8165">
        <f ca="1">_xlfn.NORM.INV(RAND(),$M$7,$M$8)</f>
        <v>-2.5926547979489775E-2</v>
      </c>
    </row>
    <row r="8166" spans="6:7" x14ac:dyDescent="0.25">
      <c r="F8166">
        <v>8163</v>
      </c>
      <c r="G8166">
        <f ca="1">_xlfn.NORM.INV(RAND(),$M$7,$M$8)</f>
        <v>2.42434803801162E-2</v>
      </c>
    </row>
    <row r="8167" spans="6:7" x14ac:dyDescent="0.25">
      <c r="F8167">
        <v>8164</v>
      </c>
      <c r="G8167">
        <f ca="1">_xlfn.NORM.INV(RAND(),$M$7,$M$8)</f>
        <v>1.3095299826713234E-2</v>
      </c>
    </row>
    <row r="8168" spans="6:7" x14ac:dyDescent="0.25">
      <c r="F8168">
        <v>8165</v>
      </c>
      <c r="G8168">
        <f ca="1">_xlfn.NORM.INV(RAND(),$M$7,$M$8)</f>
        <v>-2.0581693525743072E-2</v>
      </c>
    </row>
    <row r="8169" spans="6:7" x14ac:dyDescent="0.25">
      <c r="F8169">
        <v>8166</v>
      </c>
      <c r="G8169">
        <f ca="1">_xlfn.NORM.INV(RAND(),$M$7,$M$8)</f>
        <v>5.0608816448522047E-2</v>
      </c>
    </row>
    <row r="8170" spans="6:7" x14ac:dyDescent="0.25">
      <c r="F8170">
        <v>8167</v>
      </c>
      <c r="G8170">
        <f ca="1">_xlfn.NORM.INV(RAND(),$M$7,$M$8)</f>
        <v>3.3598012925128713E-4</v>
      </c>
    </row>
    <row r="8171" spans="6:7" x14ac:dyDescent="0.25">
      <c r="F8171">
        <v>8168</v>
      </c>
      <c r="G8171">
        <f ca="1">_xlfn.NORM.INV(RAND(),$M$7,$M$8)</f>
        <v>-1.0670588155046675E-2</v>
      </c>
    </row>
    <row r="8172" spans="6:7" x14ac:dyDescent="0.25">
      <c r="F8172">
        <v>8169</v>
      </c>
      <c r="G8172">
        <f ca="1">_xlfn.NORM.INV(RAND(),$M$7,$M$8)</f>
        <v>-2.5365748748530384E-2</v>
      </c>
    </row>
    <row r="8173" spans="6:7" x14ac:dyDescent="0.25">
      <c r="F8173">
        <v>8170</v>
      </c>
      <c r="G8173">
        <f ca="1">_xlfn.NORM.INV(RAND(),$M$7,$M$8)</f>
        <v>-6.3949600345002671E-3</v>
      </c>
    </row>
    <row r="8174" spans="6:7" x14ac:dyDescent="0.25">
      <c r="F8174">
        <v>8171</v>
      </c>
      <c r="G8174">
        <f ca="1">_xlfn.NORM.INV(RAND(),$M$7,$M$8)</f>
        <v>-3.7721202931724415E-2</v>
      </c>
    </row>
    <row r="8175" spans="6:7" x14ac:dyDescent="0.25">
      <c r="F8175">
        <v>8172</v>
      </c>
      <c r="G8175">
        <f ca="1">_xlfn.NORM.INV(RAND(),$M$7,$M$8)</f>
        <v>-4.0616756682840469E-3</v>
      </c>
    </row>
    <row r="8176" spans="6:7" x14ac:dyDescent="0.25">
      <c r="F8176">
        <v>8173</v>
      </c>
      <c r="G8176">
        <f ca="1">_xlfn.NORM.INV(RAND(),$M$7,$M$8)</f>
        <v>-1.266259309948309E-2</v>
      </c>
    </row>
    <row r="8177" spans="6:7" x14ac:dyDescent="0.25">
      <c r="F8177">
        <v>8174</v>
      </c>
      <c r="G8177">
        <f ca="1">_xlfn.NORM.INV(RAND(),$M$7,$M$8)</f>
        <v>-3.284852482415182E-2</v>
      </c>
    </row>
    <row r="8178" spans="6:7" x14ac:dyDescent="0.25">
      <c r="F8178">
        <v>8175</v>
      </c>
      <c r="G8178">
        <f ca="1">_xlfn.NORM.INV(RAND(),$M$7,$M$8)</f>
        <v>3.1354994565238957E-2</v>
      </c>
    </row>
    <row r="8179" spans="6:7" x14ac:dyDescent="0.25">
      <c r="F8179">
        <v>8176</v>
      </c>
      <c r="G8179">
        <f ca="1">_xlfn.NORM.INV(RAND(),$M$7,$M$8)</f>
        <v>2.300283373865061E-2</v>
      </c>
    </row>
    <row r="8180" spans="6:7" x14ac:dyDescent="0.25">
      <c r="F8180">
        <v>8177</v>
      </c>
      <c r="G8180">
        <f ca="1">_xlfn.NORM.INV(RAND(),$M$7,$M$8)</f>
        <v>-4.0257220675567078E-2</v>
      </c>
    </row>
    <row r="8181" spans="6:7" x14ac:dyDescent="0.25">
      <c r="F8181">
        <v>8178</v>
      </c>
      <c r="G8181">
        <f ca="1">_xlfn.NORM.INV(RAND(),$M$7,$M$8)</f>
        <v>-2.2108471206796561E-3</v>
      </c>
    </row>
    <row r="8182" spans="6:7" x14ac:dyDescent="0.25">
      <c r="F8182">
        <v>8179</v>
      </c>
      <c r="G8182">
        <f ca="1">_xlfn.NORM.INV(RAND(),$M$7,$M$8)</f>
        <v>-1.4109044293545727E-2</v>
      </c>
    </row>
    <row r="8183" spans="6:7" x14ac:dyDescent="0.25">
      <c r="F8183">
        <v>8180</v>
      </c>
      <c r="G8183">
        <f ca="1">_xlfn.NORM.INV(RAND(),$M$7,$M$8)</f>
        <v>-1.5012868800874716E-2</v>
      </c>
    </row>
    <row r="8184" spans="6:7" x14ac:dyDescent="0.25">
      <c r="F8184">
        <v>8181</v>
      </c>
      <c r="G8184">
        <f ca="1">_xlfn.NORM.INV(RAND(),$M$7,$M$8)</f>
        <v>1.3484881405593102E-3</v>
      </c>
    </row>
    <row r="8185" spans="6:7" x14ac:dyDescent="0.25">
      <c r="F8185">
        <v>8182</v>
      </c>
      <c r="G8185">
        <f ca="1">_xlfn.NORM.INV(RAND(),$M$7,$M$8)</f>
        <v>4.1047422691679651E-2</v>
      </c>
    </row>
    <row r="8186" spans="6:7" x14ac:dyDescent="0.25">
      <c r="F8186">
        <v>8183</v>
      </c>
      <c r="G8186">
        <f ca="1">_xlfn.NORM.INV(RAND(),$M$7,$M$8)</f>
        <v>-1.1540721221143113E-2</v>
      </c>
    </row>
    <row r="8187" spans="6:7" x14ac:dyDescent="0.25">
      <c r="F8187">
        <v>8184</v>
      </c>
      <c r="G8187">
        <f ca="1">_xlfn.NORM.INV(RAND(),$M$7,$M$8)</f>
        <v>-1.5443225050063292E-2</v>
      </c>
    </row>
    <row r="8188" spans="6:7" x14ac:dyDescent="0.25">
      <c r="F8188">
        <v>8185</v>
      </c>
      <c r="G8188">
        <f ca="1">_xlfn.NORM.INV(RAND(),$M$7,$M$8)</f>
        <v>1.8802177773358533E-2</v>
      </c>
    </row>
    <row r="8189" spans="6:7" x14ac:dyDescent="0.25">
      <c r="F8189">
        <v>8186</v>
      </c>
      <c r="G8189">
        <f ca="1">_xlfn.NORM.INV(RAND(),$M$7,$M$8)</f>
        <v>-5.2470593934614299E-2</v>
      </c>
    </row>
    <row r="8190" spans="6:7" x14ac:dyDescent="0.25">
      <c r="F8190">
        <v>8187</v>
      </c>
      <c r="G8190">
        <f ca="1">_xlfn.NORM.INV(RAND(),$M$7,$M$8)</f>
        <v>2.6571208252452617E-2</v>
      </c>
    </row>
    <row r="8191" spans="6:7" x14ac:dyDescent="0.25">
      <c r="F8191">
        <v>8188</v>
      </c>
      <c r="G8191">
        <f ca="1">_xlfn.NORM.INV(RAND(),$M$7,$M$8)</f>
        <v>3.6713173692068542E-3</v>
      </c>
    </row>
    <row r="8192" spans="6:7" x14ac:dyDescent="0.25">
      <c r="F8192">
        <v>8189</v>
      </c>
      <c r="G8192">
        <f ca="1">_xlfn.NORM.INV(RAND(),$M$7,$M$8)</f>
        <v>-2.25158211211967E-2</v>
      </c>
    </row>
    <row r="8193" spans="6:7" x14ac:dyDescent="0.25">
      <c r="F8193">
        <v>8190</v>
      </c>
      <c r="G8193">
        <f ca="1">_xlfn.NORM.INV(RAND(),$M$7,$M$8)</f>
        <v>1.6638654550283946E-2</v>
      </c>
    </row>
    <row r="8194" spans="6:7" x14ac:dyDescent="0.25">
      <c r="F8194">
        <v>8191</v>
      </c>
      <c r="G8194">
        <f ca="1">_xlfn.NORM.INV(RAND(),$M$7,$M$8)</f>
        <v>2.9241381331696958E-2</v>
      </c>
    </row>
    <row r="8195" spans="6:7" x14ac:dyDescent="0.25">
      <c r="F8195">
        <v>8192</v>
      </c>
      <c r="G8195">
        <f ca="1">_xlfn.NORM.INV(RAND(),$M$7,$M$8)</f>
        <v>3.2555644835419333E-2</v>
      </c>
    </row>
    <row r="8196" spans="6:7" x14ac:dyDescent="0.25">
      <c r="F8196">
        <v>8193</v>
      </c>
      <c r="G8196">
        <f ca="1">_xlfn.NORM.INV(RAND(),$M$7,$M$8)</f>
        <v>1.804612099327476E-2</v>
      </c>
    </row>
    <row r="8197" spans="6:7" x14ac:dyDescent="0.25">
      <c r="F8197">
        <v>8194</v>
      </c>
      <c r="G8197">
        <f ca="1">_xlfn.NORM.INV(RAND(),$M$7,$M$8)</f>
        <v>-1.4992722104886801E-3</v>
      </c>
    </row>
    <row r="8198" spans="6:7" x14ac:dyDescent="0.25">
      <c r="F8198">
        <v>8195</v>
      </c>
      <c r="G8198">
        <f ca="1">_xlfn.NORM.INV(RAND(),$M$7,$M$8)</f>
        <v>-6.0492313835889919E-2</v>
      </c>
    </row>
    <row r="8199" spans="6:7" x14ac:dyDescent="0.25">
      <c r="F8199">
        <v>8196</v>
      </c>
      <c r="G8199">
        <f ca="1">_xlfn.NORM.INV(RAND(),$M$7,$M$8)</f>
        <v>2.6417090141165967E-3</v>
      </c>
    </row>
    <row r="8200" spans="6:7" x14ac:dyDescent="0.25">
      <c r="F8200">
        <v>8197</v>
      </c>
      <c r="G8200">
        <f ca="1">_xlfn.NORM.INV(RAND(),$M$7,$M$8)</f>
        <v>1.9992069834036457E-3</v>
      </c>
    </row>
    <row r="8201" spans="6:7" x14ac:dyDescent="0.25">
      <c r="F8201">
        <v>8198</v>
      </c>
      <c r="G8201">
        <f ca="1">_xlfn.NORM.INV(RAND(),$M$7,$M$8)</f>
        <v>-1.3828318779025205E-2</v>
      </c>
    </row>
    <row r="8202" spans="6:7" x14ac:dyDescent="0.25">
      <c r="F8202">
        <v>8199</v>
      </c>
      <c r="G8202">
        <f ca="1">_xlfn.NORM.INV(RAND(),$M$7,$M$8)</f>
        <v>-1.9684828850688223E-2</v>
      </c>
    </row>
    <row r="8203" spans="6:7" x14ac:dyDescent="0.25">
      <c r="F8203">
        <v>8200</v>
      </c>
      <c r="G8203">
        <f ca="1">_xlfn.NORM.INV(RAND(),$M$7,$M$8)</f>
        <v>1.2757319938671005E-2</v>
      </c>
    </row>
    <row r="8204" spans="6:7" x14ac:dyDescent="0.25">
      <c r="F8204">
        <v>8201</v>
      </c>
      <c r="G8204">
        <f ca="1">_xlfn.NORM.INV(RAND(),$M$7,$M$8)</f>
        <v>2.2439514140313178E-2</v>
      </c>
    </row>
    <row r="8205" spans="6:7" x14ac:dyDescent="0.25">
      <c r="F8205">
        <v>8202</v>
      </c>
      <c r="G8205">
        <f ca="1">_xlfn.NORM.INV(RAND(),$M$7,$M$8)</f>
        <v>3.1509130461182346E-2</v>
      </c>
    </row>
    <row r="8206" spans="6:7" x14ac:dyDescent="0.25">
      <c r="F8206">
        <v>8203</v>
      </c>
      <c r="G8206">
        <f ca="1">_xlfn.NORM.INV(RAND(),$M$7,$M$8)</f>
        <v>1.073267787637895E-2</v>
      </c>
    </row>
    <row r="8207" spans="6:7" x14ac:dyDescent="0.25">
      <c r="F8207">
        <v>8204</v>
      </c>
      <c r="G8207">
        <f ca="1">_xlfn.NORM.INV(RAND(),$M$7,$M$8)</f>
        <v>2.1138339579330152E-2</v>
      </c>
    </row>
    <row r="8208" spans="6:7" x14ac:dyDescent="0.25">
      <c r="F8208">
        <v>8205</v>
      </c>
      <c r="G8208">
        <f ca="1">_xlfn.NORM.INV(RAND(),$M$7,$M$8)</f>
        <v>-1.7153305475353767E-2</v>
      </c>
    </row>
    <row r="8209" spans="6:7" x14ac:dyDescent="0.25">
      <c r="F8209">
        <v>8206</v>
      </c>
      <c r="G8209">
        <f ca="1">_xlfn.NORM.INV(RAND(),$M$7,$M$8)</f>
        <v>-3.8595895445047421E-2</v>
      </c>
    </row>
    <row r="8210" spans="6:7" x14ac:dyDescent="0.25">
      <c r="F8210">
        <v>8207</v>
      </c>
      <c r="G8210">
        <f ca="1">_xlfn.NORM.INV(RAND(),$M$7,$M$8)</f>
        <v>-1.1648030235048646E-2</v>
      </c>
    </row>
    <row r="8211" spans="6:7" x14ac:dyDescent="0.25">
      <c r="F8211">
        <v>8208</v>
      </c>
      <c r="G8211">
        <f ca="1">_xlfn.NORM.INV(RAND(),$M$7,$M$8)</f>
        <v>7.2846567771902744E-3</v>
      </c>
    </row>
    <row r="8212" spans="6:7" x14ac:dyDescent="0.25">
      <c r="F8212">
        <v>8209</v>
      </c>
      <c r="G8212">
        <f ca="1">_xlfn.NORM.INV(RAND(),$M$7,$M$8)</f>
        <v>2.128157131359629E-2</v>
      </c>
    </row>
    <row r="8213" spans="6:7" x14ac:dyDescent="0.25">
      <c r="F8213">
        <v>8210</v>
      </c>
      <c r="G8213">
        <f ca="1">_xlfn.NORM.INV(RAND(),$M$7,$M$8)</f>
        <v>1.4595703098330476E-2</v>
      </c>
    </row>
    <row r="8214" spans="6:7" x14ac:dyDescent="0.25">
      <c r="F8214">
        <v>8211</v>
      </c>
      <c r="G8214">
        <f ca="1">_xlfn.NORM.INV(RAND(),$M$7,$M$8)</f>
        <v>1.4717339989133441E-2</v>
      </c>
    </row>
    <row r="8215" spans="6:7" x14ac:dyDescent="0.25">
      <c r="F8215">
        <v>8212</v>
      </c>
      <c r="G8215">
        <f ca="1">_xlfn.NORM.INV(RAND(),$M$7,$M$8)</f>
        <v>-2.2270260860240466E-2</v>
      </c>
    </row>
    <row r="8216" spans="6:7" x14ac:dyDescent="0.25">
      <c r="F8216">
        <v>8213</v>
      </c>
      <c r="G8216">
        <f ca="1">_xlfn.NORM.INV(RAND(),$M$7,$M$8)</f>
        <v>2.3806547241268971E-2</v>
      </c>
    </row>
    <row r="8217" spans="6:7" x14ac:dyDescent="0.25">
      <c r="F8217">
        <v>8214</v>
      </c>
      <c r="G8217">
        <f ca="1">_xlfn.NORM.INV(RAND(),$M$7,$M$8)</f>
        <v>5.6673822267928955E-2</v>
      </c>
    </row>
    <row r="8218" spans="6:7" x14ac:dyDescent="0.25">
      <c r="F8218">
        <v>8215</v>
      </c>
      <c r="G8218">
        <f ca="1">_xlfn.NORM.INV(RAND(),$M$7,$M$8)</f>
        <v>-2.1078788156831868E-2</v>
      </c>
    </row>
    <row r="8219" spans="6:7" x14ac:dyDescent="0.25">
      <c r="F8219">
        <v>8216</v>
      </c>
      <c r="G8219">
        <f ca="1">_xlfn.NORM.INV(RAND(),$M$7,$M$8)</f>
        <v>-2.0143629967103654E-2</v>
      </c>
    </row>
    <row r="8220" spans="6:7" x14ac:dyDescent="0.25">
      <c r="F8220">
        <v>8217</v>
      </c>
      <c r="G8220">
        <f ca="1">_xlfn.NORM.INV(RAND(),$M$7,$M$8)</f>
        <v>-3.8166301369110076E-2</v>
      </c>
    </row>
    <row r="8221" spans="6:7" x14ac:dyDescent="0.25">
      <c r="F8221">
        <v>8218</v>
      </c>
      <c r="G8221">
        <f ca="1">_xlfn.NORM.INV(RAND(),$M$7,$M$8)</f>
        <v>1.3042187746931215E-2</v>
      </c>
    </row>
    <row r="8222" spans="6:7" x14ac:dyDescent="0.25">
      <c r="F8222">
        <v>8219</v>
      </c>
      <c r="G8222">
        <f ca="1">_xlfn.NORM.INV(RAND(),$M$7,$M$8)</f>
        <v>-2.6537665997126508E-2</v>
      </c>
    </row>
    <row r="8223" spans="6:7" x14ac:dyDescent="0.25">
      <c r="F8223">
        <v>8220</v>
      </c>
      <c r="G8223">
        <f ca="1">_xlfn.NORM.INV(RAND(),$M$7,$M$8)</f>
        <v>1.826167526801125E-2</v>
      </c>
    </row>
    <row r="8224" spans="6:7" x14ac:dyDescent="0.25">
      <c r="F8224">
        <v>8221</v>
      </c>
      <c r="G8224">
        <f ca="1">_xlfn.NORM.INV(RAND(),$M$7,$M$8)</f>
        <v>-2.2440873329118094E-2</v>
      </c>
    </row>
    <row r="8225" spans="6:7" x14ac:dyDescent="0.25">
      <c r="F8225">
        <v>8222</v>
      </c>
      <c r="G8225">
        <f ca="1">_xlfn.NORM.INV(RAND(),$M$7,$M$8)</f>
        <v>8.1786078830846619E-3</v>
      </c>
    </row>
    <row r="8226" spans="6:7" x14ac:dyDescent="0.25">
      <c r="F8226">
        <v>8223</v>
      </c>
      <c r="G8226">
        <f ca="1">_xlfn.NORM.INV(RAND(),$M$7,$M$8)</f>
        <v>-1.7387106215833746E-2</v>
      </c>
    </row>
    <row r="8227" spans="6:7" x14ac:dyDescent="0.25">
      <c r="F8227">
        <v>8224</v>
      </c>
      <c r="G8227">
        <f ca="1">_xlfn.NORM.INV(RAND(),$M$7,$M$8)</f>
        <v>2.7442872835282676E-2</v>
      </c>
    </row>
    <row r="8228" spans="6:7" x14ac:dyDescent="0.25">
      <c r="F8228">
        <v>8225</v>
      </c>
      <c r="G8228">
        <f ca="1">_xlfn.NORM.INV(RAND(),$M$7,$M$8)</f>
        <v>-1.0907934115101551E-2</v>
      </c>
    </row>
    <row r="8229" spans="6:7" x14ac:dyDescent="0.25">
      <c r="F8229">
        <v>8226</v>
      </c>
      <c r="G8229">
        <f ca="1">_xlfn.NORM.INV(RAND(),$M$7,$M$8)</f>
        <v>1.572133683487922E-2</v>
      </c>
    </row>
    <row r="8230" spans="6:7" x14ac:dyDescent="0.25">
      <c r="F8230">
        <v>8227</v>
      </c>
      <c r="G8230">
        <f ca="1">_xlfn.NORM.INV(RAND(),$M$7,$M$8)</f>
        <v>7.0606775633843544E-3</v>
      </c>
    </row>
    <row r="8231" spans="6:7" x14ac:dyDescent="0.25">
      <c r="F8231">
        <v>8228</v>
      </c>
      <c r="G8231">
        <f ca="1">_xlfn.NORM.INV(RAND(),$M$7,$M$8)</f>
        <v>-3.4745746361631471E-3</v>
      </c>
    </row>
    <row r="8232" spans="6:7" x14ac:dyDescent="0.25">
      <c r="F8232">
        <v>8229</v>
      </c>
      <c r="G8232">
        <f ca="1">_xlfn.NORM.INV(RAND(),$M$7,$M$8)</f>
        <v>1.9160061513852178E-3</v>
      </c>
    </row>
    <row r="8233" spans="6:7" x14ac:dyDescent="0.25">
      <c r="F8233">
        <v>8230</v>
      </c>
      <c r="G8233">
        <f ca="1">_xlfn.NORM.INV(RAND(),$M$7,$M$8)</f>
        <v>-4.1760782137692729E-3</v>
      </c>
    </row>
    <row r="8234" spans="6:7" x14ac:dyDescent="0.25">
      <c r="F8234">
        <v>8231</v>
      </c>
      <c r="G8234">
        <f ca="1">_xlfn.NORM.INV(RAND(),$M$7,$M$8)</f>
        <v>1.9115340852469867E-2</v>
      </c>
    </row>
    <row r="8235" spans="6:7" x14ac:dyDescent="0.25">
      <c r="F8235">
        <v>8232</v>
      </c>
      <c r="G8235">
        <f ca="1">_xlfn.NORM.INV(RAND(),$M$7,$M$8)</f>
        <v>-2.9315738709128045E-2</v>
      </c>
    </row>
    <row r="8236" spans="6:7" x14ac:dyDescent="0.25">
      <c r="F8236">
        <v>8233</v>
      </c>
      <c r="G8236">
        <f ca="1">_xlfn.NORM.INV(RAND(),$M$7,$M$8)</f>
        <v>-2.2706961980805383E-2</v>
      </c>
    </row>
    <row r="8237" spans="6:7" x14ac:dyDescent="0.25">
      <c r="F8237">
        <v>8234</v>
      </c>
      <c r="G8237">
        <f ca="1">_xlfn.NORM.INV(RAND(),$M$7,$M$8)</f>
        <v>-4.8508582837513397E-3</v>
      </c>
    </row>
    <row r="8238" spans="6:7" x14ac:dyDescent="0.25">
      <c r="F8238">
        <v>8235</v>
      </c>
      <c r="G8238">
        <f ca="1">_xlfn.NORM.INV(RAND(),$M$7,$M$8)</f>
        <v>3.3196800066787442E-2</v>
      </c>
    </row>
    <row r="8239" spans="6:7" x14ac:dyDescent="0.25">
      <c r="F8239">
        <v>8236</v>
      </c>
      <c r="G8239">
        <f ca="1">_xlfn.NORM.INV(RAND(),$M$7,$M$8)</f>
        <v>-1.9696233485513481E-3</v>
      </c>
    </row>
    <row r="8240" spans="6:7" x14ac:dyDescent="0.25">
      <c r="F8240">
        <v>8237</v>
      </c>
      <c r="G8240">
        <f ca="1">_xlfn.NORM.INV(RAND(),$M$7,$M$8)</f>
        <v>-2.2449221283512139E-2</v>
      </c>
    </row>
    <row r="8241" spans="6:7" x14ac:dyDescent="0.25">
      <c r="F8241">
        <v>8238</v>
      </c>
      <c r="G8241">
        <f ca="1">_xlfn.NORM.INV(RAND(),$M$7,$M$8)</f>
        <v>-1.3613544783278061E-3</v>
      </c>
    </row>
    <row r="8242" spans="6:7" x14ac:dyDescent="0.25">
      <c r="F8242">
        <v>8239</v>
      </c>
      <c r="G8242">
        <f ca="1">_xlfn.NORM.INV(RAND(),$M$7,$M$8)</f>
        <v>-2.3242365611666423E-2</v>
      </c>
    </row>
    <row r="8243" spans="6:7" x14ac:dyDescent="0.25">
      <c r="F8243">
        <v>8240</v>
      </c>
      <c r="G8243">
        <f ca="1">_xlfn.NORM.INV(RAND(),$M$7,$M$8)</f>
        <v>1.7074954068614284E-2</v>
      </c>
    </row>
    <row r="8244" spans="6:7" x14ac:dyDescent="0.25">
      <c r="F8244">
        <v>8241</v>
      </c>
      <c r="G8244">
        <f ca="1">_xlfn.NORM.INV(RAND(),$M$7,$M$8)</f>
        <v>-1.2595373188956144E-2</v>
      </c>
    </row>
    <row r="8245" spans="6:7" x14ac:dyDescent="0.25">
      <c r="F8245">
        <v>8242</v>
      </c>
      <c r="G8245">
        <f ca="1">_xlfn.NORM.INV(RAND(),$M$7,$M$8)</f>
        <v>2.9793949938861964E-2</v>
      </c>
    </row>
    <row r="8246" spans="6:7" x14ac:dyDescent="0.25">
      <c r="F8246">
        <v>8243</v>
      </c>
      <c r="G8246">
        <f ca="1">_xlfn.NORM.INV(RAND(),$M$7,$M$8)</f>
        <v>-3.9495144736994506E-3</v>
      </c>
    </row>
    <row r="8247" spans="6:7" x14ac:dyDescent="0.25">
      <c r="F8247">
        <v>8244</v>
      </c>
      <c r="G8247">
        <f ca="1">_xlfn.NORM.INV(RAND(),$M$7,$M$8)</f>
        <v>-2.4521322198289997E-2</v>
      </c>
    </row>
    <row r="8248" spans="6:7" x14ac:dyDescent="0.25">
      <c r="F8248">
        <v>8245</v>
      </c>
      <c r="G8248">
        <f ca="1">_xlfn.NORM.INV(RAND(),$M$7,$M$8)</f>
        <v>3.9261104781511003E-3</v>
      </c>
    </row>
    <row r="8249" spans="6:7" x14ac:dyDescent="0.25">
      <c r="F8249">
        <v>8246</v>
      </c>
      <c r="G8249">
        <f ca="1">_xlfn.NORM.INV(RAND(),$M$7,$M$8)</f>
        <v>-1.4787358672777987E-2</v>
      </c>
    </row>
    <row r="8250" spans="6:7" x14ac:dyDescent="0.25">
      <c r="F8250">
        <v>8247</v>
      </c>
      <c r="G8250">
        <f ca="1">_xlfn.NORM.INV(RAND(),$M$7,$M$8)</f>
        <v>-2.3925998766064702E-3</v>
      </c>
    </row>
    <row r="8251" spans="6:7" x14ac:dyDescent="0.25">
      <c r="F8251">
        <v>8248</v>
      </c>
      <c r="G8251">
        <f ca="1">_xlfn.NORM.INV(RAND(),$M$7,$M$8)</f>
        <v>2.3650401763772558E-3</v>
      </c>
    </row>
    <row r="8252" spans="6:7" x14ac:dyDescent="0.25">
      <c r="F8252">
        <v>8249</v>
      </c>
      <c r="G8252">
        <f ca="1">_xlfn.NORM.INV(RAND(),$M$7,$M$8)</f>
        <v>-1.8093879632687569E-2</v>
      </c>
    </row>
    <row r="8253" spans="6:7" x14ac:dyDescent="0.25">
      <c r="F8253">
        <v>8250</v>
      </c>
      <c r="G8253">
        <f ca="1">_xlfn.NORM.INV(RAND(),$M$7,$M$8)</f>
        <v>-1.8406910902888079E-2</v>
      </c>
    </row>
    <row r="8254" spans="6:7" x14ac:dyDescent="0.25">
      <c r="F8254">
        <v>8251</v>
      </c>
      <c r="G8254">
        <f ca="1">_xlfn.NORM.INV(RAND(),$M$7,$M$8)</f>
        <v>-2.309578807440359E-3</v>
      </c>
    </row>
    <row r="8255" spans="6:7" x14ac:dyDescent="0.25">
      <c r="F8255">
        <v>8252</v>
      </c>
      <c r="G8255">
        <f ca="1">_xlfn.NORM.INV(RAND(),$M$7,$M$8)</f>
        <v>-8.821773194533129E-3</v>
      </c>
    </row>
    <row r="8256" spans="6:7" x14ac:dyDescent="0.25">
      <c r="F8256">
        <v>8253</v>
      </c>
      <c r="G8256">
        <f ca="1">_xlfn.NORM.INV(RAND(),$M$7,$M$8)</f>
        <v>4.8840218852454556E-3</v>
      </c>
    </row>
    <row r="8257" spans="6:7" x14ac:dyDescent="0.25">
      <c r="F8257">
        <v>8254</v>
      </c>
      <c r="G8257">
        <f ca="1">_xlfn.NORM.INV(RAND(),$M$7,$M$8)</f>
        <v>2.4757367364819455E-2</v>
      </c>
    </row>
    <row r="8258" spans="6:7" x14ac:dyDescent="0.25">
      <c r="F8258">
        <v>8255</v>
      </c>
      <c r="G8258">
        <f ca="1">_xlfn.NORM.INV(RAND(),$M$7,$M$8)</f>
        <v>-6.3138824096344762E-2</v>
      </c>
    </row>
    <row r="8259" spans="6:7" x14ac:dyDescent="0.25">
      <c r="F8259">
        <v>8256</v>
      </c>
      <c r="G8259">
        <f ca="1">_xlfn.NORM.INV(RAND(),$M$7,$M$8)</f>
        <v>-4.1692537711633143E-2</v>
      </c>
    </row>
    <row r="8260" spans="6:7" x14ac:dyDescent="0.25">
      <c r="F8260">
        <v>8257</v>
      </c>
      <c r="G8260">
        <f ca="1">_xlfn.NORM.INV(RAND(),$M$7,$M$8)</f>
        <v>2.2285452793471146E-3</v>
      </c>
    </row>
    <row r="8261" spans="6:7" x14ac:dyDescent="0.25">
      <c r="F8261">
        <v>8258</v>
      </c>
      <c r="G8261">
        <f ca="1">_xlfn.NORM.INV(RAND(),$M$7,$M$8)</f>
        <v>5.226264026652664E-3</v>
      </c>
    </row>
    <row r="8262" spans="6:7" x14ac:dyDescent="0.25">
      <c r="F8262">
        <v>8259</v>
      </c>
      <c r="G8262">
        <f ca="1">_xlfn.NORM.INV(RAND(),$M$7,$M$8)</f>
        <v>-1.9422213583937746E-2</v>
      </c>
    </row>
    <row r="8263" spans="6:7" x14ac:dyDescent="0.25">
      <c r="F8263">
        <v>8260</v>
      </c>
      <c r="G8263">
        <f ca="1">_xlfn.NORM.INV(RAND(),$M$7,$M$8)</f>
        <v>-4.8724932728388907E-3</v>
      </c>
    </row>
    <row r="8264" spans="6:7" x14ac:dyDescent="0.25">
      <c r="F8264">
        <v>8261</v>
      </c>
      <c r="G8264">
        <f ca="1">_xlfn.NORM.INV(RAND(),$M$7,$M$8)</f>
        <v>8.3017675375353026E-3</v>
      </c>
    </row>
    <row r="8265" spans="6:7" x14ac:dyDescent="0.25">
      <c r="F8265">
        <v>8262</v>
      </c>
      <c r="G8265">
        <f ca="1">_xlfn.NORM.INV(RAND(),$M$7,$M$8)</f>
        <v>-1.5684367476785886E-2</v>
      </c>
    </row>
    <row r="8266" spans="6:7" x14ac:dyDescent="0.25">
      <c r="F8266">
        <v>8263</v>
      </c>
      <c r="G8266">
        <f ca="1">_xlfn.NORM.INV(RAND(),$M$7,$M$8)</f>
        <v>-4.0513298850922988E-2</v>
      </c>
    </row>
    <row r="8267" spans="6:7" x14ac:dyDescent="0.25">
      <c r="F8267">
        <v>8264</v>
      </c>
      <c r="G8267">
        <f ca="1">_xlfn.NORM.INV(RAND(),$M$7,$M$8)</f>
        <v>3.5304826833486791E-2</v>
      </c>
    </row>
    <row r="8268" spans="6:7" x14ac:dyDescent="0.25">
      <c r="F8268">
        <v>8265</v>
      </c>
      <c r="G8268">
        <f ca="1">_xlfn.NORM.INV(RAND(),$M$7,$M$8)</f>
        <v>5.834271367443692E-3</v>
      </c>
    </row>
    <row r="8269" spans="6:7" x14ac:dyDescent="0.25">
      <c r="F8269">
        <v>8266</v>
      </c>
      <c r="G8269">
        <f ca="1">_xlfn.NORM.INV(RAND(),$M$7,$M$8)</f>
        <v>-7.1443316115811541E-3</v>
      </c>
    </row>
    <row r="8270" spans="6:7" x14ac:dyDescent="0.25">
      <c r="F8270">
        <v>8267</v>
      </c>
      <c r="G8270">
        <f ca="1">_xlfn.NORM.INV(RAND(),$M$7,$M$8)</f>
        <v>5.6335142528849004E-2</v>
      </c>
    </row>
    <row r="8271" spans="6:7" x14ac:dyDescent="0.25">
      <c r="F8271">
        <v>8268</v>
      </c>
      <c r="G8271">
        <f ca="1">_xlfn.NORM.INV(RAND(),$M$7,$M$8)</f>
        <v>2.950426057137227E-2</v>
      </c>
    </row>
    <row r="8272" spans="6:7" x14ac:dyDescent="0.25">
      <c r="F8272">
        <v>8269</v>
      </c>
      <c r="G8272">
        <f ca="1">_xlfn.NORM.INV(RAND(),$M$7,$M$8)</f>
        <v>5.2018974026709311E-2</v>
      </c>
    </row>
    <row r="8273" spans="6:7" x14ac:dyDescent="0.25">
      <c r="F8273">
        <v>8270</v>
      </c>
      <c r="G8273">
        <f ca="1">_xlfn.NORM.INV(RAND(),$M$7,$M$8)</f>
        <v>-2.728710795140403E-2</v>
      </c>
    </row>
    <row r="8274" spans="6:7" x14ac:dyDescent="0.25">
      <c r="F8274">
        <v>8271</v>
      </c>
      <c r="G8274">
        <f ca="1">_xlfn.NORM.INV(RAND(),$M$7,$M$8)</f>
        <v>-7.0324521076542031E-3</v>
      </c>
    </row>
    <row r="8275" spans="6:7" x14ac:dyDescent="0.25">
      <c r="F8275">
        <v>8272</v>
      </c>
      <c r="G8275">
        <f ca="1">_xlfn.NORM.INV(RAND(),$M$7,$M$8)</f>
        <v>-6.082605875524694E-3</v>
      </c>
    </row>
    <row r="8276" spans="6:7" x14ac:dyDescent="0.25">
      <c r="F8276">
        <v>8273</v>
      </c>
      <c r="G8276">
        <f ca="1">_xlfn.NORM.INV(RAND(),$M$7,$M$8)</f>
        <v>1.235717324423773E-2</v>
      </c>
    </row>
    <row r="8277" spans="6:7" x14ac:dyDescent="0.25">
      <c r="F8277">
        <v>8274</v>
      </c>
      <c r="G8277">
        <f ca="1">_xlfn.NORM.INV(RAND(),$M$7,$M$8)</f>
        <v>-1.1937798648506484E-3</v>
      </c>
    </row>
    <row r="8278" spans="6:7" x14ac:dyDescent="0.25">
      <c r="F8278">
        <v>8275</v>
      </c>
      <c r="G8278">
        <f ca="1">_xlfn.NORM.INV(RAND(),$M$7,$M$8)</f>
        <v>2.7160026243339724E-2</v>
      </c>
    </row>
    <row r="8279" spans="6:7" x14ac:dyDescent="0.25">
      <c r="F8279">
        <v>8276</v>
      </c>
      <c r="G8279">
        <f ca="1">_xlfn.NORM.INV(RAND(),$M$7,$M$8)</f>
        <v>1.2300683923874357E-2</v>
      </c>
    </row>
    <row r="8280" spans="6:7" x14ac:dyDescent="0.25">
      <c r="F8280">
        <v>8277</v>
      </c>
      <c r="G8280">
        <f ca="1">_xlfn.NORM.INV(RAND(),$M$7,$M$8)</f>
        <v>4.834248870525247E-2</v>
      </c>
    </row>
    <row r="8281" spans="6:7" x14ac:dyDescent="0.25">
      <c r="F8281">
        <v>8278</v>
      </c>
      <c r="G8281">
        <f ca="1">_xlfn.NORM.INV(RAND(),$M$7,$M$8)</f>
        <v>3.9039816516189931E-3</v>
      </c>
    </row>
    <row r="8282" spans="6:7" x14ac:dyDescent="0.25">
      <c r="F8282">
        <v>8279</v>
      </c>
      <c r="G8282">
        <f ca="1">_xlfn.NORM.INV(RAND(),$M$7,$M$8)</f>
        <v>-3.9222840319376034E-2</v>
      </c>
    </row>
    <row r="8283" spans="6:7" x14ac:dyDescent="0.25">
      <c r="F8283">
        <v>8280</v>
      </c>
      <c r="G8283">
        <f ca="1">_xlfn.NORM.INV(RAND(),$M$7,$M$8)</f>
        <v>2.4725320268394672E-3</v>
      </c>
    </row>
    <row r="8284" spans="6:7" x14ac:dyDescent="0.25">
      <c r="F8284">
        <v>8281</v>
      </c>
      <c r="G8284">
        <f ca="1">_xlfn.NORM.INV(RAND(),$M$7,$M$8)</f>
        <v>-6.0339870606619231E-2</v>
      </c>
    </row>
    <row r="8285" spans="6:7" x14ac:dyDescent="0.25">
      <c r="F8285">
        <v>8282</v>
      </c>
      <c r="G8285">
        <f ca="1">_xlfn.NORM.INV(RAND(),$M$7,$M$8)</f>
        <v>7.6879461836921181E-3</v>
      </c>
    </row>
    <row r="8286" spans="6:7" x14ac:dyDescent="0.25">
      <c r="F8286">
        <v>8283</v>
      </c>
      <c r="G8286">
        <f ca="1">_xlfn.NORM.INV(RAND(),$M$7,$M$8)</f>
        <v>-5.8292443127858036E-2</v>
      </c>
    </row>
    <row r="8287" spans="6:7" x14ac:dyDescent="0.25">
      <c r="F8287">
        <v>8284</v>
      </c>
      <c r="G8287">
        <f ca="1">_xlfn.NORM.INV(RAND(),$M$7,$M$8)</f>
        <v>-3.2828773694946439E-2</v>
      </c>
    </row>
    <row r="8288" spans="6:7" x14ac:dyDescent="0.25">
      <c r="F8288">
        <v>8285</v>
      </c>
      <c r="G8288">
        <f ca="1">_xlfn.NORM.INV(RAND(),$M$7,$M$8)</f>
        <v>3.6230382354808563E-2</v>
      </c>
    </row>
    <row r="8289" spans="6:7" x14ac:dyDescent="0.25">
      <c r="F8289">
        <v>8286</v>
      </c>
      <c r="G8289">
        <f ca="1">_xlfn.NORM.INV(RAND(),$M$7,$M$8)</f>
        <v>8.8598401849299593E-3</v>
      </c>
    </row>
    <row r="8290" spans="6:7" x14ac:dyDescent="0.25">
      <c r="F8290">
        <v>8287</v>
      </c>
      <c r="G8290">
        <f ca="1">_xlfn.NORM.INV(RAND(),$M$7,$M$8)</f>
        <v>1.5629823588326437E-2</v>
      </c>
    </row>
    <row r="8291" spans="6:7" x14ac:dyDescent="0.25">
      <c r="F8291">
        <v>8288</v>
      </c>
      <c r="G8291">
        <f ca="1">_xlfn.NORM.INV(RAND(),$M$7,$M$8)</f>
        <v>-5.0210233295051726E-3</v>
      </c>
    </row>
    <row r="8292" spans="6:7" x14ac:dyDescent="0.25">
      <c r="F8292">
        <v>8289</v>
      </c>
      <c r="G8292">
        <f ca="1">_xlfn.NORM.INV(RAND(),$M$7,$M$8)</f>
        <v>-3.653493626341299E-2</v>
      </c>
    </row>
    <row r="8293" spans="6:7" x14ac:dyDescent="0.25">
      <c r="F8293">
        <v>8290</v>
      </c>
      <c r="G8293">
        <f ca="1">_xlfn.NORM.INV(RAND(),$M$7,$M$8)</f>
        <v>2.0044519434958948E-2</v>
      </c>
    </row>
    <row r="8294" spans="6:7" x14ac:dyDescent="0.25">
      <c r="F8294">
        <v>8291</v>
      </c>
      <c r="G8294">
        <f ca="1">_xlfn.NORM.INV(RAND(),$M$7,$M$8)</f>
        <v>3.1836820998517652E-2</v>
      </c>
    </row>
    <row r="8295" spans="6:7" x14ac:dyDescent="0.25">
      <c r="F8295">
        <v>8292</v>
      </c>
      <c r="G8295">
        <f ca="1">_xlfn.NORM.INV(RAND(),$M$7,$M$8)</f>
        <v>-1.5822862502681296E-2</v>
      </c>
    </row>
    <row r="8296" spans="6:7" x14ac:dyDescent="0.25">
      <c r="F8296">
        <v>8293</v>
      </c>
      <c r="G8296">
        <f ca="1">_xlfn.NORM.INV(RAND(),$M$7,$M$8)</f>
        <v>1.1517736225224062E-2</v>
      </c>
    </row>
    <row r="8297" spans="6:7" x14ac:dyDescent="0.25">
      <c r="F8297">
        <v>8294</v>
      </c>
      <c r="G8297">
        <f ca="1">_xlfn.NORM.INV(RAND(),$M$7,$M$8)</f>
        <v>-2.772306525241237E-2</v>
      </c>
    </row>
    <row r="8298" spans="6:7" x14ac:dyDescent="0.25">
      <c r="F8298">
        <v>8295</v>
      </c>
      <c r="G8298">
        <f ca="1">_xlfn.NORM.INV(RAND(),$M$7,$M$8)</f>
        <v>1.5964875926327973E-2</v>
      </c>
    </row>
    <row r="8299" spans="6:7" x14ac:dyDescent="0.25">
      <c r="F8299">
        <v>8296</v>
      </c>
      <c r="G8299">
        <f ca="1">_xlfn.NORM.INV(RAND(),$M$7,$M$8)</f>
        <v>-4.9242298927760931E-3</v>
      </c>
    </row>
    <row r="8300" spans="6:7" x14ac:dyDescent="0.25">
      <c r="F8300">
        <v>8297</v>
      </c>
      <c r="G8300">
        <f ca="1">_xlfn.NORM.INV(RAND(),$M$7,$M$8)</f>
        <v>-1.4868714537355165E-2</v>
      </c>
    </row>
    <row r="8301" spans="6:7" x14ac:dyDescent="0.25">
      <c r="F8301">
        <v>8298</v>
      </c>
      <c r="G8301">
        <f ca="1">_xlfn.NORM.INV(RAND(),$M$7,$M$8)</f>
        <v>-2.8403071855866605E-2</v>
      </c>
    </row>
    <row r="8302" spans="6:7" x14ac:dyDescent="0.25">
      <c r="F8302">
        <v>8299</v>
      </c>
      <c r="G8302">
        <f ca="1">_xlfn.NORM.INV(RAND(),$M$7,$M$8)</f>
        <v>-2.9584627009055037E-2</v>
      </c>
    </row>
    <row r="8303" spans="6:7" x14ac:dyDescent="0.25">
      <c r="F8303">
        <v>8300</v>
      </c>
      <c r="G8303">
        <f ca="1">_xlfn.NORM.INV(RAND(),$M$7,$M$8)</f>
        <v>1.8123346503817743E-2</v>
      </c>
    </row>
    <row r="8304" spans="6:7" x14ac:dyDescent="0.25">
      <c r="F8304">
        <v>8301</v>
      </c>
      <c r="G8304">
        <f ca="1">_xlfn.NORM.INV(RAND(),$M$7,$M$8)</f>
        <v>-6.6588555291727455E-2</v>
      </c>
    </row>
    <row r="8305" spans="6:7" x14ac:dyDescent="0.25">
      <c r="F8305">
        <v>8302</v>
      </c>
      <c r="G8305">
        <f ca="1">_xlfn.NORM.INV(RAND(),$M$7,$M$8)</f>
        <v>1.7124154853713713E-3</v>
      </c>
    </row>
    <row r="8306" spans="6:7" x14ac:dyDescent="0.25">
      <c r="F8306">
        <v>8303</v>
      </c>
      <c r="G8306">
        <f ca="1">_xlfn.NORM.INV(RAND(),$M$7,$M$8)</f>
        <v>-4.038994213228347E-3</v>
      </c>
    </row>
    <row r="8307" spans="6:7" x14ac:dyDescent="0.25">
      <c r="F8307">
        <v>8304</v>
      </c>
      <c r="G8307">
        <f ca="1">_xlfn.NORM.INV(RAND(),$M$7,$M$8)</f>
        <v>-1.6297639133405581E-2</v>
      </c>
    </row>
    <row r="8308" spans="6:7" x14ac:dyDescent="0.25">
      <c r="F8308">
        <v>8305</v>
      </c>
      <c r="G8308">
        <f ca="1">_xlfn.NORM.INV(RAND(),$M$7,$M$8)</f>
        <v>-4.7246383434005751E-3</v>
      </c>
    </row>
    <row r="8309" spans="6:7" x14ac:dyDescent="0.25">
      <c r="F8309">
        <v>8306</v>
      </c>
      <c r="G8309">
        <f ca="1">_xlfn.NORM.INV(RAND(),$M$7,$M$8)</f>
        <v>3.3593156359600737E-2</v>
      </c>
    </row>
    <row r="8310" spans="6:7" x14ac:dyDescent="0.25">
      <c r="F8310">
        <v>8307</v>
      </c>
      <c r="G8310">
        <f ca="1">_xlfn.NORM.INV(RAND(),$M$7,$M$8)</f>
        <v>3.3364903301590906E-2</v>
      </c>
    </row>
    <row r="8311" spans="6:7" x14ac:dyDescent="0.25">
      <c r="F8311">
        <v>8308</v>
      </c>
      <c r="G8311">
        <f ca="1">_xlfn.NORM.INV(RAND(),$M$7,$M$8)</f>
        <v>-1.3382989389473287E-2</v>
      </c>
    </row>
    <row r="8312" spans="6:7" x14ac:dyDescent="0.25">
      <c r="F8312">
        <v>8309</v>
      </c>
      <c r="G8312">
        <f ca="1">_xlfn.NORM.INV(RAND(),$M$7,$M$8)</f>
        <v>-1.6912290171383709E-2</v>
      </c>
    </row>
    <row r="8313" spans="6:7" x14ac:dyDescent="0.25">
      <c r="F8313">
        <v>8310</v>
      </c>
      <c r="G8313">
        <f ca="1">_xlfn.NORM.INV(RAND(),$M$7,$M$8)</f>
        <v>1.8468166166809026E-2</v>
      </c>
    </row>
    <row r="8314" spans="6:7" x14ac:dyDescent="0.25">
      <c r="F8314">
        <v>8311</v>
      </c>
      <c r="G8314">
        <f ca="1">_xlfn.NORM.INV(RAND(),$M$7,$M$8)</f>
        <v>1.6680859826312792E-2</v>
      </c>
    </row>
    <row r="8315" spans="6:7" x14ac:dyDescent="0.25">
      <c r="F8315">
        <v>8312</v>
      </c>
      <c r="G8315">
        <f ca="1">_xlfn.NORM.INV(RAND(),$M$7,$M$8)</f>
        <v>-8.0214347435370488E-3</v>
      </c>
    </row>
    <row r="8316" spans="6:7" x14ac:dyDescent="0.25">
      <c r="F8316">
        <v>8313</v>
      </c>
      <c r="G8316">
        <f ca="1">_xlfn.NORM.INV(RAND(),$M$7,$M$8)</f>
        <v>1.339953299625456E-2</v>
      </c>
    </row>
    <row r="8317" spans="6:7" x14ac:dyDescent="0.25">
      <c r="F8317">
        <v>8314</v>
      </c>
      <c r="G8317">
        <f ca="1">_xlfn.NORM.INV(RAND(),$M$7,$M$8)</f>
        <v>-3.0943599681524906E-3</v>
      </c>
    </row>
    <row r="8318" spans="6:7" x14ac:dyDescent="0.25">
      <c r="F8318">
        <v>8315</v>
      </c>
      <c r="G8318">
        <f ca="1">_xlfn.NORM.INV(RAND(),$M$7,$M$8)</f>
        <v>-1.8124851011381733E-2</v>
      </c>
    </row>
    <row r="8319" spans="6:7" x14ac:dyDescent="0.25">
      <c r="F8319">
        <v>8316</v>
      </c>
      <c r="G8319">
        <f ca="1">_xlfn.NORM.INV(RAND(),$M$7,$M$8)</f>
        <v>-2.7917594645065914E-2</v>
      </c>
    </row>
    <row r="8320" spans="6:7" x14ac:dyDescent="0.25">
      <c r="F8320">
        <v>8317</v>
      </c>
      <c r="G8320">
        <f ca="1">_xlfn.NORM.INV(RAND(),$M$7,$M$8)</f>
        <v>-7.2615849431274335E-3</v>
      </c>
    </row>
    <row r="8321" spans="6:7" x14ac:dyDescent="0.25">
      <c r="F8321">
        <v>8318</v>
      </c>
      <c r="G8321">
        <f ca="1">_xlfn.NORM.INV(RAND(),$M$7,$M$8)</f>
        <v>4.516341505287412E-2</v>
      </c>
    </row>
    <row r="8322" spans="6:7" x14ac:dyDescent="0.25">
      <c r="F8322">
        <v>8319</v>
      </c>
      <c r="G8322">
        <f ca="1">_xlfn.NORM.INV(RAND(),$M$7,$M$8)</f>
        <v>-2.8825282627284281E-2</v>
      </c>
    </row>
    <row r="8323" spans="6:7" x14ac:dyDescent="0.25">
      <c r="F8323">
        <v>8320</v>
      </c>
      <c r="G8323">
        <f ca="1">_xlfn.NORM.INV(RAND(),$M$7,$M$8)</f>
        <v>7.2883366801435173E-3</v>
      </c>
    </row>
    <row r="8324" spans="6:7" x14ac:dyDescent="0.25">
      <c r="F8324">
        <v>8321</v>
      </c>
      <c r="G8324">
        <f ca="1">_xlfn.NORM.INV(RAND(),$M$7,$M$8)</f>
        <v>2.8400137348333826E-2</v>
      </c>
    </row>
    <row r="8325" spans="6:7" x14ac:dyDescent="0.25">
      <c r="F8325">
        <v>8322</v>
      </c>
      <c r="G8325">
        <f ca="1">_xlfn.NORM.INV(RAND(),$M$7,$M$8)</f>
        <v>-2.1153562993975125E-2</v>
      </c>
    </row>
    <row r="8326" spans="6:7" x14ac:dyDescent="0.25">
      <c r="F8326">
        <v>8323</v>
      </c>
      <c r="G8326">
        <f ca="1">_xlfn.NORM.INV(RAND(),$M$7,$M$8)</f>
        <v>-4.9205890799109232E-2</v>
      </c>
    </row>
    <row r="8327" spans="6:7" x14ac:dyDescent="0.25">
      <c r="F8327">
        <v>8324</v>
      </c>
      <c r="G8327">
        <f ca="1">_xlfn.NORM.INV(RAND(),$M$7,$M$8)</f>
        <v>3.0671926374880145E-5</v>
      </c>
    </row>
    <row r="8328" spans="6:7" x14ac:dyDescent="0.25">
      <c r="F8328">
        <v>8325</v>
      </c>
      <c r="G8328">
        <f ca="1">_xlfn.NORM.INV(RAND(),$M$7,$M$8)</f>
        <v>4.5110432426637141E-2</v>
      </c>
    </row>
    <row r="8329" spans="6:7" x14ac:dyDescent="0.25">
      <c r="F8329">
        <v>8326</v>
      </c>
      <c r="G8329">
        <f ca="1">_xlfn.NORM.INV(RAND(),$M$7,$M$8)</f>
        <v>-4.6077099809453022E-3</v>
      </c>
    </row>
    <row r="8330" spans="6:7" x14ac:dyDescent="0.25">
      <c r="F8330">
        <v>8327</v>
      </c>
      <c r="G8330">
        <f ca="1">_xlfn.NORM.INV(RAND(),$M$7,$M$8)</f>
        <v>-1.9882762278578413E-3</v>
      </c>
    </row>
    <row r="8331" spans="6:7" x14ac:dyDescent="0.25">
      <c r="F8331">
        <v>8328</v>
      </c>
      <c r="G8331">
        <f ca="1">_xlfn.NORM.INV(RAND(),$M$7,$M$8)</f>
        <v>2.7008182776051461E-2</v>
      </c>
    </row>
    <row r="8332" spans="6:7" x14ac:dyDescent="0.25">
      <c r="F8332">
        <v>8329</v>
      </c>
      <c r="G8332">
        <f ca="1">_xlfn.NORM.INV(RAND(),$M$7,$M$8)</f>
        <v>-5.1365737366924832E-2</v>
      </c>
    </row>
    <row r="8333" spans="6:7" x14ac:dyDescent="0.25">
      <c r="F8333">
        <v>8330</v>
      </c>
      <c r="G8333">
        <f ca="1">_xlfn.NORM.INV(RAND(),$M$7,$M$8)</f>
        <v>2.1083154439587401E-2</v>
      </c>
    </row>
    <row r="8334" spans="6:7" x14ac:dyDescent="0.25">
      <c r="F8334">
        <v>8331</v>
      </c>
      <c r="G8334">
        <f ca="1">_xlfn.NORM.INV(RAND(),$M$7,$M$8)</f>
        <v>-2.0678897440517235E-2</v>
      </c>
    </row>
    <row r="8335" spans="6:7" x14ac:dyDescent="0.25">
      <c r="F8335">
        <v>8332</v>
      </c>
      <c r="G8335">
        <f ca="1">_xlfn.NORM.INV(RAND(),$M$7,$M$8)</f>
        <v>-2.3762756099594347E-3</v>
      </c>
    </row>
    <row r="8336" spans="6:7" x14ac:dyDescent="0.25">
      <c r="F8336">
        <v>8333</v>
      </c>
      <c r="G8336">
        <f ca="1">_xlfn.NORM.INV(RAND(),$M$7,$M$8)</f>
        <v>-1.3365506617779533E-3</v>
      </c>
    </row>
    <row r="8337" spans="6:7" x14ac:dyDescent="0.25">
      <c r="F8337">
        <v>8334</v>
      </c>
      <c r="G8337">
        <f ca="1">_xlfn.NORM.INV(RAND(),$M$7,$M$8)</f>
        <v>-3.6521732662750814E-2</v>
      </c>
    </row>
    <row r="8338" spans="6:7" x14ac:dyDescent="0.25">
      <c r="F8338">
        <v>8335</v>
      </c>
      <c r="G8338">
        <f ca="1">_xlfn.NORM.INV(RAND(),$M$7,$M$8)</f>
        <v>5.2058660851685666E-3</v>
      </c>
    </row>
    <row r="8339" spans="6:7" x14ac:dyDescent="0.25">
      <c r="F8339">
        <v>8336</v>
      </c>
      <c r="G8339">
        <f ca="1">_xlfn.NORM.INV(RAND(),$M$7,$M$8)</f>
        <v>7.803978170622115E-3</v>
      </c>
    </row>
    <row r="8340" spans="6:7" x14ac:dyDescent="0.25">
      <c r="F8340">
        <v>8337</v>
      </c>
      <c r="G8340">
        <f ca="1">_xlfn.NORM.INV(RAND(),$M$7,$M$8)</f>
        <v>2.2428380486964439E-2</v>
      </c>
    </row>
    <row r="8341" spans="6:7" x14ac:dyDescent="0.25">
      <c r="F8341">
        <v>8338</v>
      </c>
      <c r="G8341">
        <f ca="1">_xlfn.NORM.INV(RAND(),$M$7,$M$8)</f>
        <v>6.8459397190488939E-3</v>
      </c>
    </row>
    <row r="8342" spans="6:7" x14ac:dyDescent="0.25">
      <c r="F8342">
        <v>8339</v>
      </c>
      <c r="G8342">
        <f ca="1">_xlfn.NORM.INV(RAND(),$M$7,$M$8)</f>
        <v>-4.3932390495703487E-2</v>
      </c>
    </row>
    <row r="8343" spans="6:7" x14ac:dyDescent="0.25">
      <c r="F8343">
        <v>8340</v>
      </c>
      <c r="G8343">
        <f ca="1">_xlfn.NORM.INV(RAND(),$M$7,$M$8)</f>
        <v>-1.8650226057963088E-2</v>
      </c>
    </row>
    <row r="8344" spans="6:7" x14ac:dyDescent="0.25">
      <c r="F8344">
        <v>8341</v>
      </c>
      <c r="G8344">
        <f ca="1">_xlfn.NORM.INV(RAND(),$M$7,$M$8)</f>
        <v>8.8438288550141721E-3</v>
      </c>
    </row>
    <row r="8345" spans="6:7" x14ac:dyDescent="0.25">
      <c r="F8345">
        <v>8342</v>
      </c>
      <c r="G8345">
        <f ca="1">_xlfn.NORM.INV(RAND(),$M$7,$M$8)</f>
        <v>2.097265406209972E-3</v>
      </c>
    </row>
    <row r="8346" spans="6:7" x14ac:dyDescent="0.25">
      <c r="F8346">
        <v>8343</v>
      </c>
      <c r="G8346">
        <f ca="1">_xlfn.NORM.INV(RAND(),$M$7,$M$8)</f>
        <v>-1.0904775039810447E-4</v>
      </c>
    </row>
    <row r="8347" spans="6:7" x14ac:dyDescent="0.25">
      <c r="F8347">
        <v>8344</v>
      </c>
      <c r="G8347">
        <f ca="1">_xlfn.NORM.INV(RAND(),$M$7,$M$8)</f>
        <v>-2.4435126903190926E-2</v>
      </c>
    </row>
    <row r="8348" spans="6:7" x14ac:dyDescent="0.25">
      <c r="F8348">
        <v>8345</v>
      </c>
      <c r="G8348">
        <f ca="1">_xlfn.NORM.INV(RAND(),$M$7,$M$8)</f>
        <v>1.9831502512461959E-2</v>
      </c>
    </row>
    <row r="8349" spans="6:7" x14ac:dyDescent="0.25">
      <c r="F8349">
        <v>8346</v>
      </c>
      <c r="G8349">
        <f ca="1">_xlfn.NORM.INV(RAND(),$M$7,$M$8)</f>
        <v>4.5122331694418677E-2</v>
      </c>
    </row>
    <row r="8350" spans="6:7" x14ac:dyDescent="0.25">
      <c r="F8350">
        <v>8347</v>
      </c>
      <c r="G8350">
        <f ca="1">_xlfn.NORM.INV(RAND(),$M$7,$M$8)</f>
        <v>-2.5301914599569344E-2</v>
      </c>
    </row>
    <row r="8351" spans="6:7" x14ac:dyDescent="0.25">
      <c r="F8351">
        <v>8348</v>
      </c>
      <c r="G8351">
        <f ca="1">_xlfn.NORM.INV(RAND(),$M$7,$M$8)</f>
        <v>-3.364099296677654E-3</v>
      </c>
    </row>
    <row r="8352" spans="6:7" x14ac:dyDescent="0.25">
      <c r="F8352">
        <v>8349</v>
      </c>
      <c r="G8352">
        <f ca="1">_xlfn.NORM.INV(RAND(),$M$7,$M$8)</f>
        <v>-1.4725278600185602E-2</v>
      </c>
    </row>
    <row r="8353" spans="6:7" x14ac:dyDescent="0.25">
      <c r="F8353">
        <v>8350</v>
      </c>
      <c r="G8353">
        <f ca="1">_xlfn.NORM.INV(RAND(),$M$7,$M$8)</f>
        <v>-2.8034613704909159E-2</v>
      </c>
    </row>
    <row r="8354" spans="6:7" x14ac:dyDescent="0.25">
      <c r="F8354">
        <v>8351</v>
      </c>
      <c r="G8354">
        <f ca="1">_xlfn.NORM.INV(RAND(),$M$7,$M$8)</f>
        <v>6.8306337749448973E-3</v>
      </c>
    </row>
    <row r="8355" spans="6:7" x14ac:dyDescent="0.25">
      <c r="F8355">
        <v>8352</v>
      </c>
      <c r="G8355">
        <f ca="1">_xlfn.NORM.INV(RAND(),$M$7,$M$8)</f>
        <v>2.2159911681644785E-3</v>
      </c>
    </row>
    <row r="8356" spans="6:7" x14ac:dyDescent="0.25">
      <c r="F8356">
        <v>8353</v>
      </c>
      <c r="G8356">
        <f ca="1">_xlfn.NORM.INV(RAND(),$M$7,$M$8)</f>
        <v>1.3342756049660388E-2</v>
      </c>
    </row>
    <row r="8357" spans="6:7" x14ac:dyDescent="0.25">
      <c r="F8357">
        <v>8354</v>
      </c>
      <c r="G8357">
        <f ca="1">_xlfn.NORM.INV(RAND(),$M$7,$M$8)</f>
        <v>5.7378789459089148E-2</v>
      </c>
    </row>
    <row r="8358" spans="6:7" x14ac:dyDescent="0.25">
      <c r="F8358">
        <v>8355</v>
      </c>
      <c r="G8358">
        <f ca="1">_xlfn.NORM.INV(RAND(),$M$7,$M$8)</f>
        <v>6.1533424295889139E-3</v>
      </c>
    </row>
    <row r="8359" spans="6:7" x14ac:dyDescent="0.25">
      <c r="F8359">
        <v>8356</v>
      </c>
      <c r="G8359">
        <f ca="1">_xlfn.NORM.INV(RAND(),$M$7,$M$8)</f>
        <v>-5.0586682102878436E-2</v>
      </c>
    </row>
    <row r="8360" spans="6:7" x14ac:dyDescent="0.25">
      <c r="F8360">
        <v>8357</v>
      </c>
      <c r="G8360">
        <f ca="1">_xlfn.NORM.INV(RAND(),$M$7,$M$8)</f>
        <v>1.3104235976606844E-3</v>
      </c>
    </row>
    <row r="8361" spans="6:7" x14ac:dyDescent="0.25">
      <c r="F8361">
        <v>8358</v>
      </c>
      <c r="G8361">
        <f ca="1">_xlfn.NORM.INV(RAND(),$M$7,$M$8)</f>
        <v>-3.9719956055255211E-3</v>
      </c>
    </row>
    <row r="8362" spans="6:7" x14ac:dyDescent="0.25">
      <c r="F8362">
        <v>8359</v>
      </c>
      <c r="G8362">
        <f ca="1">_xlfn.NORM.INV(RAND(),$M$7,$M$8)</f>
        <v>3.5514117541862607E-3</v>
      </c>
    </row>
    <row r="8363" spans="6:7" x14ac:dyDescent="0.25">
      <c r="F8363">
        <v>8360</v>
      </c>
      <c r="G8363">
        <f ca="1">_xlfn.NORM.INV(RAND(),$M$7,$M$8)</f>
        <v>3.0387208868641817E-2</v>
      </c>
    </row>
    <row r="8364" spans="6:7" x14ac:dyDescent="0.25">
      <c r="F8364">
        <v>8361</v>
      </c>
      <c r="G8364">
        <f ca="1">_xlfn.NORM.INV(RAND(),$M$7,$M$8)</f>
        <v>-2.5298763868006197E-3</v>
      </c>
    </row>
    <row r="8365" spans="6:7" x14ac:dyDescent="0.25">
      <c r="F8365">
        <v>8362</v>
      </c>
      <c r="G8365">
        <f ca="1">_xlfn.NORM.INV(RAND(),$M$7,$M$8)</f>
        <v>-5.9330383166447336E-2</v>
      </c>
    </row>
    <row r="8366" spans="6:7" x14ac:dyDescent="0.25">
      <c r="F8366">
        <v>8363</v>
      </c>
      <c r="G8366">
        <f ca="1">_xlfn.NORM.INV(RAND(),$M$7,$M$8)</f>
        <v>2.5677359810999303E-2</v>
      </c>
    </row>
    <row r="8367" spans="6:7" x14ac:dyDescent="0.25">
      <c r="F8367">
        <v>8364</v>
      </c>
      <c r="G8367">
        <f ca="1">_xlfn.NORM.INV(RAND(),$M$7,$M$8)</f>
        <v>-1.0850009688995811E-2</v>
      </c>
    </row>
    <row r="8368" spans="6:7" x14ac:dyDescent="0.25">
      <c r="F8368">
        <v>8365</v>
      </c>
      <c r="G8368">
        <f ca="1">_xlfn.NORM.INV(RAND(),$M$7,$M$8)</f>
        <v>1.03765970283039E-2</v>
      </c>
    </row>
    <row r="8369" spans="6:7" x14ac:dyDescent="0.25">
      <c r="F8369">
        <v>8366</v>
      </c>
      <c r="G8369">
        <f ca="1">_xlfn.NORM.INV(RAND(),$M$7,$M$8)</f>
        <v>3.105910653464156E-2</v>
      </c>
    </row>
    <row r="8370" spans="6:7" x14ac:dyDescent="0.25">
      <c r="F8370">
        <v>8367</v>
      </c>
      <c r="G8370">
        <f ca="1">_xlfn.NORM.INV(RAND(),$M$7,$M$8)</f>
        <v>1.9554233387951384E-2</v>
      </c>
    </row>
    <row r="8371" spans="6:7" x14ac:dyDescent="0.25">
      <c r="F8371">
        <v>8368</v>
      </c>
      <c r="G8371">
        <f ca="1">_xlfn.NORM.INV(RAND(),$M$7,$M$8)</f>
        <v>3.481314648538518E-2</v>
      </c>
    </row>
    <row r="8372" spans="6:7" x14ac:dyDescent="0.25">
      <c r="F8372">
        <v>8369</v>
      </c>
      <c r="G8372">
        <f ca="1">_xlfn.NORM.INV(RAND(),$M$7,$M$8)</f>
        <v>-2.2968404861546853E-2</v>
      </c>
    </row>
    <row r="8373" spans="6:7" x14ac:dyDescent="0.25">
      <c r="F8373">
        <v>8370</v>
      </c>
      <c r="G8373">
        <f ca="1">_xlfn.NORM.INV(RAND(),$M$7,$M$8)</f>
        <v>5.1775224314920074E-3</v>
      </c>
    </row>
    <row r="8374" spans="6:7" x14ac:dyDescent="0.25">
      <c r="F8374">
        <v>8371</v>
      </c>
      <c r="G8374">
        <f ca="1">_xlfn.NORM.INV(RAND(),$M$7,$M$8)</f>
        <v>-2.5048751223426324E-2</v>
      </c>
    </row>
    <row r="8375" spans="6:7" x14ac:dyDescent="0.25">
      <c r="F8375">
        <v>8372</v>
      </c>
      <c r="G8375">
        <f ca="1">_xlfn.NORM.INV(RAND(),$M$7,$M$8)</f>
        <v>2.9204475780426277E-3</v>
      </c>
    </row>
    <row r="8376" spans="6:7" x14ac:dyDescent="0.25">
      <c r="F8376">
        <v>8373</v>
      </c>
      <c r="G8376">
        <f ca="1">_xlfn.NORM.INV(RAND(),$M$7,$M$8)</f>
        <v>-2.0063072590200157E-2</v>
      </c>
    </row>
    <row r="8377" spans="6:7" x14ac:dyDescent="0.25">
      <c r="F8377">
        <v>8374</v>
      </c>
      <c r="G8377">
        <f ca="1">_xlfn.NORM.INV(RAND(),$M$7,$M$8)</f>
        <v>5.9638663146738356E-3</v>
      </c>
    </row>
    <row r="8378" spans="6:7" x14ac:dyDescent="0.25">
      <c r="F8378">
        <v>8375</v>
      </c>
      <c r="G8378">
        <f ca="1">_xlfn.NORM.INV(RAND(),$M$7,$M$8)</f>
        <v>-1.4083804483484752E-2</v>
      </c>
    </row>
    <row r="8379" spans="6:7" x14ac:dyDescent="0.25">
      <c r="F8379">
        <v>8376</v>
      </c>
      <c r="G8379">
        <f ca="1">_xlfn.NORM.INV(RAND(),$M$7,$M$8)</f>
        <v>3.4545229214240351E-2</v>
      </c>
    </row>
    <row r="8380" spans="6:7" x14ac:dyDescent="0.25">
      <c r="F8380">
        <v>8377</v>
      </c>
      <c r="G8380">
        <f ca="1">_xlfn.NORM.INV(RAND(),$M$7,$M$8)</f>
        <v>-9.7244785385531256E-3</v>
      </c>
    </row>
    <row r="8381" spans="6:7" x14ac:dyDescent="0.25">
      <c r="F8381">
        <v>8378</v>
      </c>
      <c r="G8381">
        <f ca="1">_xlfn.NORM.INV(RAND(),$M$7,$M$8)</f>
        <v>1.0783385260024108E-2</v>
      </c>
    </row>
    <row r="8382" spans="6:7" x14ac:dyDescent="0.25">
      <c r="F8382">
        <v>8379</v>
      </c>
      <c r="G8382">
        <f ca="1">_xlfn.NORM.INV(RAND(),$M$7,$M$8)</f>
        <v>2.9702778014252952E-2</v>
      </c>
    </row>
    <row r="8383" spans="6:7" x14ac:dyDescent="0.25">
      <c r="F8383">
        <v>8380</v>
      </c>
      <c r="G8383">
        <f ca="1">_xlfn.NORM.INV(RAND(),$M$7,$M$8)</f>
        <v>-1.9801539539659761E-2</v>
      </c>
    </row>
    <row r="8384" spans="6:7" x14ac:dyDescent="0.25">
      <c r="F8384">
        <v>8381</v>
      </c>
      <c r="G8384">
        <f ca="1">_xlfn.NORM.INV(RAND(),$M$7,$M$8)</f>
        <v>2.2591346745994348E-3</v>
      </c>
    </row>
    <row r="8385" spans="6:7" x14ac:dyDescent="0.25">
      <c r="F8385">
        <v>8382</v>
      </c>
      <c r="G8385">
        <f ca="1">_xlfn.NORM.INV(RAND(),$M$7,$M$8)</f>
        <v>4.6989864156137838E-2</v>
      </c>
    </row>
    <row r="8386" spans="6:7" x14ac:dyDescent="0.25">
      <c r="F8386">
        <v>8383</v>
      </c>
      <c r="G8386">
        <f ca="1">_xlfn.NORM.INV(RAND(),$M$7,$M$8)</f>
        <v>1.443042554393349E-2</v>
      </c>
    </row>
    <row r="8387" spans="6:7" x14ac:dyDescent="0.25">
      <c r="F8387">
        <v>8384</v>
      </c>
      <c r="G8387">
        <f ca="1">_xlfn.NORM.INV(RAND(),$M$7,$M$8)</f>
        <v>-1.9151837842638207E-2</v>
      </c>
    </row>
    <row r="8388" spans="6:7" x14ac:dyDescent="0.25">
      <c r="F8388">
        <v>8385</v>
      </c>
      <c r="G8388">
        <f ca="1">_xlfn.NORM.INV(RAND(),$M$7,$M$8)</f>
        <v>2.8021906325904431E-3</v>
      </c>
    </row>
    <row r="8389" spans="6:7" x14ac:dyDescent="0.25">
      <c r="F8389">
        <v>8386</v>
      </c>
      <c r="G8389">
        <f ca="1">_xlfn.NORM.INV(RAND(),$M$7,$M$8)</f>
        <v>2.8830027088447088E-2</v>
      </c>
    </row>
    <row r="8390" spans="6:7" x14ac:dyDescent="0.25">
      <c r="F8390">
        <v>8387</v>
      </c>
      <c r="G8390">
        <f ca="1">_xlfn.NORM.INV(RAND(),$M$7,$M$8)</f>
        <v>1.4661238760760958E-2</v>
      </c>
    </row>
    <row r="8391" spans="6:7" x14ac:dyDescent="0.25">
      <c r="F8391">
        <v>8388</v>
      </c>
      <c r="G8391">
        <f ca="1">_xlfn.NORM.INV(RAND(),$M$7,$M$8)</f>
        <v>1.0247866474407072E-2</v>
      </c>
    </row>
    <row r="8392" spans="6:7" x14ac:dyDescent="0.25">
      <c r="F8392">
        <v>8389</v>
      </c>
      <c r="G8392">
        <f ca="1">_xlfn.NORM.INV(RAND(),$M$7,$M$8)</f>
        <v>5.0978056096069452E-3</v>
      </c>
    </row>
    <row r="8393" spans="6:7" x14ac:dyDescent="0.25">
      <c r="F8393">
        <v>8390</v>
      </c>
      <c r="G8393">
        <f ca="1">_xlfn.NORM.INV(RAND(),$M$7,$M$8)</f>
        <v>1.4289275091252161E-2</v>
      </c>
    </row>
    <row r="8394" spans="6:7" x14ac:dyDescent="0.25">
      <c r="F8394">
        <v>8391</v>
      </c>
      <c r="G8394">
        <f ca="1">_xlfn.NORM.INV(RAND(),$M$7,$M$8)</f>
        <v>-4.0570473865910103E-3</v>
      </c>
    </row>
    <row r="8395" spans="6:7" x14ac:dyDescent="0.25">
      <c r="F8395">
        <v>8392</v>
      </c>
      <c r="G8395">
        <f ca="1">_xlfn.NORM.INV(RAND(),$M$7,$M$8)</f>
        <v>2.6134064265189168E-2</v>
      </c>
    </row>
    <row r="8396" spans="6:7" x14ac:dyDescent="0.25">
      <c r="F8396">
        <v>8393</v>
      </c>
      <c r="G8396">
        <f ca="1">_xlfn.NORM.INV(RAND(),$M$7,$M$8)</f>
        <v>1.967061219148733E-2</v>
      </c>
    </row>
    <row r="8397" spans="6:7" x14ac:dyDescent="0.25">
      <c r="F8397">
        <v>8394</v>
      </c>
      <c r="G8397">
        <f ca="1">_xlfn.NORM.INV(RAND(),$M$7,$M$8)</f>
        <v>2.2684815422089402E-2</v>
      </c>
    </row>
    <row r="8398" spans="6:7" x14ac:dyDescent="0.25">
      <c r="F8398">
        <v>8395</v>
      </c>
      <c r="G8398">
        <f ca="1">_xlfn.NORM.INV(RAND(),$M$7,$M$8)</f>
        <v>2.0954565803414201E-2</v>
      </c>
    </row>
    <row r="8399" spans="6:7" x14ac:dyDescent="0.25">
      <c r="F8399">
        <v>8396</v>
      </c>
      <c r="G8399">
        <f ca="1">_xlfn.NORM.INV(RAND(),$M$7,$M$8)</f>
        <v>-3.1470543976851617E-2</v>
      </c>
    </row>
    <row r="8400" spans="6:7" x14ac:dyDescent="0.25">
      <c r="F8400">
        <v>8397</v>
      </c>
      <c r="G8400">
        <f ca="1">_xlfn.NORM.INV(RAND(),$M$7,$M$8)</f>
        <v>2.5476911611437929E-2</v>
      </c>
    </row>
    <row r="8401" spans="6:7" x14ac:dyDescent="0.25">
      <c r="F8401">
        <v>8398</v>
      </c>
      <c r="G8401">
        <f ca="1">_xlfn.NORM.INV(RAND(),$M$7,$M$8)</f>
        <v>1.5383208454211905E-2</v>
      </c>
    </row>
    <row r="8402" spans="6:7" x14ac:dyDescent="0.25">
      <c r="F8402">
        <v>8399</v>
      </c>
      <c r="G8402">
        <f ca="1">_xlfn.NORM.INV(RAND(),$M$7,$M$8)</f>
        <v>5.7275755210631067E-4</v>
      </c>
    </row>
    <row r="8403" spans="6:7" x14ac:dyDescent="0.25">
      <c r="F8403">
        <v>8400</v>
      </c>
      <c r="G8403">
        <f ca="1">_xlfn.NORM.INV(RAND(),$M$7,$M$8)</f>
        <v>-2.0513057127170487E-2</v>
      </c>
    </row>
    <row r="8404" spans="6:7" x14ac:dyDescent="0.25">
      <c r="F8404">
        <v>8401</v>
      </c>
      <c r="G8404">
        <f ca="1">_xlfn.NORM.INV(RAND(),$M$7,$M$8)</f>
        <v>8.4281205623340982E-4</v>
      </c>
    </row>
    <row r="8405" spans="6:7" x14ac:dyDescent="0.25">
      <c r="F8405">
        <v>8402</v>
      </c>
      <c r="G8405">
        <f ca="1">_xlfn.NORM.INV(RAND(),$M$7,$M$8)</f>
        <v>6.1486865128250204E-2</v>
      </c>
    </row>
    <row r="8406" spans="6:7" x14ac:dyDescent="0.25">
      <c r="F8406">
        <v>8403</v>
      </c>
      <c r="G8406">
        <f ca="1">_xlfn.NORM.INV(RAND(),$M$7,$M$8)</f>
        <v>-5.6526788755110798E-3</v>
      </c>
    </row>
    <row r="8407" spans="6:7" x14ac:dyDescent="0.25">
      <c r="F8407">
        <v>8404</v>
      </c>
      <c r="G8407">
        <f ca="1">_xlfn.NORM.INV(RAND(),$M$7,$M$8)</f>
        <v>-1.6202732938747692E-2</v>
      </c>
    </row>
    <row r="8408" spans="6:7" x14ac:dyDescent="0.25">
      <c r="F8408">
        <v>8405</v>
      </c>
      <c r="G8408">
        <f ca="1">_xlfn.NORM.INV(RAND(),$M$7,$M$8)</f>
        <v>1.378011173868918E-2</v>
      </c>
    </row>
    <row r="8409" spans="6:7" x14ac:dyDescent="0.25">
      <c r="F8409">
        <v>8406</v>
      </c>
      <c r="G8409">
        <f ca="1">_xlfn.NORM.INV(RAND(),$M$7,$M$8)</f>
        <v>-1.7889262050244128E-2</v>
      </c>
    </row>
    <row r="8410" spans="6:7" x14ac:dyDescent="0.25">
      <c r="F8410">
        <v>8407</v>
      </c>
      <c r="G8410">
        <f ca="1">_xlfn.NORM.INV(RAND(),$M$7,$M$8)</f>
        <v>-9.5766677400375595E-3</v>
      </c>
    </row>
    <row r="8411" spans="6:7" x14ac:dyDescent="0.25">
      <c r="F8411">
        <v>8408</v>
      </c>
      <c r="G8411">
        <f ca="1">_xlfn.NORM.INV(RAND(),$M$7,$M$8)</f>
        <v>-3.1414921234588424E-2</v>
      </c>
    </row>
    <row r="8412" spans="6:7" x14ac:dyDescent="0.25">
      <c r="F8412">
        <v>8409</v>
      </c>
      <c r="G8412">
        <f ca="1">_xlfn.NORM.INV(RAND(),$M$7,$M$8)</f>
        <v>1.2017495783749171E-2</v>
      </c>
    </row>
    <row r="8413" spans="6:7" x14ac:dyDescent="0.25">
      <c r="F8413">
        <v>8410</v>
      </c>
      <c r="G8413">
        <f ca="1">_xlfn.NORM.INV(RAND(),$M$7,$M$8)</f>
        <v>2.807618400288741E-2</v>
      </c>
    </row>
    <row r="8414" spans="6:7" x14ac:dyDescent="0.25">
      <c r="F8414">
        <v>8411</v>
      </c>
      <c r="G8414">
        <f ca="1">_xlfn.NORM.INV(RAND(),$M$7,$M$8)</f>
        <v>-1.7836644640675546E-2</v>
      </c>
    </row>
    <row r="8415" spans="6:7" x14ac:dyDescent="0.25">
      <c r="F8415">
        <v>8412</v>
      </c>
      <c r="G8415">
        <f ca="1">_xlfn.NORM.INV(RAND(),$M$7,$M$8)</f>
        <v>4.0158844433272056E-2</v>
      </c>
    </row>
    <row r="8416" spans="6:7" x14ac:dyDescent="0.25">
      <c r="F8416">
        <v>8413</v>
      </c>
      <c r="G8416">
        <f ca="1">_xlfn.NORM.INV(RAND(),$M$7,$M$8)</f>
        <v>2.0944220161086439E-2</v>
      </c>
    </row>
    <row r="8417" spans="6:7" x14ac:dyDescent="0.25">
      <c r="F8417">
        <v>8414</v>
      </c>
      <c r="G8417">
        <f ca="1">_xlfn.NORM.INV(RAND(),$M$7,$M$8)</f>
        <v>-1.1542506728636122E-4</v>
      </c>
    </row>
    <row r="8418" spans="6:7" x14ac:dyDescent="0.25">
      <c r="F8418">
        <v>8415</v>
      </c>
      <c r="G8418">
        <f ca="1">_xlfn.NORM.INV(RAND(),$M$7,$M$8)</f>
        <v>4.1820042249922675E-2</v>
      </c>
    </row>
    <row r="8419" spans="6:7" x14ac:dyDescent="0.25">
      <c r="F8419">
        <v>8416</v>
      </c>
      <c r="G8419">
        <f ca="1">_xlfn.NORM.INV(RAND(),$M$7,$M$8)</f>
        <v>-2.0696902123764067E-3</v>
      </c>
    </row>
    <row r="8420" spans="6:7" x14ac:dyDescent="0.25">
      <c r="F8420">
        <v>8417</v>
      </c>
      <c r="G8420">
        <f ca="1">_xlfn.NORM.INV(RAND(),$M$7,$M$8)</f>
        <v>2.3583950871546938E-2</v>
      </c>
    </row>
    <row r="8421" spans="6:7" x14ac:dyDescent="0.25">
      <c r="F8421">
        <v>8418</v>
      </c>
      <c r="G8421">
        <f ca="1">_xlfn.NORM.INV(RAND(),$M$7,$M$8)</f>
        <v>-2.3853770305812542E-2</v>
      </c>
    </row>
    <row r="8422" spans="6:7" x14ac:dyDescent="0.25">
      <c r="F8422">
        <v>8419</v>
      </c>
      <c r="G8422">
        <f ca="1">_xlfn.NORM.INV(RAND(),$M$7,$M$8)</f>
        <v>-4.778473677376301E-3</v>
      </c>
    </row>
    <row r="8423" spans="6:7" x14ac:dyDescent="0.25">
      <c r="F8423">
        <v>8420</v>
      </c>
      <c r="G8423">
        <f ca="1">_xlfn.NORM.INV(RAND(),$M$7,$M$8)</f>
        <v>2.7463795556167708E-2</v>
      </c>
    </row>
    <row r="8424" spans="6:7" x14ac:dyDescent="0.25">
      <c r="F8424">
        <v>8421</v>
      </c>
      <c r="G8424">
        <f ca="1">_xlfn.NORM.INV(RAND(),$M$7,$M$8)</f>
        <v>-1.9595364072566772E-3</v>
      </c>
    </row>
    <row r="8425" spans="6:7" x14ac:dyDescent="0.25">
      <c r="F8425">
        <v>8422</v>
      </c>
      <c r="G8425">
        <f ca="1">_xlfn.NORM.INV(RAND(),$M$7,$M$8)</f>
        <v>-4.9766921312474292E-3</v>
      </c>
    </row>
    <row r="8426" spans="6:7" x14ac:dyDescent="0.25">
      <c r="F8426">
        <v>8423</v>
      </c>
      <c r="G8426">
        <f ca="1">_xlfn.NORM.INV(RAND(),$M$7,$M$8)</f>
        <v>2.8851361705527427E-2</v>
      </c>
    </row>
    <row r="8427" spans="6:7" x14ac:dyDescent="0.25">
      <c r="F8427">
        <v>8424</v>
      </c>
      <c r="G8427">
        <f ca="1">_xlfn.NORM.INV(RAND(),$M$7,$M$8)</f>
        <v>1.0707652068995582E-2</v>
      </c>
    </row>
    <row r="8428" spans="6:7" x14ac:dyDescent="0.25">
      <c r="F8428">
        <v>8425</v>
      </c>
      <c r="G8428">
        <f ca="1">_xlfn.NORM.INV(RAND(),$M$7,$M$8)</f>
        <v>-5.189814496729811E-2</v>
      </c>
    </row>
    <row r="8429" spans="6:7" x14ac:dyDescent="0.25">
      <c r="F8429">
        <v>8426</v>
      </c>
      <c r="G8429">
        <f ca="1">_xlfn.NORM.INV(RAND(),$M$7,$M$8)</f>
        <v>4.8935932282578302E-2</v>
      </c>
    </row>
    <row r="8430" spans="6:7" x14ac:dyDescent="0.25">
      <c r="F8430">
        <v>8427</v>
      </c>
      <c r="G8430">
        <f ca="1">_xlfn.NORM.INV(RAND(),$M$7,$M$8)</f>
        <v>4.8765828308112557E-3</v>
      </c>
    </row>
    <row r="8431" spans="6:7" x14ac:dyDescent="0.25">
      <c r="F8431">
        <v>8428</v>
      </c>
      <c r="G8431">
        <f ca="1">_xlfn.NORM.INV(RAND(),$M$7,$M$8)</f>
        <v>-1.2478245287716272E-2</v>
      </c>
    </row>
    <row r="8432" spans="6:7" x14ac:dyDescent="0.25">
      <c r="F8432">
        <v>8429</v>
      </c>
      <c r="G8432">
        <f ca="1">_xlfn.NORM.INV(RAND(),$M$7,$M$8)</f>
        <v>-2.7666538515831743E-2</v>
      </c>
    </row>
    <row r="8433" spans="6:7" x14ac:dyDescent="0.25">
      <c r="F8433">
        <v>8430</v>
      </c>
      <c r="G8433">
        <f ca="1">_xlfn.NORM.INV(RAND(),$M$7,$M$8)</f>
        <v>4.2273519631610627E-2</v>
      </c>
    </row>
    <row r="8434" spans="6:7" x14ac:dyDescent="0.25">
      <c r="F8434">
        <v>8431</v>
      </c>
      <c r="G8434">
        <f ca="1">_xlfn.NORM.INV(RAND(),$M$7,$M$8)</f>
        <v>-2.1016275829769931E-2</v>
      </c>
    </row>
    <row r="8435" spans="6:7" x14ac:dyDescent="0.25">
      <c r="F8435">
        <v>8432</v>
      </c>
      <c r="G8435">
        <f ca="1">_xlfn.NORM.INV(RAND(),$M$7,$M$8)</f>
        <v>4.4081360366538761E-3</v>
      </c>
    </row>
    <row r="8436" spans="6:7" x14ac:dyDescent="0.25">
      <c r="F8436">
        <v>8433</v>
      </c>
      <c r="G8436">
        <f ca="1">_xlfn.NORM.INV(RAND(),$M$7,$M$8)</f>
        <v>-2.2386755898262993E-2</v>
      </c>
    </row>
    <row r="8437" spans="6:7" x14ac:dyDescent="0.25">
      <c r="F8437">
        <v>8434</v>
      </c>
      <c r="G8437">
        <f ca="1">_xlfn.NORM.INV(RAND(),$M$7,$M$8)</f>
        <v>-3.8256389726255995E-2</v>
      </c>
    </row>
    <row r="8438" spans="6:7" x14ac:dyDescent="0.25">
      <c r="F8438">
        <v>8435</v>
      </c>
      <c r="G8438">
        <f ca="1">_xlfn.NORM.INV(RAND(),$M$7,$M$8)</f>
        <v>1.9232771697995449E-2</v>
      </c>
    </row>
    <row r="8439" spans="6:7" x14ac:dyDescent="0.25">
      <c r="F8439">
        <v>8436</v>
      </c>
      <c r="G8439">
        <f ca="1">_xlfn.NORM.INV(RAND(),$M$7,$M$8)</f>
        <v>1.2926476941027987E-2</v>
      </c>
    </row>
    <row r="8440" spans="6:7" x14ac:dyDescent="0.25">
      <c r="F8440">
        <v>8437</v>
      </c>
      <c r="G8440">
        <f ca="1">_xlfn.NORM.INV(RAND(),$M$7,$M$8)</f>
        <v>1.3754182488078281E-2</v>
      </c>
    </row>
    <row r="8441" spans="6:7" x14ac:dyDescent="0.25">
      <c r="F8441">
        <v>8438</v>
      </c>
      <c r="G8441">
        <f ca="1">_xlfn.NORM.INV(RAND(),$M$7,$M$8)</f>
        <v>-5.659268545862961E-3</v>
      </c>
    </row>
    <row r="8442" spans="6:7" x14ac:dyDescent="0.25">
      <c r="F8442">
        <v>8439</v>
      </c>
      <c r="G8442">
        <f ca="1">_xlfn.NORM.INV(RAND(),$M$7,$M$8)</f>
        <v>1.075480232039148E-2</v>
      </c>
    </row>
    <row r="8443" spans="6:7" x14ac:dyDescent="0.25">
      <c r="F8443">
        <v>8440</v>
      </c>
      <c r="G8443">
        <f ca="1">_xlfn.NORM.INV(RAND(),$M$7,$M$8)</f>
        <v>-3.5335507545214966E-2</v>
      </c>
    </row>
    <row r="8444" spans="6:7" x14ac:dyDescent="0.25">
      <c r="F8444">
        <v>8441</v>
      </c>
      <c r="G8444">
        <f ca="1">_xlfn.NORM.INV(RAND(),$M$7,$M$8)</f>
        <v>2.5677965149807206E-3</v>
      </c>
    </row>
    <row r="8445" spans="6:7" x14ac:dyDescent="0.25">
      <c r="F8445">
        <v>8442</v>
      </c>
      <c r="G8445">
        <f ca="1">_xlfn.NORM.INV(RAND(),$M$7,$M$8)</f>
        <v>2.2323484773563915E-2</v>
      </c>
    </row>
    <row r="8446" spans="6:7" x14ac:dyDescent="0.25">
      <c r="F8446">
        <v>8443</v>
      </c>
      <c r="G8446">
        <f ca="1">_xlfn.NORM.INV(RAND(),$M$7,$M$8)</f>
        <v>-7.4585898176831901E-3</v>
      </c>
    </row>
    <row r="8447" spans="6:7" x14ac:dyDescent="0.25">
      <c r="F8447">
        <v>8444</v>
      </c>
      <c r="G8447">
        <f ca="1">_xlfn.NORM.INV(RAND(),$M$7,$M$8)</f>
        <v>-9.1750011523118952E-4</v>
      </c>
    </row>
    <row r="8448" spans="6:7" x14ac:dyDescent="0.25">
      <c r="F8448">
        <v>8445</v>
      </c>
      <c r="G8448">
        <f ca="1">_xlfn.NORM.INV(RAND(),$M$7,$M$8)</f>
        <v>3.6901317757136093E-2</v>
      </c>
    </row>
    <row r="8449" spans="6:7" x14ac:dyDescent="0.25">
      <c r="F8449">
        <v>8446</v>
      </c>
      <c r="G8449">
        <f ca="1">_xlfn.NORM.INV(RAND(),$M$7,$M$8)</f>
        <v>-3.119159434740287E-2</v>
      </c>
    </row>
    <row r="8450" spans="6:7" x14ac:dyDescent="0.25">
      <c r="F8450">
        <v>8447</v>
      </c>
      <c r="G8450">
        <f ca="1">_xlfn.NORM.INV(RAND(),$M$7,$M$8)</f>
        <v>3.3866023750117866E-2</v>
      </c>
    </row>
    <row r="8451" spans="6:7" x14ac:dyDescent="0.25">
      <c r="F8451">
        <v>8448</v>
      </c>
      <c r="G8451">
        <f ca="1">_xlfn.NORM.INV(RAND(),$M$7,$M$8)</f>
        <v>7.3742386326797783E-3</v>
      </c>
    </row>
    <row r="8452" spans="6:7" x14ac:dyDescent="0.25">
      <c r="F8452">
        <v>8449</v>
      </c>
      <c r="G8452">
        <f ca="1">_xlfn.NORM.INV(RAND(),$M$7,$M$8)</f>
        <v>2.5096067422508871E-2</v>
      </c>
    </row>
    <row r="8453" spans="6:7" x14ac:dyDescent="0.25">
      <c r="F8453">
        <v>8450</v>
      </c>
      <c r="G8453">
        <f ca="1">_xlfn.NORM.INV(RAND(),$M$7,$M$8)</f>
        <v>-1.6009671364845351E-3</v>
      </c>
    </row>
    <row r="8454" spans="6:7" x14ac:dyDescent="0.25">
      <c r="F8454">
        <v>8451</v>
      </c>
      <c r="G8454">
        <f ca="1">_xlfn.NORM.INV(RAND(),$M$7,$M$8)</f>
        <v>4.1079000936100923E-2</v>
      </c>
    </row>
    <row r="8455" spans="6:7" x14ac:dyDescent="0.25">
      <c r="F8455">
        <v>8452</v>
      </c>
      <c r="G8455">
        <f ca="1">_xlfn.NORM.INV(RAND(),$M$7,$M$8)</f>
        <v>2.3458492316974274E-2</v>
      </c>
    </row>
    <row r="8456" spans="6:7" x14ac:dyDescent="0.25">
      <c r="F8456">
        <v>8453</v>
      </c>
      <c r="G8456">
        <f ca="1">_xlfn.NORM.INV(RAND(),$M$7,$M$8)</f>
        <v>-1.7029701864802883E-2</v>
      </c>
    </row>
    <row r="8457" spans="6:7" x14ac:dyDescent="0.25">
      <c r="F8457">
        <v>8454</v>
      </c>
      <c r="G8457">
        <f ca="1">_xlfn.NORM.INV(RAND(),$M$7,$M$8)</f>
        <v>-1.2479045604162707E-2</v>
      </c>
    </row>
    <row r="8458" spans="6:7" x14ac:dyDescent="0.25">
      <c r="F8458">
        <v>8455</v>
      </c>
      <c r="G8458">
        <f ca="1">_xlfn.NORM.INV(RAND(),$M$7,$M$8)</f>
        <v>4.0459167683696326E-2</v>
      </c>
    </row>
    <row r="8459" spans="6:7" x14ac:dyDescent="0.25">
      <c r="F8459">
        <v>8456</v>
      </c>
      <c r="G8459">
        <f ca="1">_xlfn.NORM.INV(RAND(),$M$7,$M$8)</f>
        <v>-3.6781264038146272E-2</v>
      </c>
    </row>
    <row r="8460" spans="6:7" x14ac:dyDescent="0.25">
      <c r="F8460">
        <v>8457</v>
      </c>
      <c r="G8460">
        <f ca="1">_xlfn.NORM.INV(RAND(),$M$7,$M$8)</f>
        <v>2.9994953605559684E-3</v>
      </c>
    </row>
    <row r="8461" spans="6:7" x14ac:dyDescent="0.25">
      <c r="F8461">
        <v>8458</v>
      </c>
      <c r="G8461">
        <f ca="1">_xlfn.NORM.INV(RAND(),$M$7,$M$8)</f>
        <v>-4.3125745904246853E-4</v>
      </c>
    </row>
    <row r="8462" spans="6:7" x14ac:dyDescent="0.25">
      <c r="F8462">
        <v>8459</v>
      </c>
      <c r="G8462">
        <f ca="1">_xlfn.NORM.INV(RAND(),$M$7,$M$8)</f>
        <v>-1.9873865193154823E-2</v>
      </c>
    </row>
    <row r="8463" spans="6:7" x14ac:dyDescent="0.25">
      <c r="F8463">
        <v>8460</v>
      </c>
      <c r="G8463">
        <f ca="1">_xlfn.NORM.INV(RAND(),$M$7,$M$8)</f>
        <v>-3.8745223259905752E-2</v>
      </c>
    </row>
    <row r="8464" spans="6:7" x14ac:dyDescent="0.25">
      <c r="F8464">
        <v>8461</v>
      </c>
      <c r="G8464">
        <f ca="1">_xlfn.NORM.INV(RAND(),$M$7,$M$8)</f>
        <v>-4.9373731754030967E-2</v>
      </c>
    </row>
    <row r="8465" spans="6:7" x14ac:dyDescent="0.25">
      <c r="F8465">
        <v>8462</v>
      </c>
      <c r="G8465">
        <f ca="1">_xlfn.NORM.INV(RAND(),$M$7,$M$8)</f>
        <v>-1.2610971414778956E-2</v>
      </c>
    </row>
    <row r="8466" spans="6:7" x14ac:dyDescent="0.25">
      <c r="F8466">
        <v>8463</v>
      </c>
      <c r="G8466">
        <f ca="1">_xlfn.NORM.INV(RAND(),$M$7,$M$8)</f>
        <v>-1.2097815478202376E-3</v>
      </c>
    </row>
    <row r="8467" spans="6:7" x14ac:dyDescent="0.25">
      <c r="F8467">
        <v>8464</v>
      </c>
      <c r="G8467">
        <f ca="1">_xlfn.NORM.INV(RAND(),$M$7,$M$8)</f>
        <v>2.251038272142792E-2</v>
      </c>
    </row>
    <row r="8468" spans="6:7" x14ac:dyDescent="0.25">
      <c r="F8468">
        <v>8465</v>
      </c>
      <c r="G8468">
        <f ca="1">_xlfn.NORM.INV(RAND(),$M$7,$M$8)</f>
        <v>-4.2432458793184573E-2</v>
      </c>
    </row>
    <row r="8469" spans="6:7" x14ac:dyDescent="0.25">
      <c r="F8469">
        <v>8466</v>
      </c>
      <c r="G8469">
        <f ca="1">_xlfn.NORM.INV(RAND(),$M$7,$M$8)</f>
        <v>-2.1442482989596612E-2</v>
      </c>
    </row>
    <row r="8470" spans="6:7" x14ac:dyDescent="0.25">
      <c r="F8470">
        <v>8467</v>
      </c>
      <c r="G8470">
        <f ca="1">_xlfn.NORM.INV(RAND(),$M$7,$M$8)</f>
        <v>1.1021963036974008E-2</v>
      </c>
    </row>
    <row r="8471" spans="6:7" x14ac:dyDescent="0.25">
      <c r="F8471">
        <v>8468</v>
      </c>
      <c r="G8471">
        <f ca="1">_xlfn.NORM.INV(RAND(),$M$7,$M$8)</f>
        <v>-1.4814361820142136E-2</v>
      </c>
    </row>
    <row r="8472" spans="6:7" x14ac:dyDescent="0.25">
      <c r="F8472">
        <v>8469</v>
      </c>
      <c r="G8472">
        <f ca="1">_xlfn.NORM.INV(RAND(),$M$7,$M$8)</f>
        <v>2.3775327863545422E-2</v>
      </c>
    </row>
    <row r="8473" spans="6:7" x14ac:dyDescent="0.25">
      <c r="F8473">
        <v>8470</v>
      </c>
      <c r="G8473">
        <f ca="1">_xlfn.NORM.INV(RAND(),$M$7,$M$8)</f>
        <v>-2.9331221234228808E-2</v>
      </c>
    </row>
    <row r="8474" spans="6:7" x14ac:dyDescent="0.25">
      <c r="F8474">
        <v>8471</v>
      </c>
      <c r="G8474">
        <f ca="1">_xlfn.NORM.INV(RAND(),$M$7,$M$8)</f>
        <v>-5.2291164400721252E-3</v>
      </c>
    </row>
    <row r="8475" spans="6:7" x14ac:dyDescent="0.25">
      <c r="F8475">
        <v>8472</v>
      </c>
      <c r="G8475">
        <f ca="1">_xlfn.NORM.INV(RAND(),$M$7,$M$8)</f>
        <v>4.080198598395212E-2</v>
      </c>
    </row>
    <row r="8476" spans="6:7" x14ac:dyDescent="0.25">
      <c r="F8476">
        <v>8473</v>
      </c>
      <c r="G8476">
        <f ca="1">_xlfn.NORM.INV(RAND(),$M$7,$M$8)</f>
        <v>2.6772576645467779E-2</v>
      </c>
    </row>
    <row r="8477" spans="6:7" x14ac:dyDescent="0.25">
      <c r="F8477">
        <v>8474</v>
      </c>
      <c r="G8477">
        <f ca="1">_xlfn.NORM.INV(RAND(),$M$7,$M$8)</f>
        <v>3.602956121339701E-2</v>
      </c>
    </row>
    <row r="8478" spans="6:7" x14ac:dyDescent="0.25">
      <c r="F8478">
        <v>8475</v>
      </c>
      <c r="G8478">
        <f ca="1">_xlfn.NORM.INV(RAND(),$M$7,$M$8)</f>
        <v>1.4182162707947021E-3</v>
      </c>
    </row>
    <row r="8479" spans="6:7" x14ac:dyDescent="0.25">
      <c r="F8479">
        <v>8476</v>
      </c>
      <c r="G8479">
        <f ca="1">_xlfn.NORM.INV(RAND(),$M$7,$M$8)</f>
        <v>1.1560862975429836E-2</v>
      </c>
    </row>
    <row r="8480" spans="6:7" x14ac:dyDescent="0.25">
      <c r="F8480">
        <v>8477</v>
      </c>
      <c r="G8480">
        <f ca="1">_xlfn.NORM.INV(RAND(),$M$7,$M$8)</f>
        <v>-2.7082036326455401E-2</v>
      </c>
    </row>
    <row r="8481" spans="6:7" x14ac:dyDescent="0.25">
      <c r="F8481">
        <v>8478</v>
      </c>
      <c r="G8481">
        <f ca="1">_xlfn.NORM.INV(RAND(),$M$7,$M$8)</f>
        <v>3.8927907934627477E-2</v>
      </c>
    </row>
    <row r="8482" spans="6:7" x14ac:dyDescent="0.25">
      <c r="F8482">
        <v>8479</v>
      </c>
      <c r="G8482">
        <f ca="1">_xlfn.NORM.INV(RAND(),$M$7,$M$8)</f>
        <v>-4.0729927600745286E-2</v>
      </c>
    </row>
    <row r="8483" spans="6:7" x14ac:dyDescent="0.25">
      <c r="F8483">
        <v>8480</v>
      </c>
      <c r="G8483">
        <f ca="1">_xlfn.NORM.INV(RAND(),$M$7,$M$8)</f>
        <v>3.9069521275679094E-2</v>
      </c>
    </row>
    <row r="8484" spans="6:7" x14ac:dyDescent="0.25">
      <c r="F8484">
        <v>8481</v>
      </c>
      <c r="G8484">
        <f ca="1">_xlfn.NORM.INV(RAND(),$M$7,$M$8)</f>
        <v>1.3292575774999702E-2</v>
      </c>
    </row>
    <row r="8485" spans="6:7" x14ac:dyDescent="0.25">
      <c r="F8485">
        <v>8482</v>
      </c>
      <c r="G8485">
        <f ca="1">_xlfn.NORM.INV(RAND(),$M$7,$M$8)</f>
        <v>-3.6234646913075728E-2</v>
      </c>
    </row>
    <row r="8486" spans="6:7" x14ac:dyDescent="0.25">
      <c r="F8486">
        <v>8483</v>
      </c>
      <c r="G8486">
        <f ca="1">_xlfn.NORM.INV(RAND(),$M$7,$M$8)</f>
        <v>-1.4060125059457586E-2</v>
      </c>
    </row>
    <row r="8487" spans="6:7" x14ac:dyDescent="0.25">
      <c r="F8487">
        <v>8484</v>
      </c>
      <c r="G8487">
        <f ca="1">_xlfn.NORM.INV(RAND(),$M$7,$M$8)</f>
        <v>2.7557617579992186E-2</v>
      </c>
    </row>
    <row r="8488" spans="6:7" x14ac:dyDescent="0.25">
      <c r="F8488">
        <v>8485</v>
      </c>
      <c r="G8488">
        <f ca="1">_xlfn.NORM.INV(RAND(),$M$7,$M$8)</f>
        <v>5.7359748087301224E-2</v>
      </c>
    </row>
    <row r="8489" spans="6:7" x14ac:dyDescent="0.25">
      <c r="F8489">
        <v>8486</v>
      </c>
      <c r="G8489">
        <f ca="1">_xlfn.NORM.INV(RAND(),$M$7,$M$8)</f>
        <v>5.3637077231585138E-2</v>
      </c>
    </row>
    <row r="8490" spans="6:7" x14ac:dyDescent="0.25">
      <c r="F8490">
        <v>8487</v>
      </c>
      <c r="G8490">
        <f ca="1">_xlfn.NORM.INV(RAND(),$M$7,$M$8)</f>
        <v>1.1613899511459615E-2</v>
      </c>
    </row>
    <row r="8491" spans="6:7" x14ac:dyDescent="0.25">
      <c r="F8491">
        <v>8488</v>
      </c>
      <c r="G8491">
        <f ca="1">_xlfn.NORM.INV(RAND(),$M$7,$M$8)</f>
        <v>-9.4467063235314608E-4</v>
      </c>
    </row>
    <row r="8492" spans="6:7" x14ac:dyDescent="0.25">
      <c r="F8492">
        <v>8489</v>
      </c>
      <c r="G8492">
        <f ca="1">_xlfn.NORM.INV(RAND(),$M$7,$M$8)</f>
        <v>-3.0228609592783805E-2</v>
      </c>
    </row>
    <row r="8493" spans="6:7" x14ac:dyDescent="0.25">
      <c r="F8493">
        <v>8490</v>
      </c>
      <c r="G8493">
        <f ca="1">_xlfn.NORM.INV(RAND(),$M$7,$M$8)</f>
        <v>-1.0243307868103276E-3</v>
      </c>
    </row>
    <row r="8494" spans="6:7" x14ac:dyDescent="0.25">
      <c r="F8494">
        <v>8491</v>
      </c>
      <c r="G8494">
        <f ca="1">_xlfn.NORM.INV(RAND(),$M$7,$M$8)</f>
        <v>3.3303311645650403E-2</v>
      </c>
    </row>
    <row r="8495" spans="6:7" x14ac:dyDescent="0.25">
      <c r="F8495">
        <v>8492</v>
      </c>
      <c r="G8495">
        <f ca="1">_xlfn.NORM.INV(RAND(),$M$7,$M$8)</f>
        <v>5.8472301488013863E-3</v>
      </c>
    </row>
    <row r="8496" spans="6:7" x14ac:dyDescent="0.25">
      <c r="F8496">
        <v>8493</v>
      </c>
      <c r="G8496">
        <f ca="1">_xlfn.NORM.INV(RAND(),$M$7,$M$8)</f>
        <v>-1.4742344161690936E-3</v>
      </c>
    </row>
    <row r="8497" spans="6:7" x14ac:dyDescent="0.25">
      <c r="F8497">
        <v>8494</v>
      </c>
      <c r="G8497">
        <f ca="1">_xlfn.NORM.INV(RAND(),$M$7,$M$8)</f>
        <v>3.9704512823223424E-3</v>
      </c>
    </row>
    <row r="8498" spans="6:7" x14ac:dyDescent="0.25">
      <c r="F8498">
        <v>8495</v>
      </c>
      <c r="G8498">
        <f ca="1">_xlfn.NORM.INV(RAND(),$M$7,$M$8)</f>
        <v>-1.963814809059061E-3</v>
      </c>
    </row>
    <row r="8499" spans="6:7" x14ac:dyDescent="0.25">
      <c r="F8499">
        <v>8496</v>
      </c>
      <c r="G8499">
        <f ca="1">_xlfn.NORM.INV(RAND(),$M$7,$M$8)</f>
        <v>-7.9836495956649312E-3</v>
      </c>
    </row>
    <row r="8500" spans="6:7" x14ac:dyDescent="0.25">
      <c r="F8500">
        <v>8497</v>
      </c>
      <c r="G8500">
        <f ca="1">_xlfn.NORM.INV(RAND(),$M$7,$M$8)</f>
        <v>3.8309290374059415E-3</v>
      </c>
    </row>
    <row r="8501" spans="6:7" x14ac:dyDescent="0.25">
      <c r="F8501">
        <v>8498</v>
      </c>
      <c r="G8501">
        <f ca="1">_xlfn.NORM.INV(RAND(),$M$7,$M$8)</f>
        <v>1.2393102628090376E-2</v>
      </c>
    </row>
    <row r="8502" spans="6:7" x14ac:dyDescent="0.25">
      <c r="F8502">
        <v>8499</v>
      </c>
      <c r="G8502">
        <f ca="1">_xlfn.NORM.INV(RAND(),$M$7,$M$8)</f>
        <v>1.1535920307803005E-2</v>
      </c>
    </row>
    <row r="8503" spans="6:7" x14ac:dyDescent="0.25">
      <c r="F8503">
        <v>8500</v>
      </c>
      <c r="G8503">
        <f ca="1">_xlfn.NORM.INV(RAND(),$M$7,$M$8)</f>
        <v>-1.4874933226639648E-2</v>
      </c>
    </row>
    <row r="8504" spans="6:7" x14ac:dyDescent="0.25">
      <c r="F8504">
        <v>8501</v>
      </c>
      <c r="G8504">
        <f ca="1">_xlfn.NORM.INV(RAND(),$M$7,$M$8)</f>
        <v>3.3344835944910271E-2</v>
      </c>
    </row>
    <row r="8505" spans="6:7" x14ac:dyDescent="0.25">
      <c r="F8505">
        <v>8502</v>
      </c>
      <c r="G8505">
        <f ca="1">_xlfn.NORM.INV(RAND(),$M$7,$M$8)</f>
        <v>-3.0058880097712872E-2</v>
      </c>
    </row>
    <row r="8506" spans="6:7" x14ac:dyDescent="0.25">
      <c r="F8506">
        <v>8503</v>
      </c>
      <c r="G8506">
        <f ca="1">_xlfn.NORM.INV(RAND(),$M$7,$M$8)</f>
        <v>2.2906606576784803E-2</v>
      </c>
    </row>
    <row r="8507" spans="6:7" x14ac:dyDescent="0.25">
      <c r="F8507">
        <v>8504</v>
      </c>
      <c r="G8507">
        <f ca="1">_xlfn.NORM.INV(RAND(),$M$7,$M$8)</f>
        <v>-5.2472222223293397E-2</v>
      </c>
    </row>
    <row r="8508" spans="6:7" x14ac:dyDescent="0.25">
      <c r="F8508">
        <v>8505</v>
      </c>
      <c r="G8508">
        <f ca="1">_xlfn.NORM.INV(RAND(),$M$7,$M$8)</f>
        <v>2.8209371786131497E-2</v>
      </c>
    </row>
    <row r="8509" spans="6:7" x14ac:dyDescent="0.25">
      <c r="F8509">
        <v>8506</v>
      </c>
      <c r="G8509">
        <f ca="1">_xlfn.NORM.INV(RAND(),$M$7,$M$8)</f>
        <v>2.230605001493002E-2</v>
      </c>
    </row>
    <row r="8510" spans="6:7" x14ac:dyDescent="0.25">
      <c r="F8510">
        <v>8507</v>
      </c>
      <c r="G8510">
        <f ca="1">_xlfn.NORM.INV(RAND(),$M$7,$M$8)</f>
        <v>1.851052202443056E-2</v>
      </c>
    </row>
    <row r="8511" spans="6:7" x14ac:dyDescent="0.25">
      <c r="F8511">
        <v>8508</v>
      </c>
      <c r="G8511">
        <f ca="1">_xlfn.NORM.INV(RAND(),$M$7,$M$8)</f>
        <v>1.3645854659509881E-2</v>
      </c>
    </row>
    <row r="8512" spans="6:7" x14ac:dyDescent="0.25">
      <c r="F8512">
        <v>8509</v>
      </c>
      <c r="G8512">
        <f ca="1">_xlfn.NORM.INV(RAND(),$M$7,$M$8)</f>
        <v>-1.6495448516671445E-2</v>
      </c>
    </row>
    <row r="8513" spans="6:7" x14ac:dyDescent="0.25">
      <c r="F8513">
        <v>8510</v>
      </c>
      <c r="G8513">
        <f ca="1">_xlfn.NORM.INV(RAND(),$M$7,$M$8)</f>
        <v>-2.7524548651906382E-2</v>
      </c>
    </row>
    <row r="8514" spans="6:7" x14ac:dyDescent="0.25">
      <c r="F8514">
        <v>8511</v>
      </c>
      <c r="G8514">
        <f ca="1">_xlfn.NORM.INV(RAND(),$M$7,$M$8)</f>
        <v>1.3010316463763147E-2</v>
      </c>
    </row>
    <row r="8515" spans="6:7" x14ac:dyDescent="0.25">
      <c r="F8515">
        <v>8512</v>
      </c>
      <c r="G8515">
        <f ca="1">_xlfn.NORM.INV(RAND(),$M$7,$M$8)</f>
        <v>-1.080466468196771E-2</v>
      </c>
    </row>
    <row r="8516" spans="6:7" x14ac:dyDescent="0.25">
      <c r="F8516">
        <v>8513</v>
      </c>
      <c r="G8516">
        <f ca="1">_xlfn.NORM.INV(RAND(),$M$7,$M$8)</f>
        <v>-3.669835235766656E-2</v>
      </c>
    </row>
    <row r="8517" spans="6:7" x14ac:dyDescent="0.25">
      <c r="F8517">
        <v>8514</v>
      </c>
      <c r="G8517">
        <f ca="1">_xlfn.NORM.INV(RAND(),$M$7,$M$8)</f>
        <v>1.3762855339529297E-3</v>
      </c>
    </row>
    <row r="8518" spans="6:7" x14ac:dyDescent="0.25">
      <c r="F8518">
        <v>8515</v>
      </c>
      <c r="G8518">
        <f ca="1">_xlfn.NORM.INV(RAND(),$M$7,$M$8)</f>
        <v>2.4095382247605164E-2</v>
      </c>
    </row>
    <row r="8519" spans="6:7" x14ac:dyDescent="0.25">
      <c r="F8519">
        <v>8516</v>
      </c>
      <c r="G8519">
        <f ca="1">_xlfn.NORM.INV(RAND(),$M$7,$M$8)</f>
        <v>1.2713607182656402E-2</v>
      </c>
    </row>
    <row r="8520" spans="6:7" x14ac:dyDescent="0.25">
      <c r="F8520">
        <v>8517</v>
      </c>
      <c r="G8520">
        <f ca="1">_xlfn.NORM.INV(RAND(),$M$7,$M$8)</f>
        <v>2.2142500094208997E-2</v>
      </c>
    </row>
    <row r="8521" spans="6:7" x14ac:dyDescent="0.25">
      <c r="F8521">
        <v>8518</v>
      </c>
      <c r="G8521">
        <f ca="1">_xlfn.NORM.INV(RAND(),$M$7,$M$8)</f>
        <v>7.6855072430750682E-3</v>
      </c>
    </row>
    <row r="8522" spans="6:7" x14ac:dyDescent="0.25">
      <c r="F8522">
        <v>8519</v>
      </c>
      <c r="G8522">
        <f ca="1">_xlfn.NORM.INV(RAND(),$M$7,$M$8)</f>
        <v>9.3230312500137795E-3</v>
      </c>
    </row>
    <row r="8523" spans="6:7" x14ac:dyDescent="0.25">
      <c r="F8523">
        <v>8520</v>
      </c>
      <c r="G8523">
        <f ca="1">_xlfn.NORM.INV(RAND(),$M$7,$M$8)</f>
        <v>7.9420279422792259E-3</v>
      </c>
    </row>
    <row r="8524" spans="6:7" x14ac:dyDescent="0.25">
      <c r="F8524">
        <v>8521</v>
      </c>
      <c r="G8524">
        <f ca="1">_xlfn.NORM.INV(RAND(),$M$7,$M$8)</f>
        <v>-5.3971089378474866E-3</v>
      </c>
    </row>
    <row r="8525" spans="6:7" x14ac:dyDescent="0.25">
      <c r="F8525">
        <v>8522</v>
      </c>
      <c r="G8525">
        <f ca="1">_xlfn.NORM.INV(RAND(),$M$7,$M$8)</f>
        <v>1.6602760457559519E-2</v>
      </c>
    </row>
    <row r="8526" spans="6:7" x14ac:dyDescent="0.25">
      <c r="F8526">
        <v>8523</v>
      </c>
      <c r="G8526">
        <f ca="1">_xlfn.NORM.INV(RAND(),$M$7,$M$8)</f>
        <v>2.691448213657141E-2</v>
      </c>
    </row>
    <row r="8527" spans="6:7" x14ac:dyDescent="0.25">
      <c r="F8527">
        <v>8524</v>
      </c>
      <c r="G8527">
        <f ca="1">_xlfn.NORM.INV(RAND(),$M$7,$M$8)</f>
        <v>6.8060427342928331E-2</v>
      </c>
    </row>
    <row r="8528" spans="6:7" x14ac:dyDescent="0.25">
      <c r="F8528">
        <v>8525</v>
      </c>
      <c r="G8528">
        <f ca="1">_xlfn.NORM.INV(RAND(),$M$7,$M$8)</f>
        <v>1.1523366844080504E-2</v>
      </c>
    </row>
    <row r="8529" spans="6:7" x14ac:dyDescent="0.25">
      <c r="F8529">
        <v>8526</v>
      </c>
      <c r="G8529">
        <f ca="1">_xlfn.NORM.INV(RAND(),$M$7,$M$8)</f>
        <v>2.5219186529489086E-2</v>
      </c>
    </row>
    <row r="8530" spans="6:7" x14ac:dyDescent="0.25">
      <c r="F8530">
        <v>8527</v>
      </c>
      <c r="G8530">
        <f ca="1">_xlfn.NORM.INV(RAND(),$M$7,$M$8)</f>
        <v>-2.2462855900064679E-2</v>
      </c>
    </row>
    <row r="8531" spans="6:7" x14ac:dyDescent="0.25">
      <c r="F8531">
        <v>8528</v>
      </c>
      <c r="G8531">
        <f ca="1">_xlfn.NORM.INV(RAND(),$M$7,$M$8)</f>
        <v>-3.19851134935622E-3</v>
      </c>
    </row>
    <row r="8532" spans="6:7" x14ac:dyDescent="0.25">
      <c r="F8532">
        <v>8529</v>
      </c>
      <c r="G8532">
        <f ca="1">_xlfn.NORM.INV(RAND(),$M$7,$M$8)</f>
        <v>-1.6334632118647212E-2</v>
      </c>
    </row>
    <row r="8533" spans="6:7" x14ac:dyDescent="0.25">
      <c r="F8533">
        <v>8530</v>
      </c>
      <c r="G8533">
        <f ca="1">_xlfn.NORM.INV(RAND(),$M$7,$M$8)</f>
        <v>1.4208296272656119E-2</v>
      </c>
    </row>
    <row r="8534" spans="6:7" x14ac:dyDescent="0.25">
      <c r="F8534">
        <v>8531</v>
      </c>
      <c r="G8534">
        <f ca="1">_xlfn.NORM.INV(RAND(),$M$7,$M$8)</f>
        <v>2.6949115500428156E-2</v>
      </c>
    </row>
    <row r="8535" spans="6:7" x14ac:dyDescent="0.25">
      <c r="F8535">
        <v>8532</v>
      </c>
      <c r="G8535">
        <f ca="1">_xlfn.NORM.INV(RAND(),$M$7,$M$8)</f>
        <v>-1.8045856897471905E-2</v>
      </c>
    </row>
    <row r="8536" spans="6:7" x14ac:dyDescent="0.25">
      <c r="F8536">
        <v>8533</v>
      </c>
      <c r="G8536">
        <f ca="1">_xlfn.NORM.INV(RAND(),$M$7,$M$8)</f>
        <v>-1.8296697135520575E-2</v>
      </c>
    </row>
    <row r="8537" spans="6:7" x14ac:dyDescent="0.25">
      <c r="F8537">
        <v>8534</v>
      </c>
      <c r="G8537">
        <f ca="1">_xlfn.NORM.INV(RAND(),$M$7,$M$8)</f>
        <v>-4.5028163624743558E-3</v>
      </c>
    </row>
    <row r="8538" spans="6:7" x14ac:dyDescent="0.25">
      <c r="F8538">
        <v>8535</v>
      </c>
      <c r="G8538">
        <f ca="1">_xlfn.NORM.INV(RAND(),$M$7,$M$8)</f>
        <v>-4.5285821054629038E-3</v>
      </c>
    </row>
    <row r="8539" spans="6:7" x14ac:dyDescent="0.25">
      <c r="F8539">
        <v>8536</v>
      </c>
      <c r="G8539">
        <f ca="1">_xlfn.NORM.INV(RAND(),$M$7,$M$8)</f>
        <v>-1.0213598335088666E-2</v>
      </c>
    </row>
    <row r="8540" spans="6:7" x14ac:dyDescent="0.25">
      <c r="F8540">
        <v>8537</v>
      </c>
      <c r="G8540">
        <f ca="1">_xlfn.NORM.INV(RAND(),$M$7,$M$8)</f>
        <v>1.1002657607838372E-2</v>
      </c>
    </row>
    <row r="8541" spans="6:7" x14ac:dyDescent="0.25">
      <c r="F8541">
        <v>8538</v>
      </c>
      <c r="G8541">
        <f ca="1">_xlfn.NORM.INV(RAND(),$M$7,$M$8)</f>
        <v>7.6259789784761294E-4</v>
      </c>
    </row>
    <row r="8542" spans="6:7" x14ac:dyDescent="0.25">
      <c r="F8542">
        <v>8539</v>
      </c>
      <c r="G8542">
        <f ca="1">_xlfn.NORM.INV(RAND(),$M$7,$M$8)</f>
        <v>1.864014243777723E-2</v>
      </c>
    </row>
    <row r="8543" spans="6:7" x14ac:dyDescent="0.25">
      <c r="F8543">
        <v>8540</v>
      </c>
      <c r="G8543">
        <f ca="1">_xlfn.NORM.INV(RAND(),$M$7,$M$8)</f>
        <v>1.8475372699277358E-3</v>
      </c>
    </row>
    <row r="8544" spans="6:7" x14ac:dyDescent="0.25">
      <c r="F8544">
        <v>8541</v>
      </c>
      <c r="G8544">
        <f ca="1">_xlfn.NORM.INV(RAND(),$M$7,$M$8)</f>
        <v>-5.0769520609412082E-2</v>
      </c>
    </row>
    <row r="8545" spans="6:7" x14ac:dyDescent="0.25">
      <c r="F8545">
        <v>8542</v>
      </c>
      <c r="G8545">
        <f ca="1">_xlfn.NORM.INV(RAND(),$M$7,$M$8)</f>
        <v>-2.8791191195442125E-2</v>
      </c>
    </row>
    <row r="8546" spans="6:7" x14ac:dyDescent="0.25">
      <c r="F8546">
        <v>8543</v>
      </c>
      <c r="G8546">
        <f ca="1">_xlfn.NORM.INV(RAND(),$M$7,$M$8)</f>
        <v>2.5142331317219976E-2</v>
      </c>
    </row>
    <row r="8547" spans="6:7" x14ac:dyDescent="0.25">
      <c r="F8547">
        <v>8544</v>
      </c>
      <c r="G8547">
        <f ca="1">_xlfn.NORM.INV(RAND(),$M$7,$M$8)</f>
        <v>1.3619939288870783E-2</v>
      </c>
    </row>
    <row r="8548" spans="6:7" x14ac:dyDescent="0.25">
      <c r="F8548">
        <v>8545</v>
      </c>
      <c r="G8548">
        <f ca="1">_xlfn.NORM.INV(RAND(),$M$7,$M$8)</f>
        <v>2.1990554649487862E-2</v>
      </c>
    </row>
    <row r="8549" spans="6:7" x14ac:dyDescent="0.25">
      <c r="F8549">
        <v>8546</v>
      </c>
      <c r="G8549">
        <f ca="1">_xlfn.NORM.INV(RAND(),$M$7,$M$8)</f>
        <v>2.8070096664744613E-2</v>
      </c>
    </row>
    <row r="8550" spans="6:7" x14ac:dyDescent="0.25">
      <c r="F8550">
        <v>8547</v>
      </c>
      <c r="G8550">
        <f ca="1">_xlfn.NORM.INV(RAND(),$M$7,$M$8)</f>
        <v>-1.8537061297706638E-2</v>
      </c>
    </row>
    <row r="8551" spans="6:7" x14ac:dyDescent="0.25">
      <c r="F8551">
        <v>8548</v>
      </c>
      <c r="G8551">
        <f ca="1">_xlfn.NORM.INV(RAND(),$M$7,$M$8)</f>
        <v>-1.7039083814585496E-2</v>
      </c>
    </row>
    <row r="8552" spans="6:7" x14ac:dyDescent="0.25">
      <c r="F8552">
        <v>8549</v>
      </c>
      <c r="G8552">
        <f ca="1">_xlfn.NORM.INV(RAND(),$M$7,$M$8)</f>
        <v>-1.5354683989623179E-3</v>
      </c>
    </row>
    <row r="8553" spans="6:7" x14ac:dyDescent="0.25">
      <c r="F8553">
        <v>8550</v>
      </c>
      <c r="G8553">
        <f ca="1">_xlfn.NORM.INV(RAND(),$M$7,$M$8)</f>
        <v>2.7217690098791505E-2</v>
      </c>
    </row>
    <row r="8554" spans="6:7" x14ac:dyDescent="0.25">
      <c r="F8554">
        <v>8551</v>
      </c>
      <c r="G8554">
        <f ca="1">_xlfn.NORM.INV(RAND(),$M$7,$M$8)</f>
        <v>5.5116960558733181E-3</v>
      </c>
    </row>
    <row r="8555" spans="6:7" x14ac:dyDescent="0.25">
      <c r="F8555">
        <v>8552</v>
      </c>
      <c r="G8555">
        <f ca="1">_xlfn.NORM.INV(RAND(),$M$7,$M$8)</f>
        <v>-2.587009177452855E-2</v>
      </c>
    </row>
    <row r="8556" spans="6:7" x14ac:dyDescent="0.25">
      <c r="F8556">
        <v>8553</v>
      </c>
      <c r="G8556">
        <f ca="1">_xlfn.NORM.INV(RAND(),$M$7,$M$8)</f>
        <v>4.4887674876408303E-2</v>
      </c>
    </row>
    <row r="8557" spans="6:7" x14ac:dyDescent="0.25">
      <c r="F8557">
        <v>8554</v>
      </c>
      <c r="G8557">
        <f ca="1">_xlfn.NORM.INV(RAND(),$M$7,$M$8)</f>
        <v>5.2105042522544182E-3</v>
      </c>
    </row>
    <row r="8558" spans="6:7" x14ac:dyDescent="0.25">
      <c r="F8558">
        <v>8555</v>
      </c>
      <c r="G8558">
        <f ca="1">_xlfn.NORM.INV(RAND(),$M$7,$M$8)</f>
        <v>-1.0282074554759201E-2</v>
      </c>
    </row>
    <row r="8559" spans="6:7" x14ac:dyDescent="0.25">
      <c r="F8559">
        <v>8556</v>
      </c>
      <c r="G8559">
        <f ca="1">_xlfn.NORM.INV(RAND(),$M$7,$M$8)</f>
        <v>2.3161461124893189E-3</v>
      </c>
    </row>
    <row r="8560" spans="6:7" x14ac:dyDescent="0.25">
      <c r="F8560">
        <v>8557</v>
      </c>
      <c r="G8560">
        <f ca="1">_xlfn.NORM.INV(RAND(),$M$7,$M$8)</f>
        <v>1.4303256316612964E-2</v>
      </c>
    </row>
    <row r="8561" spans="6:7" x14ac:dyDescent="0.25">
      <c r="F8561">
        <v>8558</v>
      </c>
      <c r="G8561">
        <f ca="1">_xlfn.NORM.INV(RAND(),$M$7,$M$8)</f>
        <v>-2.2351928787751928E-3</v>
      </c>
    </row>
    <row r="8562" spans="6:7" x14ac:dyDescent="0.25">
      <c r="F8562">
        <v>8559</v>
      </c>
      <c r="G8562">
        <f ca="1">_xlfn.NORM.INV(RAND(),$M$7,$M$8)</f>
        <v>-1.4696142066270646E-2</v>
      </c>
    </row>
    <row r="8563" spans="6:7" x14ac:dyDescent="0.25">
      <c r="F8563">
        <v>8560</v>
      </c>
      <c r="G8563">
        <f ca="1">_xlfn.NORM.INV(RAND(),$M$7,$M$8)</f>
        <v>-4.4663748799014316E-3</v>
      </c>
    </row>
    <row r="8564" spans="6:7" x14ac:dyDescent="0.25">
      <c r="F8564">
        <v>8561</v>
      </c>
      <c r="G8564">
        <f ca="1">_xlfn.NORM.INV(RAND(),$M$7,$M$8)</f>
        <v>7.4959021273748264E-3</v>
      </c>
    </row>
    <row r="8565" spans="6:7" x14ac:dyDescent="0.25">
      <c r="F8565">
        <v>8562</v>
      </c>
      <c r="G8565">
        <f ca="1">_xlfn.NORM.INV(RAND(),$M$7,$M$8)</f>
        <v>-3.4198398422957112E-2</v>
      </c>
    </row>
    <row r="8566" spans="6:7" x14ac:dyDescent="0.25">
      <c r="F8566">
        <v>8563</v>
      </c>
      <c r="G8566">
        <f ca="1">_xlfn.NORM.INV(RAND(),$M$7,$M$8)</f>
        <v>-2.2897049791609517E-2</v>
      </c>
    </row>
    <row r="8567" spans="6:7" x14ac:dyDescent="0.25">
      <c r="F8567">
        <v>8564</v>
      </c>
      <c r="G8567">
        <f ca="1">_xlfn.NORM.INV(RAND(),$M$7,$M$8)</f>
        <v>3.8602235940439121E-2</v>
      </c>
    </row>
    <row r="8568" spans="6:7" x14ac:dyDescent="0.25">
      <c r="F8568">
        <v>8565</v>
      </c>
      <c r="G8568">
        <f ca="1">_xlfn.NORM.INV(RAND(),$M$7,$M$8)</f>
        <v>-4.0060788201774472E-2</v>
      </c>
    </row>
    <row r="8569" spans="6:7" x14ac:dyDescent="0.25">
      <c r="F8569">
        <v>8566</v>
      </c>
      <c r="G8569">
        <f ca="1">_xlfn.NORM.INV(RAND(),$M$7,$M$8)</f>
        <v>-4.1262987813717542E-3</v>
      </c>
    </row>
    <row r="8570" spans="6:7" x14ac:dyDescent="0.25">
      <c r="F8570">
        <v>8567</v>
      </c>
      <c r="G8570">
        <f ca="1">_xlfn.NORM.INV(RAND(),$M$7,$M$8)</f>
        <v>-1.5858671531630914E-2</v>
      </c>
    </row>
    <row r="8571" spans="6:7" x14ac:dyDescent="0.25">
      <c r="F8571">
        <v>8568</v>
      </c>
      <c r="G8571">
        <f ca="1">_xlfn.NORM.INV(RAND(),$M$7,$M$8)</f>
        <v>1.5209711780745825E-3</v>
      </c>
    </row>
    <row r="8572" spans="6:7" x14ac:dyDescent="0.25">
      <c r="F8572">
        <v>8569</v>
      </c>
      <c r="G8572">
        <f ca="1">_xlfn.NORM.INV(RAND(),$M$7,$M$8)</f>
        <v>3.100955682970595E-2</v>
      </c>
    </row>
    <row r="8573" spans="6:7" x14ac:dyDescent="0.25">
      <c r="F8573">
        <v>8570</v>
      </c>
      <c r="G8573">
        <f ca="1">_xlfn.NORM.INV(RAND(),$M$7,$M$8)</f>
        <v>6.8150854813224769E-3</v>
      </c>
    </row>
    <row r="8574" spans="6:7" x14ac:dyDescent="0.25">
      <c r="F8574">
        <v>8571</v>
      </c>
      <c r="G8574">
        <f ca="1">_xlfn.NORM.INV(RAND(),$M$7,$M$8)</f>
        <v>-2.8022855728658681E-2</v>
      </c>
    </row>
    <row r="8575" spans="6:7" x14ac:dyDescent="0.25">
      <c r="F8575">
        <v>8572</v>
      </c>
      <c r="G8575">
        <f ca="1">_xlfn.NORM.INV(RAND(),$M$7,$M$8)</f>
        <v>7.2201565258808217E-3</v>
      </c>
    </row>
    <row r="8576" spans="6:7" x14ac:dyDescent="0.25">
      <c r="F8576">
        <v>8573</v>
      </c>
      <c r="G8576">
        <f ca="1">_xlfn.NORM.INV(RAND(),$M$7,$M$8)</f>
        <v>-2.0246235040226299E-2</v>
      </c>
    </row>
    <row r="8577" spans="6:7" x14ac:dyDescent="0.25">
      <c r="F8577">
        <v>8574</v>
      </c>
      <c r="G8577">
        <f ca="1">_xlfn.NORM.INV(RAND(),$M$7,$M$8)</f>
        <v>-3.1105397889207607E-2</v>
      </c>
    </row>
    <row r="8578" spans="6:7" x14ac:dyDescent="0.25">
      <c r="F8578">
        <v>8575</v>
      </c>
      <c r="G8578">
        <f ca="1">_xlfn.NORM.INV(RAND(),$M$7,$M$8)</f>
        <v>3.8772324476459084E-2</v>
      </c>
    </row>
    <row r="8579" spans="6:7" x14ac:dyDescent="0.25">
      <c r="F8579">
        <v>8576</v>
      </c>
      <c r="G8579">
        <f ca="1">_xlfn.NORM.INV(RAND(),$M$7,$M$8)</f>
        <v>4.0676913492518431E-2</v>
      </c>
    </row>
    <row r="8580" spans="6:7" x14ac:dyDescent="0.25">
      <c r="F8580">
        <v>8577</v>
      </c>
      <c r="G8580">
        <f ca="1">_xlfn.NORM.INV(RAND(),$M$7,$M$8)</f>
        <v>-2.9231338748614888E-2</v>
      </c>
    </row>
    <row r="8581" spans="6:7" x14ac:dyDescent="0.25">
      <c r="F8581">
        <v>8578</v>
      </c>
      <c r="G8581">
        <f ca="1">_xlfn.NORM.INV(RAND(),$M$7,$M$8)</f>
        <v>-3.2629127186917725E-2</v>
      </c>
    </row>
    <row r="8582" spans="6:7" x14ac:dyDescent="0.25">
      <c r="F8582">
        <v>8579</v>
      </c>
      <c r="G8582">
        <f ca="1">_xlfn.NORM.INV(RAND(),$M$7,$M$8)</f>
        <v>-2.3605312886888455E-2</v>
      </c>
    </row>
    <row r="8583" spans="6:7" x14ac:dyDescent="0.25">
      <c r="F8583">
        <v>8580</v>
      </c>
      <c r="G8583">
        <f ca="1">_xlfn.NORM.INV(RAND(),$M$7,$M$8)</f>
        <v>2.2901867692258996E-2</v>
      </c>
    </row>
    <row r="8584" spans="6:7" x14ac:dyDescent="0.25">
      <c r="F8584">
        <v>8581</v>
      </c>
      <c r="G8584">
        <f ca="1">_xlfn.NORM.INV(RAND(),$M$7,$M$8)</f>
        <v>1.2515914845592982E-2</v>
      </c>
    </row>
    <row r="8585" spans="6:7" x14ac:dyDescent="0.25">
      <c r="F8585">
        <v>8582</v>
      </c>
      <c r="G8585">
        <f ca="1">_xlfn.NORM.INV(RAND(),$M$7,$M$8)</f>
        <v>-2.8449732359747869E-2</v>
      </c>
    </row>
    <row r="8586" spans="6:7" x14ac:dyDescent="0.25">
      <c r="F8586">
        <v>8583</v>
      </c>
      <c r="G8586">
        <f ca="1">_xlfn.NORM.INV(RAND(),$M$7,$M$8)</f>
        <v>1.0400784581213525E-3</v>
      </c>
    </row>
    <row r="8587" spans="6:7" x14ac:dyDescent="0.25">
      <c r="F8587">
        <v>8584</v>
      </c>
      <c r="G8587">
        <f ca="1">_xlfn.NORM.INV(RAND(),$M$7,$M$8)</f>
        <v>2.1607154566682524E-2</v>
      </c>
    </row>
    <row r="8588" spans="6:7" x14ac:dyDescent="0.25">
      <c r="F8588">
        <v>8585</v>
      </c>
      <c r="G8588">
        <f ca="1">_xlfn.NORM.INV(RAND(),$M$7,$M$8)</f>
        <v>-2.6731379268209499E-2</v>
      </c>
    </row>
    <row r="8589" spans="6:7" x14ac:dyDescent="0.25">
      <c r="F8589">
        <v>8586</v>
      </c>
      <c r="G8589">
        <f ca="1">_xlfn.NORM.INV(RAND(),$M$7,$M$8)</f>
        <v>1.0341001413841554E-2</v>
      </c>
    </row>
    <row r="8590" spans="6:7" x14ac:dyDescent="0.25">
      <c r="F8590">
        <v>8587</v>
      </c>
      <c r="G8590">
        <f ca="1">_xlfn.NORM.INV(RAND(),$M$7,$M$8)</f>
        <v>2.5779151486419473E-3</v>
      </c>
    </row>
    <row r="8591" spans="6:7" x14ac:dyDescent="0.25">
      <c r="F8591">
        <v>8588</v>
      </c>
      <c r="G8591">
        <f ca="1">_xlfn.NORM.INV(RAND(),$M$7,$M$8)</f>
        <v>1.2087147931976397E-2</v>
      </c>
    </row>
    <row r="8592" spans="6:7" x14ac:dyDescent="0.25">
      <c r="F8592">
        <v>8589</v>
      </c>
      <c r="G8592">
        <f ca="1">_xlfn.NORM.INV(RAND(),$M$7,$M$8)</f>
        <v>1.0579794695379178E-2</v>
      </c>
    </row>
    <row r="8593" spans="6:7" x14ac:dyDescent="0.25">
      <c r="F8593">
        <v>8590</v>
      </c>
      <c r="G8593">
        <f ca="1">_xlfn.NORM.INV(RAND(),$M$7,$M$8)</f>
        <v>9.6824585165257004E-3</v>
      </c>
    </row>
    <row r="8594" spans="6:7" x14ac:dyDescent="0.25">
      <c r="F8594">
        <v>8591</v>
      </c>
      <c r="G8594">
        <f ca="1">_xlfn.NORM.INV(RAND(),$M$7,$M$8)</f>
        <v>9.4489373508574708E-3</v>
      </c>
    </row>
    <row r="8595" spans="6:7" x14ac:dyDescent="0.25">
      <c r="F8595">
        <v>8592</v>
      </c>
      <c r="G8595">
        <f ca="1">_xlfn.NORM.INV(RAND(),$M$7,$M$8)</f>
        <v>3.625136718183123E-2</v>
      </c>
    </row>
    <row r="8596" spans="6:7" x14ac:dyDescent="0.25">
      <c r="F8596">
        <v>8593</v>
      </c>
      <c r="G8596">
        <f ca="1">_xlfn.NORM.INV(RAND(),$M$7,$M$8)</f>
        <v>2.4999816531541378E-2</v>
      </c>
    </row>
    <row r="8597" spans="6:7" x14ac:dyDescent="0.25">
      <c r="F8597">
        <v>8594</v>
      </c>
      <c r="G8597">
        <f ca="1">_xlfn.NORM.INV(RAND(),$M$7,$M$8)</f>
        <v>8.3777876837482276E-3</v>
      </c>
    </row>
    <row r="8598" spans="6:7" x14ac:dyDescent="0.25">
      <c r="F8598">
        <v>8595</v>
      </c>
      <c r="G8598">
        <f ca="1">_xlfn.NORM.INV(RAND(),$M$7,$M$8)</f>
        <v>-1.8002002414990212E-2</v>
      </c>
    </row>
    <row r="8599" spans="6:7" x14ac:dyDescent="0.25">
      <c r="F8599">
        <v>8596</v>
      </c>
      <c r="G8599">
        <f ca="1">_xlfn.NORM.INV(RAND(),$M$7,$M$8)</f>
        <v>-1.4960920729406187E-2</v>
      </c>
    </row>
    <row r="8600" spans="6:7" x14ac:dyDescent="0.25">
      <c r="F8600">
        <v>8597</v>
      </c>
      <c r="G8600">
        <f ca="1">_xlfn.NORM.INV(RAND(),$M$7,$M$8)</f>
        <v>8.8755422916622986E-3</v>
      </c>
    </row>
    <row r="8601" spans="6:7" x14ac:dyDescent="0.25">
      <c r="F8601">
        <v>8598</v>
      </c>
      <c r="G8601">
        <f ca="1">_xlfn.NORM.INV(RAND(),$M$7,$M$8)</f>
        <v>-1.417844418894466E-2</v>
      </c>
    </row>
    <row r="8602" spans="6:7" x14ac:dyDescent="0.25">
      <c r="F8602">
        <v>8599</v>
      </c>
      <c r="G8602">
        <f ca="1">_xlfn.NORM.INV(RAND(),$M$7,$M$8)</f>
        <v>9.8297687427299557E-4</v>
      </c>
    </row>
    <row r="8603" spans="6:7" x14ac:dyDescent="0.25">
      <c r="F8603">
        <v>8600</v>
      </c>
      <c r="G8603">
        <f ca="1">_xlfn.NORM.INV(RAND(),$M$7,$M$8)</f>
        <v>2.5676438332958174E-3</v>
      </c>
    </row>
    <row r="8604" spans="6:7" x14ac:dyDescent="0.25">
      <c r="F8604">
        <v>8601</v>
      </c>
      <c r="G8604">
        <f ca="1">_xlfn.NORM.INV(RAND(),$M$7,$M$8)</f>
        <v>-1.0792259362869313E-3</v>
      </c>
    </row>
    <row r="8605" spans="6:7" x14ac:dyDescent="0.25">
      <c r="F8605">
        <v>8602</v>
      </c>
      <c r="G8605">
        <f ca="1">_xlfn.NORM.INV(RAND(),$M$7,$M$8)</f>
        <v>1.9381265999033899E-2</v>
      </c>
    </row>
    <row r="8606" spans="6:7" x14ac:dyDescent="0.25">
      <c r="F8606">
        <v>8603</v>
      </c>
      <c r="G8606">
        <f ca="1">_xlfn.NORM.INV(RAND(),$M$7,$M$8)</f>
        <v>-1.91213547470124E-2</v>
      </c>
    </row>
    <row r="8607" spans="6:7" x14ac:dyDescent="0.25">
      <c r="F8607">
        <v>8604</v>
      </c>
      <c r="G8607">
        <f ca="1">_xlfn.NORM.INV(RAND(),$M$7,$M$8)</f>
        <v>-6.3780551172633565E-2</v>
      </c>
    </row>
    <row r="8608" spans="6:7" x14ac:dyDescent="0.25">
      <c r="F8608">
        <v>8605</v>
      </c>
      <c r="G8608">
        <f ca="1">_xlfn.NORM.INV(RAND(),$M$7,$M$8)</f>
        <v>-9.6432416939686138E-3</v>
      </c>
    </row>
    <row r="8609" spans="6:7" x14ac:dyDescent="0.25">
      <c r="F8609">
        <v>8606</v>
      </c>
      <c r="G8609">
        <f ca="1">_xlfn.NORM.INV(RAND(),$M$7,$M$8)</f>
        <v>2.5340637365929265E-2</v>
      </c>
    </row>
    <row r="8610" spans="6:7" x14ac:dyDescent="0.25">
      <c r="F8610">
        <v>8607</v>
      </c>
      <c r="G8610">
        <f ca="1">_xlfn.NORM.INV(RAND(),$M$7,$M$8)</f>
        <v>2.0264779257270389E-2</v>
      </c>
    </row>
    <row r="8611" spans="6:7" x14ac:dyDescent="0.25">
      <c r="F8611">
        <v>8608</v>
      </c>
      <c r="G8611">
        <f ca="1">_xlfn.NORM.INV(RAND(),$M$7,$M$8)</f>
        <v>-3.3241310018475843E-3</v>
      </c>
    </row>
    <row r="8612" spans="6:7" x14ac:dyDescent="0.25">
      <c r="F8612">
        <v>8609</v>
      </c>
      <c r="G8612">
        <f ca="1">_xlfn.NORM.INV(RAND(),$M$7,$M$8)</f>
        <v>1.9534458145258463E-2</v>
      </c>
    </row>
    <row r="8613" spans="6:7" x14ac:dyDescent="0.25">
      <c r="F8613">
        <v>8610</v>
      </c>
      <c r="G8613">
        <f ca="1">_xlfn.NORM.INV(RAND(),$M$7,$M$8)</f>
        <v>-3.5516650236804025E-2</v>
      </c>
    </row>
    <row r="8614" spans="6:7" x14ac:dyDescent="0.25">
      <c r="F8614">
        <v>8611</v>
      </c>
      <c r="G8614">
        <f ca="1">_xlfn.NORM.INV(RAND(),$M$7,$M$8)</f>
        <v>-4.8271875067883135E-2</v>
      </c>
    </row>
    <row r="8615" spans="6:7" x14ac:dyDescent="0.25">
      <c r="F8615">
        <v>8612</v>
      </c>
      <c r="G8615">
        <f ca="1">_xlfn.NORM.INV(RAND(),$M$7,$M$8)</f>
        <v>-2.2922413228882471E-2</v>
      </c>
    </row>
    <row r="8616" spans="6:7" x14ac:dyDescent="0.25">
      <c r="F8616">
        <v>8613</v>
      </c>
      <c r="G8616">
        <f ca="1">_xlfn.NORM.INV(RAND(),$M$7,$M$8)</f>
        <v>-1.467405085069202E-2</v>
      </c>
    </row>
    <row r="8617" spans="6:7" x14ac:dyDescent="0.25">
      <c r="F8617">
        <v>8614</v>
      </c>
      <c r="G8617">
        <f ca="1">_xlfn.NORM.INV(RAND(),$M$7,$M$8)</f>
        <v>-3.6869325394778686E-3</v>
      </c>
    </row>
    <row r="8618" spans="6:7" x14ac:dyDescent="0.25">
      <c r="F8618">
        <v>8615</v>
      </c>
      <c r="G8618">
        <f ca="1">_xlfn.NORM.INV(RAND(),$M$7,$M$8)</f>
        <v>-3.3788035706608592E-2</v>
      </c>
    </row>
    <row r="8619" spans="6:7" x14ac:dyDescent="0.25">
      <c r="F8619">
        <v>8616</v>
      </c>
      <c r="G8619">
        <f ca="1">_xlfn.NORM.INV(RAND(),$M$7,$M$8)</f>
        <v>2.9391483688605145E-2</v>
      </c>
    </row>
    <row r="8620" spans="6:7" x14ac:dyDescent="0.25">
      <c r="F8620">
        <v>8617</v>
      </c>
      <c r="G8620">
        <f ca="1">_xlfn.NORM.INV(RAND(),$M$7,$M$8)</f>
        <v>-6.5217684913329022E-2</v>
      </c>
    </row>
    <row r="8621" spans="6:7" x14ac:dyDescent="0.25">
      <c r="F8621">
        <v>8618</v>
      </c>
      <c r="G8621">
        <f ca="1">_xlfn.NORM.INV(RAND(),$M$7,$M$8)</f>
        <v>5.1482428219365717E-3</v>
      </c>
    </row>
    <row r="8622" spans="6:7" x14ac:dyDescent="0.25">
      <c r="F8622">
        <v>8619</v>
      </c>
      <c r="G8622">
        <f ca="1">_xlfn.NORM.INV(RAND(),$M$7,$M$8)</f>
        <v>-8.781790232298416E-3</v>
      </c>
    </row>
    <row r="8623" spans="6:7" x14ac:dyDescent="0.25">
      <c r="F8623">
        <v>8620</v>
      </c>
      <c r="G8623">
        <f ca="1">_xlfn.NORM.INV(RAND(),$M$7,$M$8)</f>
        <v>9.6533183826936157E-3</v>
      </c>
    </row>
    <row r="8624" spans="6:7" x14ac:dyDescent="0.25">
      <c r="F8624">
        <v>8621</v>
      </c>
      <c r="G8624">
        <f ca="1">_xlfn.NORM.INV(RAND(),$M$7,$M$8)</f>
        <v>-1.0732317425839031E-2</v>
      </c>
    </row>
    <row r="8625" spans="6:7" x14ac:dyDescent="0.25">
      <c r="F8625">
        <v>8622</v>
      </c>
      <c r="G8625">
        <f ca="1">_xlfn.NORM.INV(RAND(),$M$7,$M$8)</f>
        <v>-3.8430024813616852E-3</v>
      </c>
    </row>
    <row r="8626" spans="6:7" x14ac:dyDescent="0.25">
      <c r="F8626">
        <v>8623</v>
      </c>
      <c r="G8626">
        <f ca="1">_xlfn.NORM.INV(RAND(),$M$7,$M$8)</f>
        <v>5.314651774487206E-4</v>
      </c>
    </row>
    <row r="8627" spans="6:7" x14ac:dyDescent="0.25">
      <c r="F8627">
        <v>8624</v>
      </c>
      <c r="G8627">
        <f ca="1">_xlfn.NORM.INV(RAND(),$M$7,$M$8)</f>
        <v>1.1774026213442375E-2</v>
      </c>
    </row>
    <row r="8628" spans="6:7" x14ac:dyDescent="0.25">
      <c r="F8628">
        <v>8625</v>
      </c>
      <c r="G8628">
        <f ca="1">_xlfn.NORM.INV(RAND(),$M$7,$M$8)</f>
        <v>-1.5000586240729436E-2</v>
      </c>
    </row>
    <row r="8629" spans="6:7" x14ac:dyDescent="0.25">
      <c r="F8629">
        <v>8626</v>
      </c>
      <c r="G8629">
        <f ca="1">_xlfn.NORM.INV(RAND(),$M$7,$M$8)</f>
        <v>1.0848148023292989E-2</v>
      </c>
    </row>
    <row r="8630" spans="6:7" x14ac:dyDescent="0.25">
      <c r="F8630">
        <v>8627</v>
      </c>
      <c r="G8630">
        <f ca="1">_xlfn.NORM.INV(RAND(),$M$7,$M$8)</f>
        <v>8.8184870038259481E-3</v>
      </c>
    </row>
    <row r="8631" spans="6:7" x14ac:dyDescent="0.25">
      <c r="F8631">
        <v>8628</v>
      </c>
      <c r="G8631">
        <f ca="1">_xlfn.NORM.INV(RAND(),$M$7,$M$8)</f>
        <v>4.9433597572330935E-3</v>
      </c>
    </row>
    <row r="8632" spans="6:7" x14ac:dyDescent="0.25">
      <c r="F8632">
        <v>8629</v>
      </c>
      <c r="G8632">
        <f ca="1">_xlfn.NORM.INV(RAND(),$M$7,$M$8)</f>
        <v>-5.8520766929323013E-3</v>
      </c>
    </row>
    <row r="8633" spans="6:7" x14ac:dyDescent="0.25">
      <c r="F8633">
        <v>8630</v>
      </c>
      <c r="G8633">
        <f ca="1">_xlfn.NORM.INV(RAND(),$M$7,$M$8)</f>
        <v>-2.126774939594479E-2</v>
      </c>
    </row>
    <row r="8634" spans="6:7" x14ac:dyDescent="0.25">
      <c r="F8634">
        <v>8631</v>
      </c>
      <c r="G8634">
        <f ca="1">_xlfn.NORM.INV(RAND(),$M$7,$M$8)</f>
        <v>2.3675022276668192E-2</v>
      </c>
    </row>
    <row r="8635" spans="6:7" x14ac:dyDescent="0.25">
      <c r="F8635">
        <v>8632</v>
      </c>
      <c r="G8635">
        <f ca="1">_xlfn.NORM.INV(RAND(),$M$7,$M$8)</f>
        <v>-3.7293432395565977E-2</v>
      </c>
    </row>
    <row r="8636" spans="6:7" x14ac:dyDescent="0.25">
      <c r="F8636">
        <v>8633</v>
      </c>
      <c r="G8636">
        <f ca="1">_xlfn.NORM.INV(RAND(),$M$7,$M$8)</f>
        <v>2.9204927105608666E-2</v>
      </c>
    </row>
    <row r="8637" spans="6:7" x14ac:dyDescent="0.25">
      <c r="F8637">
        <v>8634</v>
      </c>
      <c r="G8637">
        <f ca="1">_xlfn.NORM.INV(RAND(),$M$7,$M$8)</f>
        <v>3.8247652600558617E-2</v>
      </c>
    </row>
    <row r="8638" spans="6:7" x14ac:dyDescent="0.25">
      <c r="F8638">
        <v>8635</v>
      </c>
      <c r="G8638">
        <f ca="1">_xlfn.NORM.INV(RAND(),$M$7,$M$8)</f>
        <v>-1.3148543327152045E-2</v>
      </c>
    </row>
    <row r="8639" spans="6:7" x14ac:dyDescent="0.25">
      <c r="F8639">
        <v>8636</v>
      </c>
      <c r="G8639">
        <f ca="1">_xlfn.NORM.INV(RAND(),$M$7,$M$8)</f>
        <v>2.4852719008260526E-2</v>
      </c>
    </row>
    <row r="8640" spans="6:7" x14ac:dyDescent="0.25">
      <c r="F8640">
        <v>8637</v>
      </c>
      <c r="G8640">
        <f ca="1">_xlfn.NORM.INV(RAND(),$M$7,$M$8)</f>
        <v>1.7585500359860163E-2</v>
      </c>
    </row>
    <row r="8641" spans="6:7" x14ac:dyDescent="0.25">
      <c r="F8641">
        <v>8638</v>
      </c>
      <c r="G8641">
        <f ca="1">_xlfn.NORM.INV(RAND(),$M$7,$M$8)</f>
        <v>1.2929827780882696E-3</v>
      </c>
    </row>
    <row r="8642" spans="6:7" x14ac:dyDescent="0.25">
      <c r="F8642">
        <v>8639</v>
      </c>
      <c r="G8642">
        <f ca="1">_xlfn.NORM.INV(RAND(),$M$7,$M$8)</f>
        <v>-1.5170996871234407E-3</v>
      </c>
    </row>
    <row r="8643" spans="6:7" x14ac:dyDescent="0.25">
      <c r="F8643">
        <v>8640</v>
      </c>
      <c r="G8643">
        <f ca="1">_xlfn.NORM.INV(RAND(),$M$7,$M$8)</f>
        <v>1.1302889929780511E-2</v>
      </c>
    </row>
    <row r="8644" spans="6:7" x14ac:dyDescent="0.25">
      <c r="F8644">
        <v>8641</v>
      </c>
      <c r="G8644">
        <f ca="1">_xlfn.NORM.INV(RAND(),$M$7,$M$8)</f>
        <v>2.6484902176362235E-2</v>
      </c>
    </row>
    <row r="8645" spans="6:7" x14ac:dyDescent="0.25">
      <c r="F8645">
        <v>8642</v>
      </c>
      <c r="G8645">
        <f ca="1">_xlfn.NORM.INV(RAND(),$M$7,$M$8)</f>
        <v>2.8164810286941212E-2</v>
      </c>
    </row>
    <row r="8646" spans="6:7" x14ac:dyDescent="0.25">
      <c r="F8646">
        <v>8643</v>
      </c>
      <c r="G8646">
        <f ca="1">_xlfn.NORM.INV(RAND(),$M$7,$M$8)</f>
        <v>-1.8959299857248143E-2</v>
      </c>
    </row>
    <row r="8647" spans="6:7" x14ac:dyDescent="0.25">
      <c r="F8647">
        <v>8644</v>
      </c>
      <c r="G8647">
        <f ca="1">_xlfn.NORM.INV(RAND(),$M$7,$M$8)</f>
        <v>9.7227415256852055E-3</v>
      </c>
    </row>
    <row r="8648" spans="6:7" x14ac:dyDescent="0.25">
      <c r="F8648">
        <v>8645</v>
      </c>
      <c r="G8648">
        <f ca="1">_xlfn.NORM.INV(RAND(),$M$7,$M$8)</f>
        <v>1.591887103928499E-2</v>
      </c>
    </row>
    <row r="8649" spans="6:7" x14ac:dyDescent="0.25">
      <c r="F8649">
        <v>8646</v>
      </c>
      <c r="G8649">
        <f ca="1">_xlfn.NORM.INV(RAND(),$M$7,$M$8)</f>
        <v>3.7088626665262692E-2</v>
      </c>
    </row>
    <row r="8650" spans="6:7" x14ac:dyDescent="0.25">
      <c r="F8650">
        <v>8647</v>
      </c>
      <c r="G8650">
        <f ca="1">_xlfn.NORM.INV(RAND(),$M$7,$M$8)</f>
        <v>1.187576770169667E-2</v>
      </c>
    </row>
    <row r="8651" spans="6:7" x14ac:dyDescent="0.25">
      <c r="F8651">
        <v>8648</v>
      </c>
      <c r="G8651">
        <f ca="1">_xlfn.NORM.INV(RAND(),$M$7,$M$8)</f>
        <v>1.6621445364726182E-2</v>
      </c>
    </row>
    <row r="8652" spans="6:7" x14ac:dyDescent="0.25">
      <c r="F8652">
        <v>8649</v>
      </c>
      <c r="G8652">
        <f ca="1">_xlfn.NORM.INV(RAND(),$M$7,$M$8)</f>
        <v>1.3966120925616584E-2</v>
      </c>
    </row>
    <row r="8653" spans="6:7" x14ac:dyDescent="0.25">
      <c r="F8653">
        <v>8650</v>
      </c>
      <c r="G8653">
        <f ca="1">_xlfn.NORM.INV(RAND(),$M$7,$M$8)</f>
        <v>5.519221250546864E-3</v>
      </c>
    </row>
    <row r="8654" spans="6:7" x14ac:dyDescent="0.25">
      <c r="F8654">
        <v>8651</v>
      </c>
      <c r="G8654">
        <f ca="1">_xlfn.NORM.INV(RAND(),$M$7,$M$8)</f>
        <v>2.4712062742192828E-2</v>
      </c>
    </row>
    <row r="8655" spans="6:7" x14ac:dyDescent="0.25">
      <c r="F8655">
        <v>8652</v>
      </c>
      <c r="G8655">
        <f ca="1">_xlfn.NORM.INV(RAND(),$M$7,$M$8)</f>
        <v>-2.0389867079686499E-2</v>
      </c>
    </row>
    <row r="8656" spans="6:7" x14ac:dyDescent="0.25">
      <c r="F8656">
        <v>8653</v>
      </c>
      <c r="G8656">
        <f ca="1">_xlfn.NORM.INV(RAND(),$M$7,$M$8)</f>
        <v>-2.6872045828858646E-2</v>
      </c>
    </row>
    <row r="8657" spans="6:7" x14ac:dyDescent="0.25">
      <c r="F8657">
        <v>8654</v>
      </c>
      <c r="G8657">
        <f ca="1">_xlfn.NORM.INV(RAND(),$M$7,$M$8)</f>
        <v>-8.0357061021412452E-3</v>
      </c>
    </row>
    <row r="8658" spans="6:7" x14ac:dyDescent="0.25">
      <c r="F8658">
        <v>8655</v>
      </c>
      <c r="G8658">
        <f ca="1">_xlfn.NORM.INV(RAND(),$M$7,$M$8)</f>
        <v>1.402958096668047E-2</v>
      </c>
    </row>
    <row r="8659" spans="6:7" x14ac:dyDescent="0.25">
      <c r="F8659">
        <v>8656</v>
      </c>
      <c r="G8659">
        <f ca="1">_xlfn.NORM.INV(RAND(),$M$7,$M$8)</f>
        <v>3.6649032234657812E-2</v>
      </c>
    </row>
    <row r="8660" spans="6:7" x14ac:dyDescent="0.25">
      <c r="F8660">
        <v>8657</v>
      </c>
      <c r="G8660">
        <f ca="1">_xlfn.NORM.INV(RAND(),$M$7,$M$8)</f>
        <v>-2.6808072660919565E-3</v>
      </c>
    </row>
    <row r="8661" spans="6:7" x14ac:dyDescent="0.25">
      <c r="F8661">
        <v>8658</v>
      </c>
      <c r="G8661">
        <f ca="1">_xlfn.NORM.INV(RAND(),$M$7,$M$8)</f>
        <v>2.2228401779023341E-2</v>
      </c>
    </row>
    <row r="8662" spans="6:7" x14ac:dyDescent="0.25">
      <c r="F8662">
        <v>8659</v>
      </c>
      <c r="G8662">
        <f ca="1">_xlfn.NORM.INV(RAND(),$M$7,$M$8)</f>
        <v>-3.2777527723812178E-2</v>
      </c>
    </row>
    <row r="8663" spans="6:7" x14ac:dyDescent="0.25">
      <c r="F8663">
        <v>8660</v>
      </c>
      <c r="G8663">
        <f ca="1">_xlfn.NORM.INV(RAND(),$M$7,$M$8)</f>
        <v>4.2582865347539522E-2</v>
      </c>
    </row>
    <row r="8664" spans="6:7" x14ac:dyDescent="0.25">
      <c r="F8664">
        <v>8661</v>
      </c>
      <c r="G8664">
        <f ca="1">_xlfn.NORM.INV(RAND(),$M$7,$M$8)</f>
        <v>-4.1351937185605207E-3</v>
      </c>
    </row>
    <row r="8665" spans="6:7" x14ac:dyDescent="0.25">
      <c r="F8665">
        <v>8662</v>
      </c>
      <c r="G8665">
        <f ca="1">_xlfn.NORM.INV(RAND(),$M$7,$M$8)</f>
        <v>4.0767187765789699E-2</v>
      </c>
    </row>
    <row r="8666" spans="6:7" x14ac:dyDescent="0.25">
      <c r="F8666">
        <v>8663</v>
      </c>
      <c r="G8666">
        <f ca="1">_xlfn.NORM.INV(RAND(),$M$7,$M$8)</f>
        <v>2.4498986715098859E-2</v>
      </c>
    </row>
    <row r="8667" spans="6:7" x14ac:dyDescent="0.25">
      <c r="F8667">
        <v>8664</v>
      </c>
      <c r="G8667">
        <f ca="1">_xlfn.NORM.INV(RAND(),$M$7,$M$8)</f>
        <v>-8.6099279447179339E-3</v>
      </c>
    </row>
    <row r="8668" spans="6:7" x14ac:dyDescent="0.25">
      <c r="F8668">
        <v>8665</v>
      </c>
      <c r="G8668">
        <f ca="1">_xlfn.NORM.INV(RAND(),$M$7,$M$8)</f>
        <v>3.3364242811341017E-2</v>
      </c>
    </row>
    <row r="8669" spans="6:7" x14ac:dyDescent="0.25">
      <c r="F8669">
        <v>8666</v>
      </c>
      <c r="G8669">
        <f ca="1">_xlfn.NORM.INV(RAND(),$M$7,$M$8)</f>
        <v>2.9999755988278511E-2</v>
      </c>
    </row>
    <row r="8670" spans="6:7" x14ac:dyDescent="0.25">
      <c r="F8670">
        <v>8667</v>
      </c>
      <c r="G8670">
        <f ca="1">_xlfn.NORM.INV(RAND(),$M$7,$M$8)</f>
        <v>6.6807403894469115E-3</v>
      </c>
    </row>
    <row r="8671" spans="6:7" x14ac:dyDescent="0.25">
      <c r="F8671">
        <v>8668</v>
      </c>
      <c r="G8671">
        <f ca="1">_xlfn.NORM.INV(RAND(),$M$7,$M$8)</f>
        <v>-6.1817074170305089E-3</v>
      </c>
    </row>
    <row r="8672" spans="6:7" x14ac:dyDescent="0.25">
      <c r="F8672">
        <v>8669</v>
      </c>
      <c r="G8672">
        <f ca="1">_xlfn.NORM.INV(RAND(),$M$7,$M$8)</f>
        <v>-3.0317354742385613E-2</v>
      </c>
    </row>
    <row r="8673" spans="6:7" x14ac:dyDescent="0.25">
      <c r="F8673">
        <v>8670</v>
      </c>
      <c r="G8673">
        <f ca="1">_xlfn.NORM.INV(RAND(),$M$7,$M$8)</f>
        <v>-2.9650750736237696E-2</v>
      </c>
    </row>
    <row r="8674" spans="6:7" x14ac:dyDescent="0.25">
      <c r="F8674">
        <v>8671</v>
      </c>
      <c r="G8674">
        <f ca="1">_xlfn.NORM.INV(RAND(),$M$7,$M$8)</f>
        <v>-3.2917941408154586E-2</v>
      </c>
    </row>
    <row r="8675" spans="6:7" x14ac:dyDescent="0.25">
      <c r="F8675">
        <v>8672</v>
      </c>
      <c r="G8675">
        <f ca="1">_xlfn.NORM.INV(RAND(),$M$7,$M$8)</f>
        <v>-5.7618881077966724E-3</v>
      </c>
    </row>
    <row r="8676" spans="6:7" x14ac:dyDescent="0.25">
      <c r="F8676">
        <v>8673</v>
      </c>
      <c r="G8676">
        <f ca="1">_xlfn.NORM.INV(RAND(),$M$7,$M$8)</f>
        <v>-2.4074778867843368E-4</v>
      </c>
    </row>
    <row r="8677" spans="6:7" x14ac:dyDescent="0.25">
      <c r="F8677">
        <v>8674</v>
      </c>
      <c r="G8677">
        <f ca="1">_xlfn.NORM.INV(RAND(),$M$7,$M$8)</f>
        <v>1.5546958729109429E-2</v>
      </c>
    </row>
    <row r="8678" spans="6:7" x14ac:dyDescent="0.25">
      <c r="F8678">
        <v>8675</v>
      </c>
      <c r="G8678">
        <f ca="1">_xlfn.NORM.INV(RAND(),$M$7,$M$8)</f>
        <v>2.6551936133511252E-3</v>
      </c>
    </row>
    <row r="8679" spans="6:7" x14ac:dyDescent="0.25">
      <c r="F8679">
        <v>8676</v>
      </c>
      <c r="G8679">
        <f ca="1">_xlfn.NORM.INV(RAND(),$M$7,$M$8)</f>
        <v>-3.2504940372734339E-2</v>
      </c>
    </row>
    <row r="8680" spans="6:7" x14ac:dyDescent="0.25">
      <c r="F8680">
        <v>8677</v>
      </c>
      <c r="G8680">
        <f ca="1">_xlfn.NORM.INV(RAND(),$M$7,$M$8)</f>
        <v>9.5711503783740617E-3</v>
      </c>
    </row>
    <row r="8681" spans="6:7" x14ac:dyDescent="0.25">
      <c r="F8681">
        <v>8678</v>
      </c>
      <c r="G8681">
        <f ca="1">_xlfn.NORM.INV(RAND(),$M$7,$M$8)</f>
        <v>-3.4476089861226471E-3</v>
      </c>
    </row>
    <row r="8682" spans="6:7" x14ac:dyDescent="0.25">
      <c r="F8682">
        <v>8679</v>
      </c>
      <c r="G8682">
        <f ca="1">_xlfn.NORM.INV(RAND(),$M$7,$M$8)</f>
        <v>2.8196490746784566E-2</v>
      </c>
    </row>
    <row r="8683" spans="6:7" x14ac:dyDescent="0.25">
      <c r="F8683">
        <v>8680</v>
      </c>
      <c r="G8683">
        <f ca="1">_xlfn.NORM.INV(RAND(),$M$7,$M$8)</f>
        <v>-1.486354604731591E-2</v>
      </c>
    </row>
    <row r="8684" spans="6:7" x14ac:dyDescent="0.25">
      <c r="F8684">
        <v>8681</v>
      </c>
      <c r="G8684">
        <f ca="1">_xlfn.NORM.INV(RAND(),$M$7,$M$8)</f>
        <v>-4.9114073894348964E-2</v>
      </c>
    </row>
    <row r="8685" spans="6:7" x14ac:dyDescent="0.25">
      <c r="F8685">
        <v>8682</v>
      </c>
      <c r="G8685">
        <f ca="1">_xlfn.NORM.INV(RAND(),$M$7,$M$8)</f>
        <v>2.2562207616709459E-2</v>
      </c>
    </row>
    <row r="8686" spans="6:7" x14ac:dyDescent="0.25">
      <c r="F8686">
        <v>8683</v>
      </c>
      <c r="G8686">
        <f ca="1">_xlfn.NORM.INV(RAND(),$M$7,$M$8)</f>
        <v>-1.0274970793532049E-2</v>
      </c>
    </row>
    <row r="8687" spans="6:7" x14ac:dyDescent="0.25">
      <c r="F8687">
        <v>8684</v>
      </c>
      <c r="G8687">
        <f ca="1">_xlfn.NORM.INV(RAND(),$M$7,$M$8)</f>
        <v>4.032920000997791E-3</v>
      </c>
    </row>
    <row r="8688" spans="6:7" x14ac:dyDescent="0.25">
      <c r="F8688">
        <v>8685</v>
      </c>
      <c r="G8688">
        <f ca="1">_xlfn.NORM.INV(RAND(),$M$7,$M$8)</f>
        <v>-5.2986886961707818E-3</v>
      </c>
    </row>
    <row r="8689" spans="6:7" x14ac:dyDescent="0.25">
      <c r="F8689">
        <v>8686</v>
      </c>
      <c r="G8689">
        <f ca="1">_xlfn.NORM.INV(RAND(),$M$7,$M$8)</f>
        <v>1.375259429394458E-2</v>
      </c>
    </row>
    <row r="8690" spans="6:7" x14ac:dyDescent="0.25">
      <c r="F8690">
        <v>8687</v>
      </c>
      <c r="G8690">
        <f ca="1">_xlfn.NORM.INV(RAND(),$M$7,$M$8)</f>
        <v>-2.1625384788087773E-2</v>
      </c>
    </row>
    <row r="8691" spans="6:7" x14ac:dyDescent="0.25">
      <c r="F8691">
        <v>8688</v>
      </c>
      <c r="G8691">
        <f ca="1">_xlfn.NORM.INV(RAND(),$M$7,$M$8)</f>
        <v>-2.8453540670459607E-2</v>
      </c>
    </row>
    <row r="8692" spans="6:7" x14ac:dyDescent="0.25">
      <c r="F8692">
        <v>8689</v>
      </c>
      <c r="G8692">
        <f ca="1">_xlfn.NORM.INV(RAND(),$M$7,$M$8)</f>
        <v>2.949873880254575E-4</v>
      </c>
    </row>
    <row r="8693" spans="6:7" x14ac:dyDescent="0.25">
      <c r="F8693">
        <v>8690</v>
      </c>
      <c r="G8693">
        <f ca="1">_xlfn.NORM.INV(RAND(),$M$7,$M$8)</f>
        <v>3.1434932001002986E-3</v>
      </c>
    </row>
    <row r="8694" spans="6:7" x14ac:dyDescent="0.25">
      <c r="F8694">
        <v>8691</v>
      </c>
      <c r="G8694">
        <f ca="1">_xlfn.NORM.INV(RAND(),$M$7,$M$8)</f>
        <v>-1.1417664890687001E-2</v>
      </c>
    </row>
    <row r="8695" spans="6:7" x14ac:dyDescent="0.25">
      <c r="F8695">
        <v>8692</v>
      </c>
      <c r="G8695">
        <f ca="1">_xlfn.NORM.INV(RAND(),$M$7,$M$8)</f>
        <v>1.7506325716224368E-2</v>
      </c>
    </row>
    <row r="8696" spans="6:7" x14ac:dyDescent="0.25">
      <c r="F8696">
        <v>8693</v>
      </c>
      <c r="G8696">
        <f ca="1">_xlfn.NORM.INV(RAND(),$M$7,$M$8)</f>
        <v>-2.1139162831823061E-2</v>
      </c>
    </row>
    <row r="8697" spans="6:7" x14ac:dyDescent="0.25">
      <c r="F8697">
        <v>8694</v>
      </c>
      <c r="G8697">
        <f ca="1">_xlfn.NORM.INV(RAND(),$M$7,$M$8)</f>
        <v>4.4386548450237526E-2</v>
      </c>
    </row>
    <row r="8698" spans="6:7" x14ac:dyDescent="0.25">
      <c r="F8698">
        <v>8695</v>
      </c>
      <c r="G8698">
        <f ca="1">_xlfn.NORM.INV(RAND(),$M$7,$M$8)</f>
        <v>-1.8511138101961977E-2</v>
      </c>
    </row>
    <row r="8699" spans="6:7" x14ac:dyDescent="0.25">
      <c r="F8699">
        <v>8696</v>
      </c>
      <c r="G8699">
        <f ca="1">_xlfn.NORM.INV(RAND(),$M$7,$M$8)</f>
        <v>1.0589910646367532E-2</v>
      </c>
    </row>
    <row r="8700" spans="6:7" x14ac:dyDescent="0.25">
      <c r="F8700">
        <v>8697</v>
      </c>
      <c r="G8700">
        <f ca="1">_xlfn.NORM.INV(RAND(),$M$7,$M$8)</f>
        <v>1.22447116835927E-2</v>
      </c>
    </row>
    <row r="8701" spans="6:7" x14ac:dyDescent="0.25">
      <c r="F8701">
        <v>8698</v>
      </c>
      <c r="G8701">
        <f ca="1">_xlfn.NORM.INV(RAND(),$M$7,$M$8)</f>
        <v>9.2965615883825355E-3</v>
      </c>
    </row>
    <row r="8702" spans="6:7" x14ac:dyDescent="0.25">
      <c r="F8702">
        <v>8699</v>
      </c>
      <c r="G8702">
        <f ca="1">_xlfn.NORM.INV(RAND(),$M$7,$M$8)</f>
        <v>-2.8720346950179616E-2</v>
      </c>
    </row>
    <row r="8703" spans="6:7" x14ac:dyDescent="0.25">
      <c r="F8703">
        <v>8700</v>
      </c>
      <c r="G8703">
        <f ca="1">_xlfn.NORM.INV(RAND(),$M$7,$M$8)</f>
        <v>2.9649484130035323E-2</v>
      </c>
    </row>
    <row r="8704" spans="6:7" x14ac:dyDescent="0.25">
      <c r="F8704">
        <v>8701</v>
      </c>
      <c r="G8704">
        <f ca="1">_xlfn.NORM.INV(RAND(),$M$7,$M$8)</f>
        <v>9.1054326637827442E-3</v>
      </c>
    </row>
    <row r="8705" spans="6:7" x14ac:dyDescent="0.25">
      <c r="F8705">
        <v>8702</v>
      </c>
      <c r="G8705">
        <f ca="1">_xlfn.NORM.INV(RAND(),$M$7,$M$8)</f>
        <v>1.5111369771759616E-2</v>
      </c>
    </row>
    <row r="8706" spans="6:7" x14ac:dyDescent="0.25">
      <c r="F8706">
        <v>8703</v>
      </c>
      <c r="G8706">
        <f ca="1">_xlfn.NORM.INV(RAND(),$M$7,$M$8)</f>
        <v>-6.0282591302456209E-3</v>
      </c>
    </row>
    <row r="8707" spans="6:7" x14ac:dyDescent="0.25">
      <c r="F8707">
        <v>8704</v>
      </c>
      <c r="G8707">
        <f ca="1">_xlfn.NORM.INV(RAND(),$M$7,$M$8)</f>
        <v>-1.3100719836831859E-2</v>
      </c>
    </row>
    <row r="8708" spans="6:7" x14ac:dyDescent="0.25">
      <c r="F8708">
        <v>8705</v>
      </c>
      <c r="G8708">
        <f ca="1">_xlfn.NORM.INV(RAND(),$M$7,$M$8)</f>
        <v>6.7406906281339632E-4</v>
      </c>
    </row>
    <row r="8709" spans="6:7" x14ac:dyDescent="0.25">
      <c r="F8709">
        <v>8706</v>
      </c>
      <c r="G8709">
        <f ca="1">_xlfn.NORM.INV(RAND(),$M$7,$M$8)</f>
        <v>1.1255161950939336E-2</v>
      </c>
    </row>
    <row r="8710" spans="6:7" x14ac:dyDescent="0.25">
      <c r="F8710">
        <v>8707</v>
      </c>
      <c r="G8710">
        <f ca="1">_xlfn.NORM.INV(RAND(),$M$7,$M$8)</f>
        <v>2.8461146621937255E-3</v>
      </c>
    </row>
    <row r="8711" spans="6:7" x14ac:dyDescent="0.25">
      <c r="F8711">
        <v>8708</v>
      </c>
      <c r="G8711">
        <f ca="1">_xlfn.NORM.INV(RAND(),$M$7,$M$8)</f>
        <v>-4.5990805296086117E-2</v>
      </c>
    </row>
    <row r="8712" spans="6:7" x14ac:dyDescent="0.25">
      <c r="F8712">
        <v>8709</v>
      </c>
      <c r="G8712">
        <f ca="1">_xlfn.NORM.INV(RAND(),$M$7,$M$8)</f>
        <v>1.17943034303315E-3</v>
      </c>
    </row>
    <row r="8713" spans="6:7" x14ac:dyDescent="0.25">
      <c r="F8713">
        <v>8710</v>
      </c>
      <c r="G8713">
        <f ca="1">_xlfn.NORM.INV(RAND(),$M$7,$M$8)</f>
        <v>-1.2386825432283406E-2</v>
      </c>
    </row>
    <row r="8714" spans="6:7" x14ac:dyDescent="0.25">
      <c r="F8714">
        <v>8711</v>
      </c>
      <c r="G8714">
        <f ca="1">_xlfn.NORM.INV(RAND(),$M$7,$M$8)</f>
        <v>-6.7235238220743126E-4</v>
      </c>
    </row>
    <row r="8715" spans="6:7" x14ac:dyDescent="0.25">
      <c r="F8715">
        <v>8712</v>
      </c>
      <c r="G8715">
        <f ca="1">_xlfn.NORM.INV(RAND(),$M$7,$M$8)</f>
        <v>1.8154616225669825E-2</v>
      </c>
    </row>
    <row r="8716" spans="6:7" x14ac:dyDescent="0.25">
      <c r="F8716">
        <v>8713</v>
      </c>
      <c r="G8716">
        <f ca="1">_xlfn.NORM.INV(RAND(),$M$7,$M$8)</f>
        <v>-1.0783101344508142E-2</v>
      </c>
    </row>
    <row r="8717" spans="6:7" x14ac:dyDescent="0.25">
      <c r="F8717">
        <v>8714</v>
      </c>
      <c r="G8717">
        <f ca="1">_xlfn.NORM.INV(RAND(),$M$7,$M$8)</f>
        <v>3.1593510886065226E-2</v>
      </c>
    </row>
    <row r="8718" spans="6:7" x14ac:dyDescent="0.25">
      <c r="F8718">
        <v>8715</v>
      </c>
      <c r="G8718">
        <f ca="1">_xlfn.NORM.INV(RAND(),$M$7,$M$8)</f>
        <v>6.8450760394003288E-3</v>
      </c>
    </row>
    <row r="8719" spans="6:7" x14ac:dyDescent="0.25">
      <c r="F8719">
        <v>8716</v>
      </c>
      <c r="G8719">
        <f ca="1">_xlfn.NORM.INV(RAND(),$M$7,$M$8)</f>
        <v>4.5878220720390874E-3</v>
      </c>
    </row>
    <row r="8720" spans="6:7" x14ac:dyDescent="0.25">
      <c r="F8720">
        <v>8717</v>
      </c>
      <c r="G8720">
        <f ca="1">_xlfn.NORM.INV(RAND(),$M$7,$M$8)</f>
        <v>-1.57976422437026E-2</v>
      </c>
    </row>
    <row r="8721" spans="6:7" x14ac:dyDescent="0.25">
      <c r="F8721">
        <v>8718</v>
      </c>
      <c r="G8721">
        <f ca="1">_xlfn.NORM.INV(RAND(),$M$7,$M$8)</f>
        <v>-4.2487348501433833E-3</v>
      </c>
    </row>
    <row r="8722" spans="6:7" x14ac:dyDescent="0.25">
      <c r="F8722">
        <v>8719</v>
      </c>
      <c r="G8722">
        <f ca="1">_xlfn.NORM.INV(RAND(),$M$7,$M$8)</f>
        <v>3.173936494342772E-3</v>
      </c>
    </row>
    <row r="8723" spans="6:7" x14ac:dyDescent="0.25">
      <c r="F8723">
        <v>8720</v>
      </c>
      <c r="G8723">
        <f ca="1">_xlfn.NORM.INV(RAND(),$M$7,$M$8)</f>
        <v>1.881295835250266E-2</v>
      </c>
    </row>
    <row r="8724" spans="6:7" x14ac:dyDescent="0.25">
      <c r="F8724">
        <v>8721</v>
      </c>
      <c r="G8724">
        <f ca="1">_xlfn.NORM.INV(RAND(),$M$7,$M$8)</f>
        <v>1.4230963129912714E-3</v>
      </c>
    </row>
    <row r="8725" spans="6:7" x14ac:dyDescent="0.25">
      <c r="F8725">
        <v>8722</v>
      </c>
      <c r="G8725">
        <f ca="1">_xlfn.NORM.INV(RAND(),$M$7,$M$8)</f>
        <v>-3.8499413352031046E-2</v>
      </c>
    </row>
    <row r="8726" spans="6:7" x14ac:dyDescent="0.25">
      <c r="F8726">
        <v>8723</v>
      </c>
      <c r="G8726">
        <f ca="1">_xlfn.NORM.INV(RAND(),$M$7,$M$8)</f>
        <v>-2.5067925803566218E-2</v>
      </c>
    </row>
    <row r="8727" spans="6:7" x14ac:dyDescent="0.25">
      <c r="F8727">
        <v>8724</v>
      </c>
      <c r="G8727">
        <f ca="1">_xlfn.NORM.INV(RAND(),$M$7,$M$8)</f>
        <v>-5.6308470837625906E-4</v>
      </c>
    </row>
    <row r="8728" spans="6:7" x14ac:dyDescent="0.25">
      <c r="F8728">
        <v>8725</v>
      </c>
      <c r="G8728">
        <f ca="1">_xlfn.NORM.INV(RAND(),$M$7,$M$8)</f>
        <v>-2.6211497447452554E-2</v>
      </c>
    </row>
    <row r="8729" spans="6:7" x14ac:dyDescent="0.25">
      <c r="F8729">
        <v>8726</v>
      </c>
      <c r="G8729">
        <f ca="1">_xlfn.NORM.INV(RAND(),$M$7,$M$8)</f>
        <v>9.9065841779790529E-3</v>
      </c>
    </row>
    <row r="8730" spans="6:7" x14ac:dyDescent="0.25">
      <c r="F8730">
        <v>8727</v>
      </c>
      <c r="G8730">
        <f ca="1">_xlfn.NORM.INV(RAND(),$M$7,$M$8)</f>
        <v>9.7921435205368338E-3</v>
      </c>
    </row>
    <row r="8731" spans="6:7" x14ac:dyDescent="0.25">
      <c r="F8731">
        <v>8728</v>
      </c>
      <c r="G8731">
        <f ca="1">_xlfn.NORM.INV(RAND(),$M$7,$M$8)</f>
        <v>-8.3676328782179253E-3</v>
      </c>
    </row>
    <row r="8732" spans="6:7" x14ac:dyDescent="0.25">
      <c r="F8732">
        <v>8729</v>
      </c>
      <c r="G8732">
        <f ca="1">_xlfn.NORM.INV(RAND(),$M$7,$M$8)</f>
        <v>2.1533690505086068E-2</v>
      </c>
    </row>
    <row r="8733" spans="6:7" x14ac:dyDescent="0.25">
      <c r="F8733">
        <v>8730</v>
      </c>
      <c r="G8733">
        <f ca="1">_xlfn.NORM.INV(RAND(),$M$7,$M$8)</f>
        <v>-2.3710471826791223E-2</v>
      </c>
    </row>
    <row r="8734" spans="6:7" x14ac:dyDescent="0.25">
      <c r="F8734">
        <v>8731</v>
      </c>
      <c r="G8734">
        <f ca="1">_xlfn.NORM.INV(RAND(),$M$7,$M$8)</f>
        <v>-9.7793441266859227E-3</v>
      </c>
    </row>
    <row r="8735" spans="6:7" x14ac:dyDescent="0.25">
      <c r="F8735">
        <v>8732</v>
      </c>
      <c r="G8735">
        <f ca="1">_xlfn.NORM.INV(RAND(),$M$7,$M$8)</f>
        <v>-1.4958067300919083E-2</v>
      </c>
    </row>
    <row r="8736" spans="6:7" x14ac:dyDescent="0.25">
      <c r="F8736">
        <v>8733</v>
      </c>
      <c r="G8736">
        <f ca="1">_xlfn.NORM.INV(RAND(),$M$7,$M$8)</f>
        <v>-3.6106616898468093E-2</v>
      </c>
    </row>
    <row r="8737" spans="6:7" x14ac:dyDescent="0.25">
      <c r="F8737">
        <v>8734</v>
      </c>
      <c r="G8737">
        <f ca="1">_xlfn.NORM.INV(RAND(),$M$7,$M$8)</f>
        <v>1.9799105294311971E-2</v>
      </c>
    </row>
    <row r="8738" spans="6:7" x14ac:dyDescent="0.25">
      <c r="F8738">
        <v>8735</v>
      </c>
      <c r="G8738">
        <f ca="1">_xlfn.NORM.INV(RAND(),$M$7,$M$8)</f>
        <v>1.1972810053450498E-2</v>
      </c>
    </row>
    <row r="8739" spans="6:7" x14ac:dyDescent="0.25">
      <c r="F8739">
        <v>8736</v>
      </c>
      <c r="G8739">
        <f ca="1">_xlfn.NORM.INV(RAND(),$M$7,$M$8)</f>
        <v>2.3920593814399427E-2</v>
      </c>
    </row>
    <row r="8740" spans="6:7" x14ac:dyDescent="0.25">
      <c r="F8740">
        <v>8737</v>
      </c>
      <c r="G8740">
        <f ca="1">_xlfn.NORM.INV(RAND(),$M$7,$M$8)</f>
        <v>2.2154526643530518E-2</v>
      </c>
    </row>
    <row r="8741" spans="6:7" x14ac:dyDescent="0.25">
      <c r="F8741">
        <v>8738</v>
      </c>
      <c r="G8741">
        <f ca="1">_xlfn.NORM.INV(RAND(),$M$7,$M$8)</f>
        <v>3.66056852366025E-3</v>
      </c>
    </row>
    <row r="8742" spans="6:7" x14ac:dyDescent="0.25">
      <c r="F8742">
        <v>8739</v>
      </c>
      <c r="G8742">
        <f ca="1">_xlfn.NORM.INV(RAND(),$M$7,$M$8)</f>
        <v>8.5906435103513604E-3</v>
      </c>
    </row>
    <row r="8743" spans="6:7" x14ac:dyDescent="0.25">
      <c r="F8743">
        <v>8740</v>
      </c>
      <c r="G8743">
        <f ca="1">_xlfn.NORM.INV(RAND(),$M$7,$M$8)</f>
        <v>2.5609039335239475E-2</v>
      </c>
    </row>
    <row r="8744" spans="6:7" x14ac:dyDescent="0.25">
      <c r="F8744">
        <v>8741</v>
      </c>
      <c r="G8744">
        <f ca="1">_xlfn.NORM.INV(RAND(),$M$7,$M$8)</f>
        <v>6.4673060364925754E-3</v>
      </c>
    </row>
    <row r="8745" spans="6:7" x14ac:dyDescent="0.25">
      <c r="F8745">
        <v>8742</v>
      </c>
      <c r="G8745">
        <f ca="1">_xlfn.NORM.INV(RAND(),$M$7,$M$8)</f>
        <v>-1.6129225136811854E-2</v>
      </c>
    </row>
    <row r="8746" spans="6:7" x14ac:dyDescent="0.25">
      <c r="F8746">
        <v>8743</v>
      </c>
      <c r="G8746">
        <f ca="1">_xlfn.NORM.INV(RAND(),$M$7,$M$8)</f>
        <v>3.1780924238519824E-2</v>
      </c>
    </row>
    <row r="8747" spans="6:7" x14ac:dyDescent="0.25">
      <c r="F8747">
        <v>8744</v>
      </c>
      <c r="G8747">
        <f ca="1">_xlfn.NORM.INV(RAND(),$M$7,$M$8)</f>
        <v>4.4079107912698527E-2</v>
      </c>
    </row>
    <row r="8748" spans="6:7" x14ac:dyDescent="0.25">
      <c r="F8748">
        <v>8745</v>
      </c>
      <c r="G8748">
        <f ca="1">_xlfn.NORM.INV(RAND(),$M$7,$M$8)</f>
        <v>-2.8877454717826215E-2</v>
      </c>
    </row>
    <row r="8749" spans="6:7" x14ac:dyDescent="0.25">
      <c r="F8749">
        <v>8746</v>
      </c>
      <c r="G8749">
        <f ca="1">_xlfn.NORM.INV(RAND(),$M$7,$M$8)</f>
        <v>1.3146614613246782E-2</v>
      </c>
    </row>
    <row r="8750" spans="6:7" x14ac:dyDescent="0.25">
      <c r="F8750">
        <v>8747</v>
      </c>
      <c r="G8750">
        <f ca="1">_xlfn.NORM.INV(RAND(),$M$7,$M$8)</f>
        <v>-4.9318251238918351E-3</v>
      </c>
    </row>
    <row r="8751" spans="6:7" x14ac:dyDescent="0.25">
      <c r="F8751">
        <v>8748</v>
      </c>
      <c r="G8751">
        <f ca="1">_xlfn.NORM.INV(RAND(),$M$7,$M$8)</f>
        <v>2.31181159900621E-2</v>
      </c>
    </row>
    <row r="8752" spans="6:7" x14ac:dyDescent="0.25">
      <c r="F8752">
        <v>8749</v>
      </c>
      <c r="G8752">
        <f ca="1">_xlfn.NORM.INV(RAND(),$M$7,$M$8)</f>
        <v>-1.4394585457084339E-2</v>
      </c>
    </row>
    <row r="8753" spans="6:7" x14ac:dyDescent="0.25">
      <c r="F8753">
        <v>8750</v>
      </c>
      <c r="G8753">
        <f ca="1">_xlfn.NORM.INV(RAND(),$M$7,$M$8)</f>
        <v>1.0253295406797362E-2</v>
      </c>
    </row>
    <row r="8754" spans="6:7" x14ac:dyDescent="0.25">
      <c r="F8754">
        <v>8751</v>
      </c>
      <c r="G8754">
        <f ca="1">_xlfn.NORM.INV(RAND(),$M$7,$M$8)</f>
        <v>3.3934667430554452E-3</v>
      </c>
    </row>
    <row r="8755" spans="6:7" x14ac:dyDescent="0.25">
      <c r="F8755">
        <v>8752</v>
      </c>
      <c r="G8755">
        <f ca="1">_xlfn.NORM.INV(RAND(),$M$7,$M$8)</f>
        <v>-1.8264739514746903E-2</v>
      </c>
    </row>
    <row r="8756" spans="6:7" x14ac:dyDescent="0.25">
      <c r="F8756">
        <v>8753</v>
      </c>
      <c r="G8756">
        <f ca="1">_xlfn.NORM.INV(RAND(),$M$7,$M$8)</f>
        <v>2.5603305820628943E-2</v>
      </c>
    </row>
    <row r="8757" spans="6:7" x14ac:dyDescent="0.25">
      <c r="F8757">
        <v>8754</v>
      </c>
      <c r="G8757">
        <f ca="1">_xlfn.NORM.INV(RAND(),$M$7,$M$8)</f>
        <v>-1.4681505074182633E-4</v>
      </c>
    </row>
    <row r="8758" spans="6:7" x14ac:dyDescent="0.25">
      <c r="F8758">
        <v>8755</v>
      </c>
      <c r="G8758">
        <f ca="1">_xlfn.NORM.INV(RAND(),$M$7,$M$8)</f>
        <v>-4.6207146326485357E-3</v>
      </c>
    </row>
    <row r="8759" spans="6:7" x14ac:dyDescent="0.25">
      <c r="F8759">
        <v>8756</v>
      </c>
      <c r="G8759">
        <f ca="1">_xlfn.NORM.INV(RAND(),$M$7,$M$8)</f>
        <v>-1.3046195302892673E-2</v>
      </c>
    </row>
    <row r="8760" spans="6:7" x14ac:dyDescent="0.25">
      <c r="F8760">
        <v>8757</v>
      </c>
      <c r="G8760">
        <f ca="1">_xlfn.NORM.INV(RAND(),$M$7,$M$8)</f>
        <v>-1.2207725286597445E-2</v>
      </c>
    </row>
    <row r="8761" spans="6:7" x14ac:dyDescent="0.25">
      <c r="F8761">
        <v>8758</v>
      </c>
      <c r="G8761">
        <f ca="1">_xlfn.NORM.INV(RAND(),$M$7,$M$8)</f>
        <v>-1.1076793655946599E-2</v>
      </c>
    </row>
    <row r="8762" spans="6:7" x14ac:dyDescent="0.25">
      <c r="F8762">
        <v>8759</v>
      </c>
      <c r="G8762">
        <f ca="1">_xlfn.NORM.INV(RAND(),$M$7,$M$8)</f>
        <v>1.0151616510751353E-2</v>
      </c>
    </row>
    <row r="8763" spans="6:7" x14ac:dyDescent="0.25">
      <c r="F8763">
        <v>8760</v>
      </c>
      <c r="G8763">
        <f ca="1">_xlfn.NORM.INV(RAND(),$M$7,$M$8)</f>
        <v>2.7361515049074667E-2</v>
      </c>
    </row>
    <row r="8764" spans="6:7" x14ac:dyDescent="0.25">
      <c r="F8764">
        <v>8761</v>
      </c>
      <c r="G8764">
        <f ca="1">_xlfn.NORM.INV(RAND(),$M$7,$M$8)</f>
        <v>2.1867042235362948E-3</v>
      </c>
    </row>
    <row r="8765" spans="6:7" x14ac:dyDescent="0.25">
      <c r="F8765">
        <v>8762</v>
      </c>
      <c r="G8765">
        <f ca="1">_xlfn.NORM.INV(RAND(),$M$7,$M$8)</f>
        <v>2.7364656625005573E-2</v>
      </c>
    </row>
    <row r="8766" spans="6:7" x14ac:dyDescent="0.25">
      <c r="F8766">
        <v>8763</v>
      </c>
      <c r="G8766">
        <f ca="1">_xlfn.NORM.INV(RAND(),$M$7,$M$8)</f>
        <v>2.8273614142126945E-2</v>
      </c>
    </row>
    <row r="8767" spans="6:7" x14ac:dyDescent="0.25">
      <c r="F8767">
        <v>8764</v>
      </c>
      <c r="G8767">
        <f ca="1">_xlfn.NORM.INV(RAND(),$M$7,$M$8)</f>
        <v>9.3754366420560654E-3</v>
      </c>
    </row>
    <row r="8768" spans="6:7" x14ac:dyDescent="0.25">
      <c r="F8768">
        <v>8765</v>
      </c>
      <c r="G8768">
        <f ca="1">_xlfn.NORM.INV(RAND(),$M$7,$M$8)</f>
        <v>8.7869292940692453E-3</v>
      </c>
    </row>
    <row r="8769" spans="6:7" x14ac:dyDescent="0.25">
      <c r="F8769">
        <v>8766</v>
      </c>
      <c r="G8769">
        <f ca="1">_xlfn.NORM.INV(RAND(),$M$7,$M$8)</f>
        <v>2.3935046063202067E-2</v>
      </c>
    </row>
    <row r="8770" spans="6:7" x14ac:dyDescent="0.25">
      <c r="F8770">
        <v>8767</v>
      </c>
      <c r="G8770">
        <f ca="1">_xlfn.NORM.INV(RAND(),$M$7,$M$8)</f>
        <v>1.8765982003789237E-2</v>
      </c>
    </row>
    <row r="8771" spans="6:7" x14ac:dyDescent="0.25">
      <c r="F8771">
        <v>8768</v>
      </c>
      <c r="G8771">
        <f ca="1">_xlfn.NORM.INV(RAND(),$M$7,$M$8)</f>
        <v>-1.5728124927564775E-2</v>
      </c>
    </row>
    <row r="8772" spans="6:7" x14ac:dyDescent="0.25">
      <c r="F8772">
        <v>8769</v>
      </c>
      <c r="G8772">
        <f ca="1">_xlfn.NORM.INV(RAND(),$M$7,$M$8)</f>
        <v>1.8764600144416364E-2</v>
      </c>
    </row>
    <row r="8773" spans="6:7" x14ac:dyDescent="0.25">
      <c r="F8773">
        <v>8770</v>
      </c>
      <c r="G8773">
        <f ca="1">_xlfn.NORM.INV(RAND(),$M$7,$M$8)</f>
        <v>-6.9805811900442993E-3</v>
      </c>
    </row>
    <row r="8774" spans="6:7" x14ac:dyDescent="0.25">
      <c r="F8774">
        <v>8771</v>
      </c>
      <c r="G8774">
        <f ca="1">_xlfn.NORM.INV(RAND(),$M$7,$M$8)</f>
        <v>1.0138654339882501E-2</v>
      </c>
    </row>
    <row r="8775" spans="6:7" x14ac:dyDescent="0.25">
      <c r="F8775">
        <v>8772</v>
      </c>
      <c r="G8775">
        <f ca="1">_xlfn.NORM.INV(RAND(),$M$7,$M$8)</f>
        <v>7.6731559698750111E-3</v>
      </c>
    </row>
    <row r="8776" spans="6:7" x14ac:dyDescent="0.25">
      <c r="F8776">
        <v>8773</v>
      </c>
      <c r="G8776">
        <f ca="1">_xlfn.NORM.INV(RAND(),$M$7,$M$8)</f>
        <v>-4.7574663713972995E-2</v>
      </c>
    </row>
    <row r="8777" spans="6:7" x14ac:dyDescent="0.25">
      <c r="F8777">
        <v>8774</v>
      </c>
      <c r="G8777">
        <f ca="1">_xlfn.NORM.INV(RAND(),$M$7,$M$8)</f>
        <v>-9.588750446796664E-3</v>
      </c>
    </row>
    <row r="8778" spans="6:7" x14ac:dyDescent="0.25">
      <c r="F8778">
        <v>8775</v>
      </c>
      <c r="G8778">
        <f ca="1">_xlfn.NORM.INV(RAND(),$M$7,$M$8)</f>
        <v>5.2664121958222194E-3</v>
      </c>
    </row>
    <row r="8779" spans="6:7" x14ac:dyDescent="0.25">
      <c r="F8779">
        <v>8776</v>
      </c>
      <c r="G8779">
        <f ca="1">_xlfn.NORM.INV(RAND(),$M$7,$M$8)</f>
        <v>1.9475470862253041E-2</v>
      </c>
    </row>
    <row r="8780" spans="6:7" x14ac:dyDescent="0.25">
      <c r="F8780">
        <v>8777</v>
      </c>
      <c r="G8780">
        <f ca="1">_xlfn.NORM.INV(RAND(),$M$7,$M$8)</f>
        <v>8.0467405041106301E-3</v>
      </c>
    </row>
    <row r="8781" spans="6:7" x14ac:dyDescent="0.25">
      <c r="F8781">
        <v>8778</v>
      </c>
      <c r="G8781">
        <f ca="1">_xlfn.NORM.INV(RAND(),$M$7,$M$8)</f>
        <v>1.6881287943055386E-2</v>
      </c>
    </row>
    <row r="8782" spans="6:7" x14ac:dyDescent="0.25">
      <c r="F8782">
        <v>8779</v>
      </c>
      <c r="G8782">
        <f ca="1">_xlfn.NORM.INV(RAND(),$M$7,$M$8)</f>
        <v>-9.4883623448777203E-3</v>
      </c>
    </row>
    <row r="8783" spans="6:7" x14ac:dyDescent="0.25">
      <c r="F8783">
        <v>8780</v>
      </c>
      <c r="G8783">
        <f ca="1">_xlfn.NORM.INV(RAND(),$M$7,$M$8)</f>
        <v>-5.1009659773139128E-3</v>
      </c>
    </row>
    <row r="8784" spans="6:7" x14ac:dyDescent="0.25">
      <c r="F8784">
        <v>8781</v>
      </c>
      <c r="G8784">
        <f ca="1">_xlfn.NORM.INV(RAND(),$M$7,$M$8)</f>
        <v>5.4733291315091553E-2</v>
      </c>
    </row>
    <row r="8785" spans="6:7" x14ac:dyDescent="0.25">
      <c r="F8785">
        <v>8782</v>
      </c>
      <c r="G8785">
        <f ca="1">_xlfn.NORM.INV(RAND(),$M$7,$M$8)</f>
        <v>-1.7055061624198065E-2</v>
      </c>
    </row>
    <row r="8786" spans="6:7" x14ac:dyDescent="0.25">
      <c r="F8786">
        <v>8783</v>
      </c>
      <c r="G8786">
        <f ca="1">_xlfn.NORM.INV(RAND(),$M$7,$M$8)</f>
        <v>-7.9899699442959708E-3</v>
      </c>
    </row>
    <row r="8787" spans="6:7" x14ac:dyDescent="0.25">
      <c r="F8787">
        <v>8784</v>
      </c>
      <c r="G8787">
        <f ca="1">_xlfn.NORM.INV(RAND(),$M$7,$M$8)</f>
        <v>3.9512329902004734E-2</v>
      </c>
    </row>
    <row r="8788" spans="6:7" x14ac:dyDescent="0.25">
      <c r="F8788">
        <v>8785</v>
      </c>
      <c r="G8788">
        <f ca="1">_xlfn.NORM.INV(RAND(),$M$7,$M$8)</f>
        <v>-3.5091842997675052E-2</v>
      </c>
    </row>
    <row r="8789" spans="6:7" x14ac:dyDescent="0.25">
      <c r="F8789">
        <v>8786</v>
      </c>
      <c r="G8789">
        <f ca="1">_xlfn.NORM.INV(RAND(),$M$7,$M$8)</f>
        <v>1.7460408046251819E-2</v>
      </c>
    </row>
    <row r="8790" spans="6:7" x14ac:dyDescent="0.25">
      <c r="F8790">
        <v>8787</v>
      </c>
      <c r="G8790">
        <f ca="1">_xlfn.NORM.INV(RAND(),$M$7,$M$8)</f>
        <v>-1.548283324636553E-2</v>
      </c>
    </row>
    <row r="8791" spans="6:7" x14ac:dyDescent="0.25">
      <c r="F8791">
        <v>8788</v>
      </c>
      <c r="G8791">
        <f ca="1">_xlfn.NORM.INV(RAND(),$M$7,$M$8)</f>
        <v>-4.5445309519018488E-3</v>
      </c>
    </row>
    <row r="8792" spans="6:7" x14ac:dyDescent="0.25">
      <c r="F8792">
        <v>8789</v>
      </c>
      <c r="G8792">
        <f ca="1">_xlfn.NORM.INV(RAND(),$M$7,$M$8)</f>
        <v>3.7517973401384054E-2</v>
      </c>
    </row>
    <row r="8793" spans="6:7" x14ac:dyDescent="0.25">
      <c r="F8793">
        <v>8790</v>
      </c>
      <c r="G8793">
        <f ca="1">_xlfn.NORM.INV(RAND(),$M$7,$M$8)</f>
        <v>9.0988756733522969E-3</v>
      </c>
    </row>
    <row r="8794" spans="6:7" x14ac:dyDescent="0.25">
      <c r="F8794">
        <v>8791</v>
      </c>
      <c r="G8794">
        <f ca="1">_xlfn.NORM.INV(RAND(),$M$7,$M$8)</f>
        <v>2.4451979137242921E-2</v>
      </c>
    </row>
    <row r="8795" spans="6:7" x14ac:dyDescent="0.25">
      <c r="F8795">
        <v>8792</v>
      </c>
      <c r="G8795">
        <f ca="1">_xlfn.NORM.INV(RAND(),$M$7,$M$8)</f>
        <v>4.2459109672517686E-3</v>
      </c>
    </row>
    <row r="8796" spans="6:7" x14ac:dyDescent="0.25">
      <c r="F8796">
        <v>8793</v>
      </c>
      <c r="G8796">
        <f ca="1">_xlfn.NORM.INV(RAND(),$M$7,$M$8)</f>
        <v>3.0939478136106129E-2</v>
      </c>
    </row>
    <row r="8797" spans="6:7" x14ac:dyDescent="0.25">
      <c r="F8797">
        <v>8794</v>
      </c>
      <c r="G8797">
        <f ca="1">_xlfn.NORM.INV(RAND(),$M$7,$M$8)</f>
        <v>1.2179336286531818E-2</v>
      </c>
    </row>
    <row r="8798" spans="6:7" x14ac:dyDescent="0.25">
      <c r="F8798">
        <v>8795</v>
      </c>
      <c r="G8798">
        <f ca="1">_xlfn.NORM.INV(RAND(),$M$7,$M$8)</f>
        <v>-3.1018991998126143E-2</v>
      </c>
    </row>
    <row r="8799" spans="6:7" x14ac:dyDescent="0.25">
      <c r="F8799">
        <v>8796</v>
      </c>
      <c r="G8799">
        <f ca="1">_xlfn.NORM.INV(RAND(),$M$7,$M$8)</f>
        <v>1.3436994584500617E-2</v>
      </c>
    </row>
    <row r="8800" spans="6:7" x14ac:dyDescent="0.25">
      <c r="F8800">
        <v>8797</v>
      </c>
      <c r="G8800">
        <f ca="1">_xlfn.NORM.INV(RAND(),$M$7,$M$8)</f>
        <v>-3.0999011993651595E-2</v>
      </c>
    </row>
    <row r="8801" spans="6:7" x14ac:dyDescent="0.25">
      <c r="F8801">
        <v>8798</v>
      </c>
      <c r="G8801">
        <f ca="1">_xlfn.NORM.INV(RAND(),$M$7,$M$8)</f>
        <v>3.099327856434702E-3</v>
      </c>
    </row>
    <row r="8802" spans="6:7" x14ac:dyDescent="0.25">
      <c r="F8802">
        <v>8799</v>
      </c>
      <c r="G8802">
        <f ca="1">_xlfn.NORM.INV(RAND(),$M$7,$M$8)</f>
        <v>-2.602033718478643E-2</v>
      </c>
    </row>
    <row r="8803" spans="6:7" x14ac:dyDescent="0.25">
      <c r="F8803">
        <v>8800</v>
      </c>
      <c r="G8803">
        <f ca="1">_xlfn.NORM.INV(RAND(),$M$7,$M$8)</f>
        <v>3.4704757831288624E-2</v>
      </c>
    </row>
    <row r="8804" spans="6:7" x14ac:dyDescent="0.25">
      <c r="F8804">
        <v>8801</v>
      </c>
      <c r="G8804">
        <f ca="1">_xlfn.NORM.INV(RAND(),$M$7,$M$8)</f>
        <v>3.568305037341582E-2</v>
      </c>
    </row>
    <row r="8805" spans="6:7" x14ac:dyDescent="0.25">
      <c r="F8805">
        <v>8802</v>
      </c>
      <c r="G8805">
        <f ca="1">_xlfn.NORM.INV(RAND(),$M$7,$M$8)</f>
        <v>4.7076639632566017E-2</v>
      </c>
    </row>
    <row r="8806" spans="6:7" x14ac:dyDescent="0.25">
      <c r="F8806">
        <v>8803</v>
      </c>
      <c r="G8806">
        <f ca="1">_xlfn.NORM.INV(RAND(),$M$7,$M$8)</f>
        <v>-2.6215357072388049E-2</v>
      </c>
    </row>
    <row r="8807" spans="6:7" x14ac:dyDescent="0.25">
      <c r="F8807">
        <v>8804</v>
      </c>
      <c r="G8807">
        <f ca="1">_xlfn.NORM.INV(RAND(),$M$7,$M$8)</f>
        <v>3.4372361989984043E-2</v>
      </c>
    </row>
    <row r="8808" spans="6:7" x14ac:dyDescent="0.25">
      <c r="F8808">
        <v>8805</v>
      </c>
      <c r="G8808">
        <f ca="1">_xlfn.NORM.INV(RAND(),$M$7,$M$8)</f>
        <v>6.9960297695010568E-2</v>
      </c>
    </row>
    <row r="8809" spans="6:7" x14ac:dyDescent="0.25">
      <c r="F8809">
        <v>8806</v>
      </c>
      <c r="G8809">
        <f ca="1">_xlfn.NORM.INV(RAND(),$M$7,$M$8)</f>
        <v>-4.5998290377758568E-3</v>
      </c>
    </row>
    <row r="8810" spans="6:7" x14ac:dyDescent="0.25">
      <c r="F8810">
        <v>8807</v>
      </c>
      <c r="G8810">
        <f ca="1">_xlfn.NORM.INV(RAND(),$M$7,$M$8)</f>
        <v>1.529194264979983E-3</v>
      </c>
    </row>
    <row r="8811" spans="6:7" x14ac:dyDescent="0.25">
      <c r="F8811">
        <v>8808</v>
      </c>
      <c r="G8811">
        <f ca="1">_xlfn.NORM.INV(RAND(),$M$7,$M$8)</f>
        <v>4.973125124003374E-2</v>
      </c>
    </row>
    <row r="8812" spans="6:7" x14ac:dyDescent="0.25">
      <c r="F8812">
        <v>8809</v>
      </c>
      <c r="G8812">
        <f ca="1">_xlfn.NORM.INV(RAND(),$M$7,$M$8)</f>
        <v>-3.1544335479772194E-2</v>
      </c>
    </row>
    <row r="8813" spans="6:7" x14ac:dyDescent="0.25">
      <c r="F8813">
        <v>8810</v>
      </c>
      <c r="G8813">
        <f ca="1">_xlfn.NORM.INV(RAND(),$M$7,$M$8)</f>
        <v>6.4986605377461343E-2</v>
      </c>
    </row>
    <row r="8814" spans="6:7" x14ac:dyDescent="0.25">
      <c r="F8814">
        <v>8811</v>
      </c>
      <c r="G8814">
        <f ca="1">_xlfn.NORM.INV(RAND(),$M$7,$M$8)</f>
        <v>1.4318720180326473E-2</v>
      </c>
    </row>
    <row r="8815" spans="6:7" x14ac:dyDescent="0.25">
      <c r="F8815">
        <v>8812</v>
      </c>
      <c r="G8815">
        <f ca="1">_xlfn.NORM.INV(RAND(),$M$7,$M$8)</f>
        <v>4.2369593735876045E-2</v>
      </c>
    </row>
    <row r="8816" spans="6:7" x14ac:dyDescent="0.25">
      <c r="F8816">
        <v>8813</v>
      </c>
      <c r="G8816">
        <f ca="1">_xlfn.NORM.INV(RAND(),$M$7,$M$8)</f>
        <v>5.0722565890308855E-3</v>
      </c>
    </row>
    <row r="8817" spans="6:7" x14ac:dyDescent="0.25">
      <c r="F8817">
        <v>8814</v>
      </c>
      <c r="G8817">
        <f ca="1">_xlfn.NORM.INV(RAND(),$M$7,$M$8)</f>
        <v>2.9397746132399146E-2</v>
      </c>
    </row>
    <row r="8818" spans="6:7" x14ac:dyDescent="0.25">
      <c r="F8818">
        <v>8815</v>
      </c>
      <c r="G8818">
        <f ca="1">_xlfn.NORM.INV(RAND(),$M$7,$M$8)</f>
        <v>4.5506910567307208E-3</v>
      </c>
    </row>
    <row r="8819" spans="6:7" x14ac:dyDescent="0.25">
      <c r="F8819">
        <v>8816</v>
      </c>
      <c r="G8819">
        <f ca="1">_xlfn.NORM.INV(RAND(),$M$7,$M$8)</f>
        <v>-1.3962782452630481E-3</v>
      </c>
    </row>
    <row r="8820" spans="6:7" x14ac:dyDescent="0.25">
      <c r="F8820">
        <v>8817</v>
      </c>
      <c r="G8820">
        <f ca="1">_xlfn.NORM.INV(RAND(),$M$7,$M$8)</f>
        <v>3.0243600060144999E-2</v>
      </c>
    </row>
    <row r="8821" spans="6:7" x14ac:dyDescent="0.25">
      <c r="F8821">
        <v>8818</v>
      </c>
      <c r="G8821">
        <f ca="1">_xlfn.NORM.INV(RAND(),$M$7,$M$8)</f>
        <v>1.9438773342415734E-2</v>
      </c>
    </row>
    <row r="8822" spans="6:7" x14ac:dyDescent="0.25">
      <c r="F8822">
        <v>8819</v>
      </c>
      <c r="G8822">
        <f ca="1">_xlfn.NORM.INV(RAND(),$M$7,$M$8)</f>
        <v>-8.2990407578231763E-3</v>
      </c>
    </row>
    <row r="8823" spans="6:7" x14ac:dyDescent="0.25">
      <c r="F8823">
        <v>8820</v>
      </c>
      <c r="G8823">
        <f ca="1">_xlfn.NORM.INV(RAND(),$M$7,$M$8)</f>
        <v>7.7593720043109618E-3</v>
      </c>
    </row>
    <row r="8824" spans="6:7" x14ac:dyDescent="0.25">
      <c r="F8824">
        <v>8821</v>
      </c>
      <c r="G8824">
        <f ca="1">_xlfn.NORM.INV(RAND(),$M$7,$M$8)</f>
        <v>-2.9728003947325724E-3</v>
      </c>
    </row>
    <row r="8825" spans="6:7" x14ac:dyDescent="0.25">
      <c r="F8825">
        <v>8822</v>
      </c>
      <c r="G8825">
        <f ca="1">_xlfn.NORM.INV(RAND(),$M$7,$M$8)</f>
        <v>-1.7993515940451753E-3</v>
      </c>
    </row>
    <row r="8826" spans="6:7" x14ac:dyDescent="0.25">
      <c r="F8826">
        <v>8823</v>
      </c>
      <c r="G8826">
        <f ca="1">_xlfn.NORM.INV(RAND(),$M$7,$M$8)</f>
        <v>2.2161437843855197E-2</v>
      </c>
    </row>
    <row r="8827" spans="6:7" x14ac:dyDescent="0.25">
      <c r="F8827">
        <v>8824</v>
      </c>
      <c r="G8827">
        <f ca="1">_xlfn.NORM.INV(RAND(),$M$7,$M$8)</f>
        <v>6.0750350856322612E-2</v>
      </c>
    </row>
    <row r="8828" spans="6:7" x14ac:dyDescent="0.25">
      <c r="F8828">
        <v>8825</v>
      </c>
      <c r="G8828">
        <f ca="1">_xlfn.NORM.INV(RAND(),$M$7,$M$8)</f>
        <v>2.0989529067490902E-2</v>
      </c>
    </row>
    <row r="8829" spans="6:7" x14ac:dyDescent="0.25">
      <c r="F8829">
        <v>8826</v>
      </c>
      <c r="G8829">
        <f ca="1">_xlfn.NORM.INV(RAND(),$M$7,$M$8)</f>
        <v>-2.9780376457996523E-3</v>
      </c>
    </row>
    <row r="8830" spans="6:7" x14ac:dyDescent="0.25">
      <c r="F8830">
        <v>8827</v>
      </c>
      <c r="G8830">
        <f ca="1">_xlfn.NORM.INV(RAND(),$M$7,$M$8)</f>
        <v>8.6306588523404268E-3</v>
      </c>
    </row>
    <row r="8831" spans="6:7" x14ac:dyDescent="0.25">
      <c r="F8831">
        <v>8828</v>
      </c>
      <c r="G8831">
        <f ca="1">_xlfn.NORM.INV(RAND(),$M$7,$M$8)</f>
        <v>-2.7430025031413136E-2</v>
      </c>
    </row>
    <row r="8832" spans="6:7" x14ac:dyDescent="0.25">
      <c r="F8832">
        <v>8829</v>
      </c>
      <c r="G8832">
        <f ca="1">_xlfn.NORM.INV(RAND(),$M$7,$M$8)</f>
        <v>6.7935776174108415E-3</v>
      </c>
    </row>
    <row r="8833" spans="6:7" x14ac:dyDescent="0.25">
      <c r="F8833">
        <v>8830</v>
      </c>
      <c r="G8833">
        <f ca="1">_xlfn.NORM.INV(RAND(),$M$7,$M$8)</f>
        <v>-3.6037781109278708E-3</v>
      </c>
    </row>
    <row r="8834" spans="6:7" x14ac:dyDescent="0.25">
      <c r="F8834">
        <v>8831</v>
      </c>
      <c r="G8834">
        <f ca="1">_xlfn.NORM.INV(RAND(),$M$7,$M$8)</f>
        <v>-1.0210464106053143E-2</v>
      </c>
    </row>
    <row r="8835" spans="6:7" x14ac:dyDescent="0.25">
      <c r="F8835">
        <v>8832</v>
      </c>
      <c r="G8835">
        <f ca="1">_xlfn.NORM.INV(RAND(),$M$7,$M$8)</f>
        <v>7.8565138048098948E-3</v>
      </c>
    </row>
    <row r="8836" spans="6:7" x14ac:dyDescent="0.25">
      <c r="F8836">
        <v>8833</v>
      </c>
      <c r="G8836">
        <f ca="1">_xlfn.NORM.INV(RAND(),$M$7,$M$8)</f>
        <v>1.4029199473742716E-2</v>
      </c>
    </row>
    <row r="8837" spans="6:7" x14ac:dyDescent="0.25">
      <c r="F8837">
        <v>8834</v>
      </c>
      <c r="G8837">
        <f ca="1">_xlfn.NORM.INV(RAND(),$M$7,$M$8)</f>
        <v>-3.0416685625619267E-3</v>
      </c>
    </row>
    <row r="8838" spans="6:7" x14ac:dyDescent="0.25">
      <c r="F8838">
        <v>8835</v>
      </c>
      <c r="G8838">
        <f ca="1">_xlfn.NORM.INV(RAND(),$M$7,$M$8)</f>
        <v>1.0638949295920254E-2</v>
      </c>
    </row>
    <row r="8839" spans="6:7" x14ac:dyDescent="0.25">
      <c r="F8839">
        <v>8836</v>
      </c>
      <c r="G8839">
        <f ca="1">_xlfn.NORM.INV(RAND(),$M$7,$M$8)</f>
        <v>-2.3317586747501375E-2</v>
      </c>
    </row>
    <row r="8840" spans="6:7" x14ac:dyDescent="0.25">
      <c r="F8840">
        <v>8837</v>
      </c>
      <c r="G8840">
        <f ca="1">_xlfn.NORM.INV(RAND(),$M$7,$M$8)</f>
        <v>5.3741479970113837E-4</v>
      </c>
    </row>
    <row r="8841" spans="6:7" x14ac:dyDescent="0.25">
      <c r="F8841">
        <v>8838</v>
      </c>
      <c r="G8841">
        <f ca="1">_xlfn.NORM.INV(RAND(),$M$7,$M$8)</f>
        <v>-3.3616970494585258E-2</v>
      </c>
    </row>
    <row r="8842" spans="6:7" x14ac:dyDescent="0.25">
      <c r="F8842">
        <v>8839</v>
      </c>
      <c r="G8842">
        <f ca="1">_xlfn.NORM.INV(RAND(),$M$7,$M$8)</f>
        <v>2.4478489020834455E-2</v>
      </c>
    </row>
    <row r="8843" spans="6:7" x14ac:dyDescent="0.25">
      <c r="F8843">
        <v>8840</v>
      </c>
      <c r="G8843">
        <f ca="1">_xlfn.NORM.INV(RAND(),$M$7,$M$8)</f>
        <v>9.3569503989317346E-4</v>
      </c>
    </row>
    <row r="8844" spans="6:7" x14ac:dyDescent="0.25">
      <c r="F8844">
        <v>8841</v>
      </c>
      <c r="G8844">
        <f ca="1">_xlfn.NORM.INV(RAND(),$M$7,$M$8)</f>
        <v>-9.7478584693565899E-3</v>
      </c>
    </row>
    <row r="8845" spans="6:7" x14ac:dyDescent="0.25">
      <c r="F8845">
        <v>8842</v>
      </c>
      <c r="G8845">
        <f ca="1">_xlfn.NORM.INV(RAND(),$M$7,$M$8)</f>
        <v>1.9386666461297739E-3</v>
      </c>
    </row>
    <row r="8846" spans="6:7" x14ac:dyDescent="0.25">
      <c r="F8846">
        <v>8843</v>
      </c>
      <c r="G8846">
        <f ca="1">_xlfn.NORM.INV(RAND(),$M$7,$M$8)</f>
        <v>3.5763949885326621E-2</v>
      </c>
    </row>
    <row r="8847" spans="6:7" x14ac:dyDescent="0.25">
      <c r="F8847">
        <v>8844</v>
      </c>
      <c r="G8847">
        <f ca="1">_xlfn.NORM.INV(RAND(),$M$7,$M$8)</f>
        <v>3.1547713787509146E-2</v>
      </c>
    </row>
    <row r="8848" spans="6:7" x14ac:dyDescent="0.25">
      <c r="F8848">
        <v>8845</v>
      </c>
      <c r="G8848">
        <f ca="1">_xlfn.NORM.INV(RAND(),$M$7,$M$8)</f>
        <v>-2.2732336671322902E-2</v>
      </c>
    </row>
    <row r="8849" spans="6:7" x14ac:dyDescent="0.25">
      <c r="F8849">
        <v>8846</v>
      </c>
      <c r="G8849">
        <f ca="1">_xlfn.NORM.INV(RAND(),$M$7,$M$8)</f>
        <v>2.4421764252751985E-2</v>
      </c>
    </row>
    <row r="8850" spans="6:7" x14ac:dyDescent="0.25">
      <c r="F8850">
        <v>8847</v>
      </c>
      <c r="G8850">
        <f ca="1">_xlfn.NORM.INV(RAND(),$M$7,$M$8)</f>
        <v>1.6543366009923979E-3</v>
      </c>
    </row>
    <row r="8851" spans="6:7" x14ac:dyDescent="0.25">
      <c r="F8851">
        <v>8848</v>
      </c>
      <c r="G8851">
        <f ca="1">_xlfn.NORM.INV(RAND(),$M$7,$M$8)</f>
        <v>5.8486993658560336E-4</v>
      </c>
    </row>
    <row r="8852" spans="6:7" x14ac:dyDescent="0.25">
      <c r="F8852">
        <v>8849</v>
      </c>
      <c r="G8852">
        <f ca="1">_xlfn.NORM.INV(RAND(),$M$7,$M$8)</f>
        <v>8.9749944482312195E-3</v>
      </c>
    </row>
    <row r="8853" spans="6:7" x14ac:dyDescent="0.25">
      <c r="F8853">
        <v>8850</v>
      </c>
      <c r="G8853">
        <f ca="1">_xlfn.NORM.INV(RAND(),$M$7,$M$8)</f>
        <v>-2.9517122176160242E-2</v>
      </c>
    </row>
    <row r="8854" spans="6:7" x14ac:dyDescent="0.25">
      <c r="F8854">
        <v>8851</v>
      </c>
      <c r="G8854">
        <f ca="1">_xlfn.NORM.INV(RAND(),$M$7,$M$8)</f>
        <v>-2.6768118608870056E-2</v>
      </c>
    </row>
    <row r="8855" spans="6:7" x14ac:dyDescent="0.25">
      <c r="F8855">
        <v>8852</v>
      </c>
      <c r="G8855">
        <f ca="1">_xlfn.NORM.INV(RAND(),$M$7,$M$8)</f>
        <v>6.9114761853083691E-3</v>
      </c>
    </row>
    <row r="8856" spans="6:7" x14ac:dyDescent="0.25">
      <c r="F8856">
        <v>8853</v>
      </c>
      <c r="G8856">
        <f ca="1">_xlfn.NORM.INV(RAND(),$M$7,$M$8)</f>
        <v>3.7090026736574917E-2</v>
      </c>
    </row>
    <row r="8857" spans="6:7" x14ac:dyDescent="0.25">
      <c r="F8857">
        <v>8854</v>
      </c>
      <c r="G8857">
        <f ca="1">_xlfn.NORM.INV(RAND(),$M$7,$M$8)</f>
        <v>4.5139370980571025E-2</v>
      </c>
    </row>
    <row r="8858" spans="6:7" x14ac:dyDescent="0.25">
      <c r="F8858">
        <v>8855</v>
      </c>
      <c r="G8858">
        <f ca="1">_xlfn.NORM.INV(RAND(),$M$7,$M$8)</f>
        <v>3.1358756952593214E-2</v>
      </c>
    </row>
    <row r="8859" spans="6:7" x14ac:dyDescent="0.25">
      <c r="F8859">
        <v>8856</v>
      </c>
      <c r="G8859">
        <f ca="1">_xlfn.NORM.INV(RAND(),$M$7,$M$8)</f>
        <v>1.9538820112683992E-2</v>
      </c>
    </row>
    <row r="8860" spans="6:7" x14ac:dyDescent="0.25">
      <c r="F8860">
        <v>8857</v>
      </c>
      <c r="G8860">
        <f ca="1">_xlfn.NORM.INV(RAND(),$M$7,$M$8)</f>
        <v>-7.8057021212523479E-3</v>
      </c>
    </row>
    <row r="8861" spans="6:7" x14ac:dyDescent="0.25">
      <c r="F8861">
        <v>8858</v>
      </c>
      <c r="G8861">
        <f ca="1">_xlfn.NORM.INV(RAND(),$M$7,$M$8)</f>
        <v>2.0709211301649611E-3</v>
      </c>
    </row>
    <row r="8862" spans="6:7" x14ac:dyDescent="0.25">
      <c r="F8862">
        <v>8859</v>
      </c>
      <c r="G8862">
        <f ca="1">_xlfn.NORM.INV(RAND(),$M$7,$M$8)</f>
        <v>1.3626717965152376E-2</v>
      </c>
    </row>
    <row r="8863" spans="6:7" x14ac:dyDescent="0.25">
      <c r="F8863">
        <v>8860</v>
      </c>
      <c r="G8863">
        <f ca="1">_xlfn.NORM.INV(RAND(),$M$7,$M$8)</f>
        <v>-1.4458004502815173E-2</v>
      </c>
    </row>
    <row r="8864" spans="6:7" x14ac:dyDescent="0.25">
      <c r="F8864">
        <v>8861</v>
      </c>
      <c r="G8864">
        <f ca="1">_xlfn.NORM.INV(RAND(),$M$7,$M$8)</f>
        <v>-2.0148005883983664E-2</v>
      </c>
    </row>
    <row r="8865" spans="6:7" x14ac:dyDescent="0.25">
      <c r="F8865">
        <v>8862</v>
      </c>
      <c r="G8865">
        <f ca="1">_xlfn.NORM.INV(RAND(),$M$7,$M$8)</f>
        <v>1.5314220278244859E-2</v>
      </c>
    </row>
    <row r="8866" spans="6:7" x14ac:dyDescent="0.25">
      <c r="F8866">
        <v>8863</v>
      </c>
      <c r="G8866">
        <f ca="1">_xlfn.NORM.INV(RAND(),$M$7,$M$8)</f>
        <v>-1.8254133833679579E-2</v>
      </c>
    </row>
    <row r="8867" spans="6:7" x14ac:dyDescent="0.25">
      <c r="F8867">
        <v>8864</v>
      </c>
      <c r="G8867">
        <f ca="1">_xlfn.NORM.INV(RAND(),$M$7,$M$8)</f>
        <v>-1.0401945884417311E-2</v>
      </c>
    </row>
    <row r="8868" spans="6:7" x14ac:dyDescent="0.25">
      <c r="F8868">
        <v>8865</v>
      </c>
      <c r="G8868">
        <f ca="1">_xlfn.NORM.INV(RAND(),$M$7,$M$8)</f>
        <v>4.6762489481506006E-2</v>
      </c>
    </row>
    <row r="8869" spans="6:7" x14ac:dyDescent="0.25">
      <c r="F8869">
        <v>8866</v>
      </c>
      <c r="G8869">
        <f ca="1">_xlfn.NORM.INV(RAND(),$M$7,$M$8)</f>
        <v>2.8646814207966904E-2</v>
      </c>
    </row>
    <row r="8870" spans="6:7" x14ac:dyDescent="0.25">
      <c r="F8870">
        <v>8867</v>
      </c>
      <c r="G8870">
        <f ca="1">_xlfn.NORM.INV(RAND(),$M$7,$M$8)</f>
        <v>-2.1101891311773334E-2</v>
      </c>
    </row>
    <row r="8871" spans="6:7" x14ac:dyDescent="0.25">
      <c r="F8871">
        <v>8868</v>
      </c>
      <c r="G8871">
        <f ca="1">_xlfn.NORM.INV(RAND(),$M$7,$M$8)</f>
        <v>-5.3489481227873899E-2</v>
      </c>
    </row>
    <row r="8872" spans="6:7" x14ac:dyDescent="0.25">
      <c r="F8872">
        <v>8869</v>
      </c>
      <c r="G8872">
        <f ca="1">_xlfn.NORM.INV(RAND(),$M$7,$M$8)</f>
        <v>-9.7585616042268342E-3</v>
      </c>
    </row>
    <row r="8873" spans="6:7" x14ac:dyDescent="0.25">
      <c r="F8873">
        <v>8870</v>
      </c>
      <c r="G8873">
        <f ca="1">_xlfn.NORM.INV(RAND(),$M$7,$M$8)</f>
        <v>-4.5094768701087577E-3</v>
      </c>
    </row>
    <row r="8874" spans="6:7" x14ac:dyDescent="0.25">
      <c r="F8874">
        <v>8871</v>
      </c>
      <c r="G8874">
        <f ca="1">_xlfn.NORM.INV(RAND(),$M$7,$M$8)</f>
        <v>-1.4177649316512268E-2</v>
      </c>
    </row>
    <row r="8875" spans="6:7" x14ac:dyDescent="0.25">
      <c r="F8875">
        <v>8872</v>
      </c>
      <c r="G8875">
        <f ca="1">_xlfn.NORM.INV(RAND(),$M$7,$M$8)</f>
        <v>8.1524620691259386E-3</v>
      </c>
    </row>
    <row r="8876" spans="6:7" x14ac:dyDescent="0.25">
      <c r="F8876">
        <v>8873</v>
      </c>
      <c r="G8876">
        <f ca="1">_xlfn.NORM.INV(RAND(),$M$7,$M$8)</f>
        <v>1.8240475182820293E-2</v>
      </c>
    </row>
    <row r="8877" spans="6:7" x14ac:dyDescent="0.25">
      <c r="F8877">
        <v>8874</v>
      </c>
      <c r="G8877">
        <f ca="1">_xlfn.NORM.INV(RAND(),$M$7,$M$8)</f>
        <v>3.2359197189810937E-2</v>
      </c>
    </row>
    <row r="8878" spans="6:7" x14ac:dyDescent="0.25">
      <c r="F8878">
        <v>8875</v>
      </c>
      <c r="G8878">
        <f ca="1">_xlfn.NORM.INV(RAND(),$M$7,$M$8)</f>
        <v>-8.4373669648617339E-3</v>
      </c>
    </row>
    <row r="8879" spans="6:7" x14ac:dyDescent="0.25">
      <c r="F8879">
        <v>8876</v>
      </c>
      <c r="G8879">
        <f ca="1">_xlfn.NORM.INV(RAND(),$M$7,$M$8)</f>
        <v>-1.9491552272065307E-3</v>
      </c>
    </row>
    <row r="8880" spans="6:7" x14ac:dyDescent="0.25">
      <c r="F8880">
        <v>8877</v>
      </c>
      <c r="G8880">
        <f ca="1">_xlfn.NORM.INV(RAND(),$M$7,$M$8)</f>
        <v>2.8522579619424272E-2</v>
      </c>
    </row>
    <row r="8881" spans="6:7" x14ac:dyDescent="0.25">
      <c r="F8881">
        <v>8878</v>
      </c>
      <c r="G8881">
        <f ca="1">_xlfn.NORM.INV(RAND(),$M$7,$M$8)</f>
        <v>1.1348569478110375E-2</v>
      </c>
    </row>
    <row r="8882" spans="6:7" x14ac:dyDescent="0.25">
      <c r="F8882">
        <v>8879</v>
      </c>
      <c r="G8882">
        <f ca="1">_xlfn.NORM.INV(RAND(),$M$7,$M$8)</f>
        <v>-1.2649842278404762E-2</v>
      </c>
    </row>
    <row r="8883" spans="6:7" x14ac:dyDescent="0.25">
      <c r="F8883">
        <v>8880</v>
      </c>
      <c r="G8883">
        <f ca="1">_xlfn.NORM.INV(RAND(),$M$7,$M$8)</f>
        <v>-1.1153110554566949E-2</v>
      </c>
    </row>
    <row r="8884" spans="6:7" x14ac:dyDescent="0.25">
      <c r="F8884">
        <v>8881</v>
      </c>
      <c r="G8884">
        <f ca="1">_xlfn.NORM.INV(RAND(),$M$7,$M$8)</f>
        <v>4.3553291188875097E-2</v>
      </c>
    </row>
    <row r="8885" spans="6:7" x14ac:dyDescent="0.25">
      <c r="F8885">
        <v>8882</v>
      </c>
      <c r="G8885">
        <f ca="1">_xlfn.NORM.INV(RAND(),$M$7,$M$8)</f>
        <v>3.7421551140071528E-2</v>
      </c>
    </row>
    <row r="8886" spans="6:7" x14ac:dyDescent="0.25">
      <c r="F8886">
        <v>8883</v>
      </c>
      <c r="G8886">
        <f ca="1">_xlfn.NORM.INV(RAND(),$M$7,$M$8)</f>
        <v>6.3870446106359339E-3</v>
      </c>
    </row>
    <row r="8887" spans="6:7" x14ac:dyDescent="0.25">
      <c r="F8887">
        <v>8884</v>
      </c>
      <c r="G8887">
        <f ca="1">_xlfn.NORM.INV(RAND(),$M$7,$M$8)</f>
        <v>1.533488948538193E-2</v>
      </c>
    </row>
    <row r="8888" spans="6:7" x14ac:dyDescent="0.25">
      <c r="F8888">
        <v>8885</v>
      </c>
      <c r="G8888">
        <f ca="1">_xlfn.NORM.INV(RAND(),$M$7,$M$8)</f>
        <v>-4.7974849322542628E-3</v>
      </c>
    </row>
    <row r="8889" spans="6:7" x14ac:dyDescent="0.25">
      <c r="F8889">
        <v>8886</v>
      </c>
      <c r="G8889">
        <f ca="1">_xlfn.NORM.INV(RAND(),$M$7,$M$8)</f>
        <v>9.5172196566314475E-3</v>
      </c>
    </row>
    <row r="8890" spans="6:7" x14ac:dyDescent="0.25">
      <c r="F8890">
        <v>8887</v>
      </c>
      <c r="G8890">
        <f ca="1">_xlfn.NORM.INV(RAND(),$M$7,$M$8)</f>
        <v>1.633939491996592E-2</v>
      </c>
    </row>
    <row r="8891" spans="6:7" x14ac:dyDescent="0.25">
      <c r="F8891">
        <v>8888</v>
      </c>
      <c r="G8891">
        <f ca="1">_xlfn.NORM.INV(RAND(),$M$7,$M$8)</f>
        <v>-3.5705640990327289E-2</v>
      </c>
    </row>
    <row r="8892" spans="6:7" x14ac:dyDescent="0.25">
      <c r="F8892">
        <v>8889</v>
      </c>
      <c r="G8892">
        <f ca="1">_xlfn.NORM.INV(RAND(),$M$7,$M$8)</f>
        <v>-1.2246371550518338E-2</v>
      </c>
    </row>
    <row r="8893" spans="6:7" x14ac:dyDescent="0.25">
      <c r="F8893">
        <v>8890</v>
      </c>
      <c r="G8893">
        <f ca="1">_xlfn.NORM.INV(RAND(),$M$7,$M$8)</f>
        <v>1.9959033813915354E-4</v>
      </c>
    </row>
    <row r="8894" spans="6:7" x14ac:dyDescent="0.25">
      <c r="F8894">
        <v>8891</v>
      </c>
      <c r="G8894">
        <f ca="1">_xlfn.NORM.INV(RAND(),$M$7,$M$8)</f>
        <v>-5.0896597553619631E-2</v>
      </c>
    </row>
    <row r="8895" spans="6:7" x14ac:dyDescent="0.25">
      <c r="F8895">
        <v>8892</v>
      </c>
      <c r="G8895">
        <f ca="1">_xlfn.NORM.INV(RAND(),$M$7,$M$8)</f>
        <v>5.5782868140585015E-2</v>
      </c>
    </row>
    <row r="8896" spans="6:7" x14ac:dyDescent="0.25">
      <c r="F8896">
        <v>8893</v>
      </c>
      <c r="G8896">
        <f ca="1">_xlfn.NORM.INV(RAND(),$M$7,$M$8)</f>
        <v>-1.1228621328791236E-3</v>
      </c>
    </row>
    <row r="8897" spans="6:7" x14ac:dyDescent="0.25">
      <c r="F8897">
        <v>8894</v>
      </c>
      <c r="G8897">
        <f ca="1">_xlfn.NORM.INV(RAND(),$M$7,$M$8)</f>
        <v>-1.9553286088230069E-2</v>
      </c>
    </row>
    <row r="8898" spans="6:7" x14ac:dyDescent="0.25">
      <c r="F8898">
        <v>8895</v>
      </c>
      <c r="G8898">
        <f ca="1">_xlfn.NORM.INV(RAND(),$M$7,$M$8)</f>
        <v>6.2497280434388645E-2</v>
      </c>
    </row>
    <row r="8899" spans="6:7" x14ac:dyDescent="0.25">
      <c r="F8899">
        <v>8896</v>
      </c>
      <c r="G8899">
        <f ca="1">_xlfn.NORM.INV(RAND(),$M$7,$M$8)</f>
        <v>-2.7539144961453137E-2</v>
      </c>
    </row>
    <row r="8900" spans="6:7" x14ac:dyDescent="0.25">
      <c r="F8900">
        <v>8897</v>
      </c>
      <c r="G8900">
        <f ca="1">_xlfn.NORM.INV(RAND(),$M$7,$M$8)</f>
        <v>2.9178025125577147E-3</v>
      </c>
    </row>
    <row r="8901" spans="6:7" x14ac:dyDescent="0.25">
      <c r="F8901">
        <v>8898</v>
      </c>
      <c r="G8901">
        <f ca="1">_xlfn.NORM.INV(RAND(),$M$7,$M$8)</f>
        <v>2.6133072430648912E-3</v>
      </c>
    </row>
    <row r="8902" spans="6:7" x14ac:dyDescent="0.25">
      <c r="F8902">
        <v>8899</v>
      </c>
      <c r="G8902">
        <f ca="1">_xlfn.NORM.INV(RAND(),$M$7,$M$8)</f>
        <v>-1.4540775265847444E-3</v>
      </c>
    </row>
    <row r="8903" spans="6:7" x14ac:dyDescent="0.25">
      <c r="F8903">
        <v>8900</v>
      </c>
      <c r="G8903">
        <f ca="1">_xlfn.NORM.INV(RAND(),$M$7,$M$8)</f>
        <v>-8.7046070216632663E-3</v>
      </c>
    </row>
    <row r="8904" spans="6:7" x14ac:dyDescent="0.25">
      <c r="F8904">
        <v>8901</v>
      </c>
      <c r="G8904">
        <f ca="1">_xlfn.NORM.INV(RAND(),$M$7,$M$8)</f>
        <v>1.0452558009004102E-2</v>
      </c>
    </row>
    <row r="8905" spans="6:7" x14ac:dyDescent="0.25">
      <c r="F8905">
        <v>8902</v>
      </c>
      <c r="G8905">
        <f ca="1">_xlfn.NORM.INV(RAND(),$M$7,$M$8)</f>
        <v>-2.0499007463795935E-2</v>
      </c>
    </row>
    <row r="8906" spans="6:7" x14ac:dyDescent="0.25">
      <c r="F8906">
        <v>8903</v>
      </c>
      <c r="G8906">
        <f ca="1">_xlfn.NORM.INV(RAND(),$M$7,$M$8)</f>
        <v>-6.2233062645359934E-3</v>
      </c>
    </row>
    <row r="8907" spans="6:7" x14ac:dyDescent="0.25">
      <c r="F8907">
        <v>8904</v>
      </c>
      <c r="G8907">
        <f ca="1">_xlfn.NORM.INV(RAND(),$M$7,$M$8)</f>
        <v>-8.0792709617193126E-4</v>
      </c>
    </row>
    <row r="8908" spans="6:7" x14ac:dyDescent="0.25">
      <c r="F8908">
        <v>8905</v>
      </c>
      <c r="G8908">
        <f ca="1">_xlfn.NORM.INV(RAND(),$M$7,$M$8)</f>
        <v>-1.0113956640872911E-2</v>
      </c>
    </row>
    <row r="8909" spans="6:7" x14ac:dyDescent="0.25">
      <c r="F8909">
        <v>8906</v>
      </c>
      <c r="G8909">
        <f ca="1">_xlfn.NORM.INV(RAND(),$M$7,$M$8)</f>
        <v>-1.5541501495392154E-2</v>
      </c>
    </row>
    <row r="8910" spans="6:7" x14ac:dyDescent="0.25">
      <c r="F8910">
        <v>8907</v>
      </c>
      <c r="G8910">
        <f ca="1">_xlfn.NORM.INV(RAND(),$M$7,$M$8)</f>
        <v>-8.4330697669001975E-3</v>
      </c>
    </row>
    <row r="8911" spans="6:7" x14ac:dyDescent="0.25">
      <c r="F8911">
        <v>8908</v>
      </c>
      <c r="G8911">
        <f ca="1">_xlfn.NORM.INV(RAND(),$M$7,$M$8)</f>
        <v>2.2703669239113249E-2</v>
      </c>
    </row>
    <row r="8912" spans="6:7" x14ac:dyDescent="0.25">
      <c r="F8912">
        <v>8909</v>
      </c>
      <c r="G8912">
        <f ca="1">_xlfn.NORM.INV(RAND(),$M$7,$M$8)</f>
        <v>4.5608042881172352E-2</v>
      </c>
    </row>
    <row r="8913" spans="6:7" x14ac:dyDescent="0.25">
      <c r="F8913">
        <v>8910</v>
      </c>
      <c r="G8913">
        <f ca="1">_xlfn.NORM.INV(RAND(),$M$7,$M$8)</f>
        <v>-4.2548010880636034E-2</v>
      </c>
    </row>
    <row r="8914" spans="6:7" x14ac:dyDescent="0.25">
      <c r="F8914">
        <v>8911</v>
      </c>
      <c r="G8914">
        <f ca="1">_xlfn.NORM.INV(RAND(),$M$7,$M$8)</f>
        <v>-4.3504330543087284E-3</v>
      </c>
    </row>
    <row r="8915" spans="6:7" x14ac:dyDescent="0.25">
      <c r="F8915">
        <v>8912</v>
      </c>
      <c r="G8915">
        <f ca="1">_xlfn.NORM.INV(RAND(),$M$7,$M$8)</f>
        <v>-3.868694481441369E-2</v>
      </c>
    </row>
    <row r="8916" spans="6:7" x14ac:dyDescent="0.25">
      <c r="F8916">
        <v>8913</v>
      </c>
      <c r="G8916">
        <f ca="1">_xlfn.NORM.INV(RAND(),$M$7,$M$8)</f>
        <v>1.4743336369683788E-2</v>
      </c>
    </row>
    <row r="8917" spans="6:7" x14ac:dyDescent="0.25">
      <c r="F8917">
        <v>8914</v>
      </c>
      <c r="G8917">
        <f ca="1">_xlfn.NORM.INV(RAND(),$M$7,$M$8)</f>
        <v>3.5249466516532608E-2</v>
      </c>
    </row>
    <row r="8918" spans="6:7" x14ac:dyDescent="0.25">
      <c r="F8918">
        <v>8915</v>
      </c>
      <c r="G8918">
        <f ca="1">_xlfn.NORM.INV(RAND(),$M$7,$M$8)</f>
        <v>-1.2818447348550642E-2</v>
      </c>
    </row>
    <row r="8919" spans="6:7" x14ac:dyDescent="0.25">
      <c r="F8919">
        <v>8916</v>
      </c>
      <c r="G8919">
        <f ca="1">_xlfn.NORM.INV(RAND(),$M$7,$M$8)</f>
        <v>3.3443084725453308E-3</v>
      </c>
    </row>
    <row r="8920" spans="6:7" x14ac:dyDescent="0.25">
      <c r="F8920">
        <v>8917</v>
      </c>
      <c r="G8920">
        <f ca="1">_xlfn.NORM.INV(RAND(),$M$7,$M$8)</f>
        <v>7.9557738399578769E-3</v>
      </c>
    </row>
    <row r="8921" spans="6:7" x14ac:dyDescent="0.25">
      <c r="F8921">
        <v>8918</v>
      </c>
      <c r="G8921">
        <f ca="1">_xlfn.NORM.INV(RAND(),$M$7,$M$8)</f>
        <v>6.6560099959772964E-3</v>
      </c>
    </row>
    <row r="8922" spans="6:7" x14ac:dyDescent="0.25">
      <c r="F8922">
        <v>8919</v>
      </c>
      <c r="G8922">
        <f ca="1">_xlfn.NORM.INV(RAND(),$M$7,$M$8)</f>
        <v>-7.7156673406266526E-3</v>
      </c>
    </row>
    <row r="8923" spans="6:7" x14ac:dyDescent="0.25">
      <c r="F8923">
        <v>8920</v>
      </c>
      <c r="G8923">
        <f ca="1">_xlfn.NORM.INV(RAND(),$M$7,$M$8)</f>
        <v>3.3448604213836351E-2</v>
      </c>
    </row>
    <row r="8924" spans="6:7" x14ac:dyDescent="0.25">
      <c r="F8924">
        <v>8921</v>
      </c>
      <c r="G8924">
        <f ca="1">_xlfn.NORM.INV(RAND(),$M$7,$M$8)</f>
        <v>2.3274155496049009E-2</v>
      </c>
    </row>
    <row r="8925" spans="6:7" x14ac:dyDescent="0.25">
      <c r="F8925">
        <v>8922</v>
      </c>
      <c r="G8925">
        <f ca="1">_xlfn.NORM.INV(RAND(),$M$7,$M$8)</f>
        <v>1.0881450879269347E-2</v>
      </c>
    </row>
    <row r="8926" spans="6:7" x14ac:dyDescent="0.25">
      <c r="F8926">
        <v>8923</v>
      </c>
      <c r="G8926">
        <f ca="1">_xlfn.NORM.INV(RAND(),$M$7,$M$8)</f>
        <v>-9.0744516845539872E-3</v>
      </c>
    </row>
    <row r="8927" spans="6:7" x14ac:dyDescent="0.25">
      <c r="F8927">
        <v>8924</v>
      </c>
      <c r="G8927">
        <f ca="1">_xlfn.NORM.INV(RAND(),$M$7,$M$8)</f>
        <v>1.2718901011812989E-3</v>
      </c>
    </row>
    <row r="8928" spans="6:7" x14ac:dyDescent="0.25">
      <c r="F8928">
        <v>8925</v>
      </c>
      <c r="G8928">
        <f ca="1">_xlfn.NORM.INV(RAND(),$M$7,$M$8)</f>
        <v>3.6877280249959808E-2</v>
      </c>
    </row>
    <row r="8929" spans="6:7" x14ac:dyDescent="0.25">
      <c r="F8929">
        <v>8926</v>
      </c>
      <c r="G8929">
        <f ca="1">_xlfn.NORM.INV(RAND(),$M$7,$M$8)</f>
        <v>-2.1010076575226567E-2</v>
      </c>
    </row>
    <row r="8930" spans="6:7" x14ac:dyDescent="0.25">
      <c r="F8930">
        <v>8927</v>
      </c>
      <c r="G8930">
        <f ca="1">_xlfn.NORM.INV(RAND(),$M$7,$M$8)</f>
        <v>-4.2959862770979868E-3</v>
      </c>
    </row>
    <row r="8931" spans="6:7" x14ac:dyDescent="0.25">
      <c r="F8931">
        <v>8928</v>
      </c>
      <c r="G8931">
        <f ca="1">_xlfn.NORM.INV(RAND(),$M$7,$M$8)</f>
        <v>5.5861476177872255E-3</v>
      </c>
    </row>
    <row r="8932" spans="6:7" x14ac:dyDescent="0.25">
      <c r="F8932">
        <v>8929</v>
      </c>
      <c r="G8932">
        <f ca="1">_xlfn.NORM.INV(RAND(),$M$7,$M$8)</f>
        <v>1.6380391720098191E-2</v>
      </c>
    </row>
    <row r="8933" spans="6:7" x14ac:dyDescent="0.25">
      <c r="F8933">
        <v>8930</v>
      </c>
      <c r="G8933">
        <f ca="1">_xlfn.NORM.INV(RAND(),$M$7,$M$8)</f>
        <v>-6.7871705889511347E-3</v>
      </c>
    </row>
    <row r="8934" spans="6:7" x14ac:dyDescent="0.25">
      <c r="F8934">
        <v>8931</v>
      </c>
      <c r="G8934">
        <f ca="1">_xlfn.NORM.INV(RAND(),$M$7,$M$8)</f>
        <v>5.5762979426898143E-3</v>
      </c>
    </row>
    <row r="8935" spans="6:7" x14ac:dyDescent="0.25">
      <c r="F8935">
        <v>8932</v>
      </c>
      <c r="G8935">
        <f ca="1">_xlfn.NORM.INV(RAND(),$M$7,$M$8)</f>
        <v>-2.9501873974590559E-2</v>
      </c>
    </row>
    <row r="8936" spans="6:7" x14ac:dyDescent="0.25">
      <c r="F8936">
        <v>8933</v>
      </c>
      <c r="G8936">
        <f ca="1">_xlfn.NORM.INV(RAND(),$M$7,$M$8)</f>
        <v>-3.7173627274492096E-2</v>
      </c>
    </row>
    <row r="8937" spans="6:7" x14ac:dyDescent="0.25">
      <c r="F8937">
        <v>8934</v>
      </c>
      <c r="G8937">
        <f ca="1">_xlfn.NORM.INV(RAND(),$M$7,$M$8)</f>
        <v>-1.1862346355499615E-2</v>
      </c>
    </row>
    <row r="8938" spans="6:7" x14ac:dyDescent="0.25">
      <c r="F8938">
        <v>8935</v>
      </c>
      <c r="G8938">
        <f ca="1">_xlfn.NORM.INV(RAND(),$M$7,$M$8)</f>
        <v>1.7695861522330034E-2</v>
      </c>
    </row>
    <row r="8939" spans="6:7" x14ac:dyDescent="0.25">
      <c r="F8939">
        <v>8936</v>
      </c>
      <c r="G8939">
        <f ca="1">_xlfn.NORM.INV(RAND(),$M$7,$M$8)</f>
        <v>2.2029217525311784E-2</v>
      </c>
    </row>
    <row r="8940" spans="6:7" x14ac:dyDescent="0.25">
      <c r="F8940">
        <v>8937</v>
      </c>
      <c r="G8940">
        <f ca="1">_xlfn.NORM.INV(RAND(),$M$7,$M$8)</f>
        <v>-4.9434683327193092E-2</v>
      </c>
    </row>
    <row r="8941" spans="6:7" x14ac:dyDescent="0.25">
      <c r="F8941">
        <v>8938</v>
      </c>
      <c r="G8941">
        <f ca="1">_xlfn.NORM.INV(RAND(),$M$7,$M$8)</f>
        <v>-1.7976520747232633E-2</v>
      </c>
    </row>
    <row r="8942" spans="6:7" x14ac:dyDescent="0.25">
      <c r="F8942">
        <v>8939</v>
      </c>
      <c r="G8942">
        <f ca="1">_xlfn.NORM.INV(RAND(),$M$7,$M$8)</f>
        <v>-1.2718656761118012E-2</v>
      </c>
    </row>
    <row r="8943" spans="6:7" x14ac:dyDescent="0.25">
      <c r="F8943">
        <v>8940</v>
      </c>
      <c r="G8943">
        <f ca="1">_xlfn.NORM.INV(RAND(),$M$7,$M$8)</f>
        <v>2.9874557432167409E-2</v>
      </c>
    </row>
    <row r="8944" spans="6:7" x14ac:dyDescent="0.25">
      <c r="F8944">
        <v>8941</v>
      </c>
      <c r="G8944">
        <f ca="1">_xlfn.NORM.INV(RAND(),$M$7,$M$8)</f>
        <v>1.822817497043305E-2</v>
      </c>
    </row>
    <row r="8945" spans="6:7" x14ac:dyDescent="0.25">
      <c r="F8945">
        <v>8942</v>
      </c>
      <c r="G8945">
        <f ca="1">_xlfn.NORM.INV(RAND(),$M$7,$M$8)</f>
        <v>-2.8091712249719038E-2</v>
      </c>
    </row>
    <row r="8946" spans="6:7" x14ac:dyDescent="0.25">
      <c r="F8946">
        <v>8943</v>
      </c>
      <c r="G8946">
        <f ca="1">_xlfn.NORM.INV(RAND(),$M$7,$M$8)</f>
        <v>-6.4369990936910537E-3</v>
      </c>
    </row>
    <row r="8947" spans="6:7" x14ac:dyDescent="0.25">
      <c r="F8947">
        <v>8944</v>
      </c>
      <c r="G8947">
        <f ca="1">_xlfn.NORM.INV(RAND(),$M$7,$M$8)</f>
        <v>1.4278997141371515E-2</v>
      </c>
    </row>
    <row r="8948" spans="6:7" x14ac:dyDescent="0.25">
      <c r="F8948">
        <v>8945</v>
      </c>
      <c r="G8948">
        <f ca="1">_xlfn.NORM.INV(RAND(),$M$7,$M$8)</f>
        <v>-1.3466271522729115E-2</v>
      </c>
    </row>
    <row r="8949" spans="6:7" x14ac:dyDescent="0.25">
      <c r="F8949">
        <v>8946</v>
      </c>
      <c r="G8949">
        <f ca="1">_xlfn.NORM.INV(RAND(),$M$7,$M$8)</f>
        <v>-5.4287993596890856E-3</v>
      </c>
    </row>
    <row r="8950" spans="6:7" x14ac:dyDescent="0.25">
      <c r="F8950">
        <v>8947</v>
      </c>
      <c r="G8950">
        <f ca="1">_xlfn.NORM.INV(RAND(),$M$7,$M$8)</f>
        <v>3.4153586762950563E-3</v>
      </c>
    </row>
    <row r="8951" spans="6:7" x14ac:dyDescent="0.25">
      <c r="F8951">
        <v>8948</v>
      </c>
      <c r="G8951">
        <f ca="1">_xlfn.NORM.INV(RAND(),$M$7,$M$8)</f>
        <v>-2.5668925680482218E-2</v>
      </c>
    </row>
    <row r="8952" spans="6:7" x14ac:dyDescent="0.25">
      <c r="F8952">
        <v>8949</v>
      </c>
      <c r="G8952">
        <f ca="1">_xlfn.NORM.INV(RAND(),$M$7,$M$8)</f>
        <v>2.7641807249255647E-3</v>
      </c>
    </row>
    <row r="8953" spans="6:7" x14ac:dyDescent="0.25">
      <c r="F8953">
        <v>8950</v>
      </c>
      <c r="G8953">
        <f ca="1">_xlfn.NORM.INV(RAND(),$M$7,$M$8)</f>
        <v>1.1295655618177605E-2</v>
      </c>
    </row>
    <row r="8954" spans="6:7" x14ac:dyDescent="0.25">
      <c r="F8954">
        <v>8951</v>
      </c>
      <c r="G8954">
        <f ca="1">_xlfn.NORM.INV(RAND(),$M$7,$M$8)</f>
        <v>-1.5043875766260862E-2</v>
      </c>
    </row>
    <row r="8955" spans="6:7" x14ac:dyDescent="0.25">
      <c r="F8955">
        <v>8952</v>
      </c>
      <c r="G8955">
        <f ca="1">_xlfn.NORM.INV(RAND(),$M$7,$M$8)</f>
        <v>3.5363073551979429E-2</v>
      </c>
    </row>
    <row r="8956" spans="6:7" x14ac:dyDescent="0.25">
      <c r="F8956">
        <v>8953</v>
      </c>
      <c r="G8956">
        <f ca="1">_xlfn.NORM.INV(RAND(),$M$7,$M$8)</f>
        <v>6.6321960393363206E-3</v>
      </c>
    </row>
    <row r="8957" spans="6:7" x14ac:dyDescent="0.25">
      <c r="F8957">
        <v>8954</v>
      </c>
      <c r="G8957">
        <f ca="1">_xlfn.NORM.INV(RAND(),$M$7,$M$8)</f>
        <v>5.8467145523227477E-3</v>
      </c>
    </row>
    <row r="8958" spans="6:7" x14ac:dyDescent="0.25">
      <c r="F8958">
        <v>8955</v>
      </c>
      <c r="G8958">
        <f ca="1">_xlfn.NORM.INV(RAND(),$M$7,$M$8)</f>
        <v>2.8591346407385917E-2</v>
      </c>
    </row>
    <row r="8959" spans="6:7" x14ac:dyDescent="0.25">
      <c r="F8959">
        <v>8956</v>
      </c>
      <c r="G8959">
        <f ca="1">_xlfn.NORM.INV(RAND(),$M$7,$M$8)</f>
        <v>2.6687992883266315E-2</v>
      </c>
    </row>
    <row r="8960" spans="6:7" x14ac:dyDescent="0.25">
      <c r="F8960">
        <v>8957</v>
      </c>
      <c r="G8960">
        <f ca="1">_xlfn.NORM.INV(RAND(),$M$7,$M$8)</f>
        <v>-2.1669713716250491E-3</v>
      </c>
    </row>
    <row r="8961" spans="6:7" x14ac:dyDescent="0.25">
      <c r="F8961">
        <v>8958</v>
      </c>
      <c r="G8961">
        <f ca="1">_xlfn.NORM.INV(RAND(),$M$7,$M$8)</f>
        <v>-5.4729723285430847E-3</v>
      </c>
    </row>
    <row r="8962" spans="6:7" x14ac:dyDescent="0.25">
      <c r="F8962">
        <v>8959</v>
      </c>
      <c r="G8962">
        <f ca="1">_xlfn.NORM.INV(RAND(),$M$7,$M$8)</f>
        <v>1.2926968504588351E-2</v>
      </c>
    </row>
    <row r="8963" spans="6:7" x14ac:dyDescent="0.25">
      <c r="F8963">
        <v>8960</v>
      </c>
      <c r="G8963">
        <f ca="1">_xlfn.NORM.INV(RAND(),$M$7,$M$8)</f>
        <v>-3.1801063030363515E-2</v>
      </c>
    </row>
    <row r="8964" spans="6:7" x14ac:dyDescent="0.25">
      <c r="F8964">
        <v>8961</v>
      </c>
      <c r="G8964">
        <f ca="1">_xlfn.NORM.INV(RAND(),$M$7,$M$8)</f>
        <v>2.7041372285669281E-2</v>
      </c>
    </row>
    <row r="8965" spans="6:7" x14ac:dyDescent="0.25">
      <c r="F8965">
        <v>8962</v>
      </c>
      <c r="G8965">
        <f ca="1">_xlfn.NORM.INV(RAND(),$M$7,$M$8)</f>
        <v>-2.3887751781998329E-2</v>
      </c>
    </row>
    <row r="8966" spans="6:7" x14ac:dyDescent="0.25">
      <c r="F8966">
        <v>8963</v>
      </c>
      <c r="G8966">
        <f ca="1">_xlfn.NORM.INV(RAND(),$M$7,$M$8)</f>
        <v>-5.3278548659527365E-3</v>
      </c>
    </row>
    <row r="8967" spans="6:7" x14ac:dyDescent="0.25">
      <c r="F8967">
        <v>8964</v>
      </c>
      <c r="G8967">
        <f ca="1">_xlfn.NORM.INV(RAND(),$M$7,$M$8)</f>
        <v>-1.3676219710965561E-2</v>
      </c>
    </row>
    <row r="8968" spans="6:7" x14ac:dyDescent="0.25">
      <c r="F8968">
        <v>8965</v>
      </c>
      <c r="G8968">
        <f ca="1">_xlfn.NORM.INV(RAND(),$M$7,$M$8)</f>
        <v>-4.8721967538947045E-2</v>
      </c>
    </row>
    <row r="8969" spans="6:7" x14ac:dyDescent="0.25">
      <c r="F8969">
        <v>8966</v>
      </c>
      <c r="G8969">
        <f ca="1">_xlfn.NORM.INV(RAND(),$M$7,$M$8)</f>
        <v>2.6462910762496406E-2</v>
      </c>
    </row>
    <row r="8970" spans="6:7" x14ac:dyDescent="0.25">
      <c r="F8970">
        <v>8967</v>
      </c>
      <c r="G8970">
        <f ca="1">_xlfn.NORM.INV(RAND(),$M$7,$M$8)</f>
        <v>-1.6185943129880362E-3</v>
      </c>
    </row>
    <row r="8971" spans="6:7" x14ac:dyDescent="0.25">
      <c r="F8971">
        <v>8968</v>
      </c>
      <c r="G8971">
        <f ca="1">_xlfn.NORM.INV(RAND(),$M$7,$M$8)</f>
        <v>5.4318927254241034E-2</v>
      </c>
    </row>
    <row r="8972" spans="6:7" x14ac:dyDescent="0.25">
      <c r="F8972">
        <v>8969</v>
      </c>
      <c r="G8972">
        <f ca="1">_xlfn.NORM.INV(RAND(),$M$7,$M$8)</f>
        <v>6.8082951001511814E-3</v>
      </c>
    </row>
    <row r="8973" spans="6:7" x14ac:dyDescent="0.25">
      <c r="F8973">
        <v>8970</v>
      </c>
      <c r="G8973">
        <f ca="1">_xlfn.NORM.INV(RAND(),$M$7,$M$8)</f>
        <v>-2.9674263750384063E-2</v>
      </c>
    </row>
    <row r="8974" spans="6:7" x14ac:dyDescent="0.25">
      <c r="F8974">
        <v>8971</v>
      </c>
      <c r="G8974">
        <f ca="1">_xlfn.NORM.INV(RAND(),$M$7,$M$8)</f>
        <v>-3.7807553438861581E-3</v>
      </c>
    </row>
    <row r="8975" spans="6:7" x14ac:dyDescent="0.25">
      <c r="F8975">
        <v>8972</v>
      </c>
      <c r="G8975">
        <f ca="1">_xlfn.NORM.INV(RAND(),$M$7,$M$8)</f>
        <v>1.3321328433952064E-2</v>
      </c>
    </row>
    <row r="8976" spans="6:7" x14ac:dyDescent="0.25">
      <c r="F8976">
        <v>8973</v>
      </c>
      <c r="G8976">
        <f ca="1">_xlfn.NORM.INV(RAND(),$M$7,$M$8)</f>
        <v>-2.1946985194481437E-2</v>
      </c>
    </row>
    <row r="8977" spans="6:7" x14ac:dyDescent="0.25">
      <c r="F8977">
        <v>8974</v>
      </c>
      <c r="G8977">
        <f ca="1">_xlfn.NORM.INV(RAND(),$M$7,$M$8)</f>
        <v>1.4451561934486771E-2</v>
      </c>
    </row>
    <row r="8978" spans="6:7" x14ac:dyDescent="0.25">
      <c r="F8978">
        <v>8975</v>
      </c>
      <c r="G8978">
        <f ca="1">_xlfn.NORM.INV(RAND(),$M$7,$M$8)</f>
        <v>1.2543032272594422E-2</v>
      </c>
    </row>
    <row r="8979" spans="6:7" x14ac:dyDescent="0.25">
      <c r="F8979">
        <v>8976</v>
      </c>
      <c r="G8979">
        <f ca="1">_xlfn.NORM.INV(RAND(),$M$7,$M$8)</f>
        <v>1.5480242359817051E-2</v>
      </c>
    </row>
    <row r="8980" spans="6:7" x14ac:dyDescent="0.25">
      <c r="F8980">
        <v>8977</v>
      </c>
      <c r="G8980">
        <f ca="1">_xlfn.NORM.INV(RAND(),$M$7,$M$8)</f>
        <v>1.9046770972244859E-2</v>
      </c>
    </row>
    <row r="8981" spans="6:7" x14ac:dyDescent="0.25">
      <c r="F8981">
        <v>8978</v>
      </c>
      <c r="G8981">
        <f ca="1">_xlfn.NORM.INV(RAND(),$M$7,$M$8)</f>
        <v>-9.8717984515765819E-4</v>
      </c>
    </row>
    <row r="8982" spans="6:7" x14ac:dyDescent="0.25">
      <c r="F8982">
        <v>8979</v>
      </c>
      <c r="G8982">
        <f ca="1">_xlfn.NORM.INV(RAND(),$M$7,$M$8)</f>
        <v>-1.5931303546612048E-2</v>
      </c>
    </row>
    <row r="8983" spans="6:7" x14ac:dyDescent="0.25">
      <c r="F8983">
        <v>8980</v>
      </c>
      <c r="G8983">
        <f ca="1">_xlfn.NORM.INV(RAND(),$M$7,$M$8)</f>
        <v>1.9331747099150337E-2</v>
      </c>
    </row>
    <row r="8984" spans="6:7" x14ac:dyDescent="0.25">
      <c r="F8984">
        <v>8981</v>
      </c>
      <c r="G8984">
        <f ca="1">_xlfn.NORM.INV(RAND(),$M$7,$M$8)</f>
        <v>4.5697883234176902E-2</v>
      </c>
    </row>
    <row r="8985" spans="6:7" x14ac:dyDescent="0.25">
      <c r="F8985">
        <v>8982</v>
      </c>
      <c r="G8985">
        <f ca="1">_xlfn.NORM.INV(RAND(),$M$7,$M$8)</f>
        <v>4.5514114303405913E-2</v>
      </c>
    </row>
    <row r="8986" spans="6:7" x14ac:dyDescent="0.25">
      <c r="F8986">
        <v>8983</v>
      </c>
      <c r="G8986">
        <f ca="1">_xlfn.NORM.INV(RAND(),$M$7,$M$8)</f>
        <v>1.4084014518336744E-2</v>
      </c>
    </row>
    <row r="8987" spans="6:7" x14ac:dyDescent="0.25">
      <c r="F8987">
        <v>8984</v>
      </c>
      <c r="G8987">
        <f ca="1">_xlfn.NORM.INV(RAND(),$M$7,$M$8)</f>
        <v>-6.1975156654310061E-3</v>
      </c>
    </row>
    <row r="8988" spans="6:7" x14ac:dyDescent="0.25">
      <c r="F8988">
        <v>8985</v>
      </c>
      <c r="G8988">
        <f ca="1">_xlfn.NORM.INV(RAND(),$M$7,$M$8)</f>
        <v>5.6881898969145719E-3</v>
      </c>
    </row>
    <row r="8989" spans="6:7" x14ac:dyDescent="0.25">
      <c r="F8989">
        <v>8986</v>
      </c>
      <c r="G8989">
        <f ca="1">_xlfn.NORM.INV(RAND(),$M$7,$M$8)</f>
        <v>-9.0775858912368491E-3</v>
      </c>
    </row>
    <row r="8990" spans="6:7" x14ac:dyDescent="0.25">
      <c r="F8990">
        <v>8987</v>
      </c>
      <c r="G8990">
        <f ca="1">_xlfn.NORM.INV(RAND(),$M$7,$M$8)</f>
        <v>1.600704803592631E-2</v>
      </c>
    </row>
    <row r="8991" spans="6:7" x14ac:dyDescent="0.25">
      <c r="F8991">
        <v>8988</v>
      </c>
      <c r="G8991">
        <f ca="1">_xlfn.NORM.INV(RAND(),$M$7,$M$8)</f>
        <v>-2.0355616883848286E-2</v>
      </c>
    </row>
    <row r="8992" spans="6:7" x14ac:dyDescent="0.25">
      <c r="F8992">
        <v>8989</v>
      </c>
      <c r="G8992">
        <f ca="1">_xlfn.NORM.INV(RAND(),$M$7,$M$8)</f>
        <v>9.5416202799853149E-4</v>
      </c>
    </row>
    <row r="8993" spans="6:7" x14ac:dyDescent="0.25">
      <c r="F8993">
        <v>8990</v>
      </c>
      <c r="G8993">
        <f ca="1">_xlfn.NORM.INV(RAND(),$M$7,$M$8)</f>
        <v>-3.1166584407891568E-2</v>
      </c>
    </row>
    <row r="8994" spans="6:7" x14ac:dyDescent="0.25">
      <c r="F8994">
        <v>8991</v>
      </c>
      <c r="G8994">
        <f ca="1">_xlfn.NORM.INV(RAND(),$M$7,$M$8)</f>
        <v>1.1198805655653088E-2</v>
      </c>
    </row>
    <row r="8995" spans="6:7" x14ac:dyDescent="0.25">
      <c r="F8995">
        <v>8992</v>
      </c>
      <c r="G8995">
        <f ca="1">_xlfn.NORM.INV(RAND(),$M$7,$M$8)</f>
        <v>-4.1568015705653903E-2</v>
      </c>
    </row>
    <row r="8996" spans="6:7" x14ac:dyDescent="0.25">
      <c r="F8996">
        <v>8993</v>
      </c>
      <c r="G8996">
        <f ca="1">_xlfn.NORM.INV(RAND(),$M$7,$M$8)</f>
        <v>2.7750134932113809E-2</v>
      </c>
    </row>
    <row r="8997" spans="6:7" x14ac:dyDescent="0.25">
      <c r="F8997">
        <v>8994</v>
      </c>
      <c r="G8997">
        <f ca="1">_xlfn.NORM.INV(RAND(),$M$7,$M$8)</f>
        <v>-4.6502623444332359E-3</v>
      </c>
    </row>
    <row r="8998" spans="6:7" x14ac:dyDescent="0.25">
      <c r="F8998">
        <v>8995</v>
      </c>
      <c r="G8998">
        <f ca="1">_xlfn.NORM.INV(RAND(),$M$7,$M$8)</f>
        <v>1.7002069705230331E-2</v>
      </c>
    </row>
    <row r="8999" spans="6:7" x14ac:dyDescent="0.25">
      <c r="F8999">
        <v>8996</v>
      </c>
      <c r="G8999">
        <f ca="1">_xlfn.NORM.INV(RAND(),$M$7,$M$8)</f>
        <v>-4.0190668207491329E-2</v>
      </c>
    </row>
    <row r="9000" spans="6:7" x14ac:dyDescent="0.25">
      <c r="F9000">
        <v>8997</v>
      </c>
      <c r="G9000">
        <f ca="1">_xlfn.NORM.INV(RAND(),$M$7,$M$8)</f>
        <v>7.2670859240716174E-3</v>
      </c>
    </row>
    <row r="9001" spans="6:7" x14ac:dyDescent="0.25">
      <c r="F9001">
        <v>8998</v>
      </c>
      <c r="G9001">
        <f ca="1">_xlfn.NORM.INV(RAND(),$M$7,$M$8)</f>
        <v>1.2324981175092042E-2</v>
      </c>
    </row>
    <row r="9002" spans="6:7" x14ac:dyDescent="0.25">
      <c r="F9002">
        <v>8999</v>
      </c>
      <c r="G9002">
        <f ca="1">_xlfn.NORM.INV(RAND(),$M$7,$M$8)</f>
        <v>8.2144552623348421E-3</v>
      </c>
    </row>
    <row r="9003" spans="6:7" x14ac:dyDescent="0.25">
      <c r="F9003">
        <v>9000</v>
      </c>
      <c r="G9003">
        <f ca="1">_xlfn.NORM.INV(RAND(),$M$7,$M$8)</f>
        <v>1.1048583163360272E-2</v>
      </c>
    </row>
    <row r="9004" spans="6:7" x14ac:dyDescent="0.25">
      <c r="F9004">
        <v>9001</v>
      </c>
      <c r="G9004">
        <f ca="1">_xlfn.NORM.INV(RAND(),$M$7,$M$8)</f>
        <v>3.0912658878485905E-2</v>
      </c>
    </row>
    <row r="9005" spans="6:7" x14ac:dyDescent="0.25">
      <c r="F9005">
        <v>9002</v>
      </c>
      <c r="G9005">
        <f ca="1">_xlfn.NORM.INV(RAND(),$M$7,$M$8)</f>
        <v>-4.7157037648632869E-2</v>
      </c>
    </row>
    <row r="9006" spans="6:7" x14ac:dyDescent="0.25">
      <c r="F9006">
        <v>9003</v>
      </c>
      <c r="G9006">
        <f ca="1">_xlfn.NORM.INV(RAND(),$M$7,$M$8)</f>
        <v>-8.2943064140443079E-4</v>
      </c>
    </row>
    <row r="9007" spans="6:7" x14ac:dyDescent="0.25">
      <c r="F9007">
        <v>9004</v>
      </c>
      <c r="G9007">
        <f ca="1">_xlfn.NORM.INV(RAND(),$M$7,$M$8)</f>
        <v>-2.3174463350433745E-3</v>
      </c>
    </row>
    <row r="9008" spans="6:7" x14ac:dyDescent="0.25">
      <c r="F9008">
        <v>9005</v>
      </c>
      <c r="G9008">
        <f ca="1">_xlfn.NORM.INV(RAND(),$M$7,$M$8)</f>
        <v>4.8511193537452597E-3</v>
      </c>
    </row>
    <row r="9009" spans="6:7" x14ac:dyDescent="0.25">
      <c r="F9009">
        <v>9006</v>
      </c>
      <c r="G9009">
        <f ca="1">_xlfn.NORM.INV(RAND(),$M$7,$M$8)</f>
        <v>-3.5611427663577899E-3</v>
      </c>
    </row>
    <row r="9010" spans="6:7" x14ac:dyDescent="0.25">
      <c r="F9010">
        <v>9007</v>
      </c>
      <c r="G9010">
        <f ca="1">_xlfn.NORM.INV(RAND(),$M$7,$M$8)</f>
        <v>1.1062983164145224E-2</v>
      </c>
    </row>
    <row r="9011" spans="6:7" x14ac:dyDescent="0.25">
      <c r="F9011">
        <v>9008</v>
      </c>
      <c r="G9011">
        <f ca="1">_xlfn.NORM.INV(RAND(),$M$7,$M$8)</f>
        <v>1.4540551382018667E-2</v>
      </c>
    </row>
    <row r="9012" spans="6:7" x14ac:dyDescent="0.25">
      <c r="F9012">
        <v>9009</v>
      </c>
      <c r="G9012">
        <f ca="1">_xlfn.NORM.INV(RAND(),$M$7,$M$8)</f>
        <v>1.4914410977737599E-2</v>
      </c>
    </row>
    <row r="9013" spans="6:7" x14ac:dyDescent="0.25">
      <c r="F9013">
        <v>9010</v>
      </c>
      <c r="G9013">
        <f ca="1">_xlfn.NORM.INV(RAND(),$M$7,$M$8)</f>
        <v>-3.9251970585804714E-2</v>
      </c>
    </row>
    <row r="9014" spans="6:7" x14ac:dyDescent="0.25">
      <c r="F9014">
        <v>9011</v>
      </c>
      <c r="G9014">
        <f ca="1">_xlfn.NORM.INV(RAND(),$M$7,$M$8)</f>
        <v>-2.3208636349919317E-2</v>
      </c>
    </row>
    <row r="9015" spans="6:7" x14ac:dyDescent="0.25">
      <c r="F9015">
        <v>9012</v>
      </c>
      <c r="G9015">
        <f ca="1">_xlfn.NORM.INV(RAND(),$M$7,$M$8)</f>
        <v>-2.0037545343571301E-3</v>
      </c>
    </row>
    <row r="9016" spans="6:7" x14ac:dyDescent="0.25">
      <c r="F9016">
        <v>9013</v>
      </c>
      <c r="G9016">
        <f ca="1">_xlfn.NORM.INV(RAND(),$M$7,$M$8)</f>
        <v>-5.4820183282479912E-3</v>
      </c>
    </row>
    <row r="9017" spans="6:7" x14ac:dyDescent="0.25">
      <c r="F9017">
        <v>9014</v>
      </c>
      <c r="G9017">
        <f ca="1">_xlfn.NORM.INV(RAND(),$M$7,$M$8)</f>
        <v>-1.9178054659625007E-2</v>
      </c>
    </row>
    <row r="9018" spans="6:7" x14ac:dyDescent="0.25">
      <c r="F9018">
        <v>9015</v>
      </c>
      <c r="G9018">
        <f ca="1">_xlfn.NORM.INV(RAND(),$M$7,$M$8)</f>
        <v>2.9579086655585948E-2</v>
      </c>
    </row>
    <row r="9019" spans="6:7" x14ac:dyDescent="0.25">
      <c r="F9019">
        <v>9016</v>
      </c>
      <c r="G9019">
        <f ca="1">_xlfn.NORM.INV(RAND(),$M$7,$M$8)</f>
        <v>7.855304219019919E-3</v>
      </c>
    </row>
    <row r="9020" spans="6:7" x14ac:dyDescent="0.25">
      <c r="F9020">
        <v>9017</v>
      </c>
      <c r="G9020">
        <f ca="1">_xlfn.NORM.INV(RAND(),$M$7,$M$8)</f>
        <v>-2.4246739340045023E-2</v>
      </c>
    </row>
    <row r="9021" spans="6:7" x14ac:dyDescent="0.25">
      <c r="F9021">
        <v>9018</v>
      </c>
      <c r="G9021">
        <f ca="1">_xlfn.NORM.INV(RAND(),$M$7,$M$8)</f>
        <v>3.7859460140460093E-2</v>
      </c>
    </row>
    <row r="9022" spans="6:7" x14ac:dyDescent="0.25">
      <c r="F9022">
        <v>9019</v>
      </c>
      <c r="G9022">
        <f ca="1">_xlfn.NORM.INV(RAND(),$M$7,$M$8)</f>
        <v>2.7816124663127339E-2</v>
      </c>
    </row>
    <row r="9023" spans="6:7" x14ac:dyDescent="0.25">
      <c r="F9023">
        <v>9020</v>
      </c>
      <c r="G9023">
        <f ca="1">_xlfn.NORM.INV(RAND(),$M$7,$M$8)</f>
        <v>6.4669128204118687E-3</v>
      </c>
    </row>
    <row r="9024" spans="6:7" x14ac:dyDescent="0.25">
      <c r="F9024">
        <v>9021</v>
      </c>
      <c r="G9024">
        <f ca="1">_xlfn.NORM.INV(RAND(),$M$7,$M$8)</f>
        <v>8.1066578786454374E-3</v>
      </c>
    </row>
    <row r="9025" spans="6:7" x14ac:dyDescent="0.25">
      <c r="F9025">
        <v>9022</v>
      </c>
      <c r="G9025">
        <f ca="1">_xlfn.NORM.INV(RAND(),$M$7,$M$8)</f>
        <v>-7.3997238702731179E-3</v>
      </c>
    </row>
    <row r="9026" spans="6:7" x14ac:dyDescent="0.25">
      <c r="F9026">
        <v>9023</v>
      </c>
      <c r="G9026">
        <f ca="1">_xlfn.NORM.INV(RAND(),$M$7,$M$8)</f>
        <v>-2.5137235351609201E-2</v>
      </c>
    </row>
    <row r="9027" spans="6:7" x14ac:dyDescent="0.25">
      <c r="F9027">
        <v>9024</v>
      </c>
      <c r="G9027">
        <f ca="1">_xlfn.NORM.INV(RAND(),$M$7,$M$8)</f>
        <v>-8.2092962502765838E-3</v>
      </c>
    </row>
    <row r="9028" spans="6:7" x14ac:dyDescent="0.25">
      <c r="F9028">
        <v>9025</v>
      </c>
      <c r="G9028">
        <f ca="1">_xlfn.NORM.INV(RAND(),$M$7,$M$8)</f>
        <v>9.7165539553957896E-3</v>
      </c>
    </row>
    <row r="9029" spans="6:7" x14ac:dyDescent="0.25">
      <c r="F9029">
        <v>9026</v>
      </c>
      <c r="G9029">
        <f ca="1">_xlfn.NORM.INV(RAND(),$M$7,$M$8)</f>
        <v>1.318423747587452E-2</v>
      </c>
    </row>
    <row r="9030" spans="6:7" x14ac:dyDescent="0.25">
      <c r="F9030">
        <v>9027</v>
      </c>
      <c r="G9030">
        <f ca="1">_xlfn.NORM.INV(RAND(),$M$7,$M$8)</f>
        <v>2.830416790520977E-2</v>
      </c>
    </row>
    <row r="9031" spans="6:7" x14ac:dyDescent="0.25">
      <c r="F9031">
        <v>9028</v>
      </c>
      <c r="G9031">
        <f ca="1">_xlfn.NORM.INV(RAND(),$M$7,$M$8)</f>
        <v>-1.6056057919291475E-2</v>
      </c>
    </row>
    <row r="9032" spans="6:7" x14ac:dyDescent="0.25">
      <c r="F9032">
        <v>9029</v>
      </c>
      <c r="G9032">
        <f ca="1">_xlfn.NORM.INV(RAND(),$M$7,$M$8)</f>
        <v>-8.7730555596682216E-3</v>
      </c>
    </row>
    <row r="9033" spans="6:7" x14ac:dyDescent="0.25">
      <c r="F9033">
        <v>9030</v>
      </c>
      <c r="G9033">
        <f ca="1">_xlfn.NORM.INV(RAND(),$M$7,$M$8)</f>
        <v>6.6535163993905119E-3</v>
      </c>
    </row>
    <row r="9034" spans="6:7" x14ac:dyDescent="0.25">
      <c r="F9034">
        <v>9031</v>
      </c>
      <c r="G9034">
        <f ca="1">_xlfn.NORM.INV(RAND(),$M$7,$M$8)</f>
        <v>3.2915990897866967E-2</v>
      </c>
    </row>
    <row r="9035" spans="6:7" x14ac:dyDescent="0.25">
      <c r="F9035">
        <v>9032</v>
      </c>
      <c r="G9035">
        <f ca="1">_xlfn.NORM.INV(RAND(),$M$7,$M$8)</f>
        <v>2.5237302895526639E-2</v>
      </c>
    </row>
    <row r="9036" spans="6:7" x14ac:dyDescent="0.25">
      <c r="F9036">
        <v>9033</v>
      </c>
      <c r="G9036">
        <f ca="1">_xlfn.NORM.INV(RAND(),$M$7,$M$8)</f>
        <v>5.2747409981063701E-3</v>
      </c>
    </row>
    <row r="9037" spans="6:7" x14ac:dyDescent="0.25">
      <c r="F9037">
        <v>9034</v>
      </c>
      <c r="G9037">
        <f ca="1">_xlfn.NORM.INV(RAND(),$M$7,$M$8)</f>
        <v>2.5236792410604135E-2</v>
      </c>
    </row>
    <row r="9038" spans="6:7" x14ac:dyDescent="0.25">
      <c r="F9038">
        <v>9035</v>
      </c>
      <c r="G9038">
        <f ca="1">_xlfn.NORM.INV(RAND(),$M$7,$M$8)</f>
        <v>2.8181317795508549E-2</v>
      </c>
    </row>
    <row r="9039" spans="6:7" x14ac:dyDescent="0.25">
      <c r="F9039">
        <v>9036</v>
      </c>
      <c r="G9039">
        <f ca="1">_xlfn.NORM.INV(RAND(),$M$7,$M$8)</f>
        <v>-1.6340955315941607E-2</v>
      </c>
    </row>
    <row r="9040" spans="6:7" x14ac:dyDescent="0.25">
      <c r="F9040">
        <v>9037</v>
      </c>
      <c r="G9040">
        <f ca="1">_xlfn.NORM.INV(RAND(),$M$7,$M$8)</f>
        <v>-2.9119258599353791E-2</v>
      </c>
    </row>
    <row r="9041" spans="6:7" x14ac:dyDescent="0.25">
      <c r="F9041">
        <v>9038</v>
      </c>
      <c r="G9041">
        <f ca="1">_xlfn.NORM.INV(RAND(),$M$7,$M$8)</f>
        <v>5.0159735851935054E-2</v>
      </c>
    </row>
    <row r="9042" spans="6:7" x14ac:dyDescent="0.25">
      <c r="F9042">
        <v>9039</v>
      </c>
      <c r="G9042">
        <f ca="1">_xlfn.NORM.INV(RAND(),$M$7,$M$8)</f>
        <v>-3.4103890532736783E-2</v>
      </c>
    </row>
    <row r="9043" spans="6:7" x14ac:dyDescent="0.25">
      <c r="F9043">
        <v>9040</v>
      </c>
      <c r="G9043">
        <f ca="1">_xlfn.NORM.INV(RAND(),$M$7,$M$8)</f>
        <v>8.1387956691857215E-3</v>
      </c>
    </row>
    <row r="9044" spans="6:7" x14ac:dyDescent="0.25">
      <c r="F9044">
        <v>9041</v>
      </c>
      <c r="G9044">
        <f ca="1">_xlfn.NORM.INV(RAND(),$M$7,$M$8)</f>
        <v>3.2341217153915094E-3</v>
      </c>
    </row>
    <row r="9045" spans="6:7" x14ac:dyDescent="0.25">
      <c r="F9045">
        <v>9042</v>
      </c>
      <c r="G9045">
        <f ca="1">_xlfn.NORM.INV(RAND(),$M$7,$M$8)</f>
        <v>4.6833196166251562E-2</v>
      </c>
    </row>
    <row r="9046" spans="6:7" x14ac:dyDescent="0.25">
      <c r="F9046">
        <v>9043</v>
      </c>
      <c r="G9046">
        <f ca="1">_xlfn.NORM.INV(RAND(),$M$7,$M$8)</f>
        <v>1.2945983278996681E-2</v>
      </c>
    </row>
    <row r="9047" spans="6:7" x14ac:dyDescent="0.25">
      <c r="F9047">
        <v>9044</v>
      </c>
      <c r="G9047">
        <f ca="1">_xlfn.NORM.INV(RAND(),$M$7,$M$8)</f>
        <v>-6.5073667268876183E-3</v>
      </c>
    </row>
    <row r="9048" spans="6:7" x14ac:dyDescent="0.25">
      <c r="F9048">
        <v>9045</v>
      </c>
      <c r="G9048">
        <f ca="1">_xlfn.NORM.INV(RAND(),$M$7,$M$8)</f>
        <v>1.4917071158309422E-4</v>
      </c>
    </row>
    <row r="9049" spans="6:7" x14ac:dyDescent="0.25">
      <c r="F9049">
        <v>9046</v>
      </c>
      <c r="G9049">
        <f ca="1">_xlfn.NORM.INV(RAND(),$M$7,$M$8)</f>
        <v>-1.4178012162304618E-2</v>
      </c>
    </row>
    <row r="9050" spans="6:7" x14ac:dyDescent="0.25">
      <c r="F9050">
        <v>9047</v>
      </c>
      <c r="G9050">
        <f ca="1">_xlfn.NORM.INV(RAND(),$M$7,$M$8)</f>
        <v>1.3957405762037221E-2</v>
      </c>
    </row>
    <row r="9051" spans="6:7" x14ac:dyDescent="0.25">
      <c r="F9051">
        <v>9048</v>
      </c>
      <c r="G9051">
        <f ca="1">_xlfn.NORM.INV(RAND(),$M$7,$M$8)</f>
        <v>-4.9842363654184492E-2</v>
      </c>
    </row>
    <row r="9052" spans="6:7" x14ac:dyDescent="0.25">
      <c r="F9052">
        <v>9049</v>
      </c>
      <c r="G9052">
        <f ca="1">_xlfn.NORM.INV(RAND(),$M$7,$M$8)</f>
        <v>3.603489379997403E-3</v>
      </c>
    </row>
    <row r="9053" spans="6:7" x14ac:dyDescent="0.25">
      <c r="F9053">
        <v>9050</v>
      </c>
      <c r="G9053">
        <f ca="1">_xlfn.NORM.INV(RAND(),$M$7,$M$8)</f>
        <v>1.8621031357940056E-2</v>
      </c>
    </row>
    <row r="9054" spans="6:7" x14ac:dyDescent="0.25">
      <c r="F9054">
        <v>9051</v>
      </c>
      <c r="G9054">
        <f ca="1">_xlfn.NORM.INV(RAND(),$M$7,$M$8)</f>
        <v>1.8125476839136848E-2</v>
      </c>
    </row>
    <row r="9055" spans="6:7" x14ac:dyDescent="0.25">
      <c r="F9055">
        <v>9052</v>
      </c>
      <c r="G9055">
        <f ca="1">_xlfn.NORM.INV(RAND(),$M$7,$M$8)</f>
        <v>-1.0635598383182308E-2</v>
      </c>
    </row>
    <row r="9056" spans="6:7" x14ac:dyDescent="0.25">
      <c r="F9056">
        <v>9053</v>
      </c>
      <c r="G9056">
        <f ca="1">_xlfn.NORM.INV(RAND(),$M$7,$M$8)</f>
        <v>-4.697304362380984E-3</v>
      </c>
    </row>
    <row r="9057" spans="6:7" x14ac:dyDescent="0.25">
      <c r="F9057">
        <v>9054</v>
      </c>
      <c r="G9057">
        <f ca="1">_xlfn.NORM.INV(RAND(),$M$7,$M$8)</f>
        <v>4.3119696700019583E-2</v>
      </c>
    </row>
    <row r="9058" spans="6:7" x14ac:dyDescent="0.25">
      <c r="F9058">
        <v>9055</v>
      </c>
      <c r="G9058">
        <f ca="1">_xlfn.NORM.INV(RAND(),$M$7,$M$8)</f>
        <v>6.0919287710558441E-3</v>
      </c>
    </row>
    <row r="9059" spans="6:7" x14ac:dyDescent="0.25">
      <c r="F9059">
        <v>9056</v>
      </c>
      <c r="G9059">
        <f ca="1">_xlfn.NORM.INV(RAND(),$M$7,$M$8)</f>
        <v>-9.5141482976613297E-3</v>
      </c>
    </row>
    <row r="9060" spans="6:7" x14ac:dyDescent="0.25">
      <c r="F9060">
        <v>9057</v>
      </c>
      <c r="G9060">
        <f ca="1">_xlfn.NORM.INV(RAND(),$M$7,$M$8)</f>
        <v>9.4639143027451425E-2</v>
      </c>
    </row>
    <row r="9061" spans="6:7" x14ac:dyDescent="0.25">
      <c r="F9061">
        <v>9058</v>
      </c>
      <c r="G9061">
        <f ca="1">_xlfn.NORM.INV(RAND(),$M$7,$M$8)</f>
        <v>1.7193154690916375E-2</v>
      </c>
    </row>
    <row r="9062" spans="6:7" x14ac:dyDescent="0.25">
      <c r="F9062">
        <v>9059</v>
      </c>
      <c r="G9062">
        <f ca="1">_xlfn.NORM.INV(RAND(),$M$7,$M$8)</f>
        <v>3.3042402358581614E-2</v>
      </c>
    </row>
    <row r="9063" spans="6:7" x14ac:dyDescent="0.25">
      <c r="F9063">
        <v>9060</v>
      </c>
      <c r="G9063">
        <f ca="1">_xlfn.NORM.INV(RAND(),$M$7,$M$8)</f>
        <v>1.0837978896402511E-2</v>
      </c>
    </row>
    <row r="9064" spans="6:7" x14ac:dyDescent="0.25">
      <c r="F9064">
        <v>9061</v>
      </c>
      <c r="G9064">
        <f ca="1">_xlfn.NORM.INV(RAND(),$M$7,$M$8)</f>
        <v>-2.629276931908452E-2</v>
      </c>
    </row>
    <row r="9065" spans="6:7" x14ac:dyDescent="0.25">
      <c r="F9065">
        <v>9062</v>
      </c>
      <c r="G9065">
        <f ca="1">_xlfn.NORM.INV(RAND(),$M$7,$M$8)</f>
        <v>-6.5131645295316995E-2</v>
      </c>
    </row>
    <row r="9066" spans="6:7" x14ac:dyDescent="0.25">
      <c r="F9066">
        <v>9063</v>
      </c>
      <c r="G9066">
        <f ca="1">_xlfn.NORM.INV(RAND(),$M$7,$M$8)</f>
        <v>-2.7670867587922562E-3</v>
      </c>
    </row>
    <row r="9067" spans="6:7" x14ac:dyDescent="0.25">
      <c r="F9067">
        <v>9064</v>
      </c>
      <c r="G9067">
        <f ca="1">_xlfn.NORM.INV(RAND(),$M$7,$M$8)</f>
        <v>-1.0560115345775016E-2</v>
      </c>
    </row>
    <row r="9068" spans="6:7" x14ac:dyDescent="0.25">
      <c r="F9068">
        <v>9065</v>
      </c>
      <c r="G9068">
        <f ca="1">_xlfn.NORM.INV(RAND(),$M$7,$M$8)</f>
        <v>2.9921206157876957E-2</v>
      </c>
    </row>
    <row r="9069" spans="6:7" x14ac:dyDescent="0.25">
      <c r="F9069">
        <v>9066</v>
      </c>
      <c r="G9069">
        <f ca="1">_xlfn.NORM.INV(RAND(),$M$7,$M$8)</f>
        <v>4.263065916315447E-2</v>
      </c>
    </row>
    <row r="9070" spans="6:7" x14ac:dyDescent="0.25">
      <c r="F9070">
        <v>9067</v>
      </c>
      <c r="G9070">
        <f ca="1">_xlfn.NORM.INV(RAND(),$M$7,$M$8)</f>
        <v>1.1031585070256967E-3</v>
      </c>
    </row>
    <row r="9071" spans="6:7" x14ac:dyDescent="0.25">
      <c r="F9071">
        <v>9068</v>
      </c>
      <c r="G9071">
        <f ca="1">_xlfn.NORM.INV(RAND(),$M$7,$M$8)</f>
        <v>2.9427720040664306E-2</v>
      </c>
    </row>
    <row r="9072" spans="6:7" x14ac:dyDescent="0.25">
      <c r="F9072">
        <v>9069</v>
      </c>
      <c r="G9072">
        <f ca="1">_xlfn.NORM.INV(RAND(),$M$7,$M$8)</f>
        <v>1.1592376279044388E-2</v>
      </c>
    </row>
    <row r="9073" spans="6:7" x14ac:dyDescent="0.25">
      <c r="F9073">
        <v>9070</v>
      </c>
      <c r="G9073">
        <f ca="1">_xlfn.NORM.INV(RAND(),$M$7,$M$8)</f>
        <v>-1.7655177945574186E-2</v>
      </c>
    </row>
    <row r="9074" spans="6:7" x14ac:dyDescent="0.25">
      <c r="F9074">
        <v>9071</v>
      </c>
      <c r="G9074">
        <f ca="1">_xlfn.NORM.INV(RAND(),$M$7,$M$8)</f>
        <v>4.612309937328038E-2</v>
      </c>
    </row>
    <row r="9075" spans="6:7" x14ac:dyDescent="0.25">
      <c r="F9075">
        <v>9072</v>
      </c>
      <c r="G9075">
        <f ca="1">_xlfn.NORM.INV(RAND(),$M$7,$M$8)</f>
        <v>1.4860020385026661E-3</v>
      </c>
    </row>
    <row r="9076" spans="6:7" x14ac:dyDescent="0.25">
      <c r="F9076">
        <v>9073</v>
      </c>
      <c r="G9076">
        <f ca="1">_xlfn.NORM.INV(RAND(),$M$7,$M$8)</f>
        <v>-1.9227915008536111E-2</v>
      </c>
    </row>
    <row r="9077" spans="6:7" x14ac:dyDescent="0.25">
      <c r="F9077">
        <v>9074</v>
      </c>
      <c r="G9077">
        <f ca="1">_xlfn.NORM.INV(RAND(),$M$7,$M$8)</f>
        <v>-2.0901430941166189E-2</v>
      </c>
    </row>
    <row r="9078" spans="6:7" x14ac:dyDescent="0.25">
      <c r="F9078">
        <v>9075</v>
      </c>
      <c r="G9078">
        <f ca="1">_xlfn.NORM.INV(RAND(),$M$7,$M$8)</f>
        <v>-1.5574477580893669E-3</v>
      </c>
    </row>
    <row r="9079" spans="6:7" x14ac:dyDescent="0.25">
      <c r="F9079">
        <v>9076</v>
      </c>
      <c r="G9079">
        <f ca="1">_xlfn.NORM.INV(RAND(),$M$7,$M$8)</f>
        <v>8.7765873410358668E-3</v>
      </c>
    </row>
    <row r="9080" spans="6:7" x14ac:dyDescent="0.25">
      <c r="F9080">
        <v>9077</v>
      </c>
      <c r="G9080">
        <f ca="1">_xlfn.NORM.INV(RAND(),$M$7,$M$8)</f>
        <v>3.3726083065796955E-2</v>
      </c>
    </row>
    <row r="9081" spans="6:7" x14ac:dyDescent="0.25">
      <c r="F9081">
        <v>9078</v>
      </c>
      <c r="G9081">
        <f ca="1">_xlfn.NORM.INV(RAND(),$M$7,$M$8)</f>
        <v>-1.0773550453368218E-2</v>
      </c>
    </row>
    <row r="9082" spans="6:7" x14ac:dyDescent="0.25">
      <c r="F9082">
        <v>9079</v>
      </c>
      <c r="G9082">
        <f ca="1">_xlfn.NORM.INV(RAND(),$M$7,$M$8)</f>
        <v>-1.9858347213358558E-2</v>
      </c>
    </row>
    <row r="9083" spans="6:7" x14ac:dyDescent="0.25">
      <c r="F9083">
        <v>9080</v>
      </c>
      <c r="G9083">
        <f ca="1">_xlfn.NORM.INV(RAND(),$M$7,$M$8)</f>
        <v>-5.547245970914912E-3</v>
      </c>
    </row>
    <row r="9084" spans="6:7" x14ac:dyDescent="0.25">
      <c r="F9084">
        <v>9081</v>
      </c>
      <c r="G9084">
        <f ca="1">_xlfn.NORM.INV(RAND(),$M$7,$M$8)</f>
        <v>-1.9236159594118965E-2</v>
      </c>
    </row>
    <row r="9085" spans="6:7" x14ac:dyDescent="0.25">
      <c r="F9085">
        <v>9082</v>
      </c>
      <c r="G9085">
        <f ca="1">_xlfn.NORM.INV(RAND(),$M$7,$M$8)</f>
        <v>6.579026086810498E-3</v>
      </c>
    </row>
    <row r="9086" spans="6:7" x14ac:dyDescent="0.25">
      <c r="F9086">
        <v>9083</v>
      </c>
      <c r="G9086">
        <f ca="1">_xlfn.NORM.INV(RAND(),$M$7,$M$8)</f>
        <v>2.9719925938570001E-2</v>
      </c>
    </row>
    <row r="9087" spans="6:7" x14ac:dyDescent="0.25">
      <c r="F9087">
        <v>9084</v>
      </c>
      <c r="G9087">
        <f ca="1">_xlfn.NORM.INV(RAND(),$M$7,$M$8)</f>
        <v>5.8221358088444298E-3</v>
      </c>
    </row>
    <row r="9088" spans="6:7" x14ac:dyDescent="0.25">
      <c r="F9088">
        <v>9085</v>
      </c>
      <c r="G9088">
        <f ca="1">_xlfn.NORM.INV(RAND(),$M$7,$M$8)</f>
        <v>1.6039116960695661E-2</v>
      </c>
    </row>
    <row r="9089" spans="6:7" x14ac:dyDescent="0.25">
      <c r="F9089">
        <v>9086</v>
      </c>
      <c r="G9089">
        <f ca="1">_xlfn.NORM.INV(RAND(),$M$7,$M$8)</f>
        <v>-3.4069917012710761E-2</v>
      </c>
    </row>
    <row r="9090" spans="6:7" x14ac:dyDescent="0.25">
      <c r="F9090">
        <v>9087</v>
      </c>
      <c r="G9090">
        <f ca="1">_xlfn.NORM.INV(RAND(),$M$7,$M$8)</f>
        <v>-2.153782109546307E-2</v>
      </c>
    </row>
    <row r="9091" spans="6:7" x14ac:dyDescent="0.25">
      <c r="F9091">
        <v>9088</v>
      </c>
      <c r="G9091">
        <f ca="1">_xlfn.NORM.INV(RAND(),$M$7,$M$8)</f>
        <v>-9.1114139039016172E-3</v>
      </c>
    </row>
    <row r="9092" spans="6:7" x14ac:dyDescent="0.25">
      <c r="F9092">
        <v>9089</v>
      </c>
      <c r="G9092">
        <f ca="1">_xlfn.NORM.INV(RAND(),$M$7,$M$8)</f>
        <v>2.1902170247818297E-3</v>
      </c>
    </row>
    <row r="9093" spans="6:7" x14ac:dyDescent="0.25">
      <c r="F9093">
        <v>9090</v>
      </c>
      <c r="G9093">
        <f ca="1">_xlfn.NORM.INV(RAND(),$M$7,$M$8)</f>
        <v>3.1994166362522482E-2</v>
      </c>
    </row>
    <row r="9094" spans="6:7" x14ac:dyDescent="0.25">
      <c r="F9094">
        <v>9091</v>
      </c>
      <c r="G9094">
        <f ca="1">_xlfn.NORM.INV(RAND(),$M$7,$M$8)</f>
        <v>2.4179126305830636E-3</v>
      </c>
    </row>
    <row r="9095" spans="6:7" x14ac:dyDescent="0.25">
      <c r="F9095">
        <v>9092</v>
      </c>
      <c r="G9095">
        <f ca="1">_xlfn.NORM.INV(RAND(),$M$7,$M$8)</f>
        <v>1.1334132511409982E-2</v>
      </c>
    </row>
    <row r="9096" spans="6:7" x14ac:dyDescent="0.25">
      <c r="F9096">
        <v>9093</v>
      </c>
      <c r="G9096">
        <f ca="1">_xlfn.NORM.INV(RAND(),$M$7,$M$8)</f>
        <v>4.7127619981807062E-2</v>
      </c>
    </row>
    <row r="9097" spans="6:7" x14ac:dyDescent="0.25">
      <c r="F9097">
        <v>9094</v>
      </c>
      <c r="G9097">
        <f ca="1">_xlfn.NORM.INV(RAND(),$M$7,$M$8)</f>
        <v>4.7196546781825312E-3</v>
      </c>
    </row>
    <row r="9098" spans="6:7" x14ac:dyDescent="0.25">
      <c r="F9098">
        <v>9095</v>
      </c>
      <c r="G9098">
        <f ca="1">_xlfn.NORM.INV(RAND(),$M$7,$M$8)</f>
        <v>-2.105980540981317E-3</v>
      </c>
    </row>
    <row r="9099" spans="6:7" x14ac:dyDescent="0.25">
      <c r="F9099">
        <v>9096</v>
      </c>
      <c r="G9099">
        <f ca="1">_xlfn.NORM.INV(RAND(),$M$7,$M$8)</f>
        <v>-1.2943978496591594E-2</v>
      </c>
    </row>
    <row r="9100" spans="6:7" x14ac:dyDescent="0.25">
      <c r="F9100">
        <v>9097</v>
      </c>
      <c r="G9100">
        <f ca="1">_xlfn.NORM.INV(RAND(),$M$7,$M$8)</f>
        <v>-1.4606931227165275E-2</v>
      </c>
    </row>
    <row r="9101" spans="6:7" x14ac:dyDescent="0.25">
      <c r="F9101">
        <v>9098</v>
      </c>
      <c r="G9101">
        <f ca="1">_xlfn.NORM.INV(RAND(),$M$7,$M$8)</f>
        <v>5.5075563844187575E-3</v>
      </c>
    </row>
    <row r="9102" spans="6:7" x14ac:dyDescent="0.25">
      <c r="F9102">
        <v>9099</v>
      </c>
      <c r="G9102">
        <f ca="1">_xlfn.NORM.INV(RAND(),$M$7,$M$8)</f>
        <v>-3.7436726897114171E-2</v>
      </c>
    </row>
    <row r="9103" spans="6:7" x14ac:dyDescent="0.25">
      <c r="F9103">
        <v>9100</v>
      </c>
      <c r="G9103">
        <f ca="1">_xlfn.NORM.INV(RAND(),$M$7,$M$8)</f>
        <v>5.4040243016477054E-3</v>
      </c>
    </row>
    <row r="9104" spans="6:7" x14ac:dyDescent="0.25">
      <c r="F9104">
        <v>9101</v>
      </c>
      <c r="G9104">
        <f ca="1">_xlfn.NORM.INV(RAND(),$M$7,$M$8)</f>
        <v>1.8125124829380945E-2</v>
      </c>
    </row>
    <row r="9105" spans="6:7" x14ac:dyDescent="0.25">
      <c r="F9105">
        <v>9102</v>
      </c>
      <c r="G9105">
        <f ca="1">_xlfn.NORM.INV(RAND(),$M$7,$M$8)</f>
        <v>-3.9271533623885031E-2</v>
      </c>
    </row>
    <row r="9106" spans="6:7" x14ac:dyDescent="0.25">
      <c r="F9106">
        <v>9103</v>
      </c>
      <c r="G9106">
        <f ca="1">_xlfn.NORM.INV(RAND(),$M$7,$M$8)</f>
        <v>1.6601632494152016E-2</v>
      </c>
    </row>
    <row r="9107" spans="6:7" x14ac:dyDescent="0.25">
      <c r="F9107">
        <v>9104</v>
      </c>
      <c r="G9107">
        <f ca="1">_xlfn.NORM.INV(RAND(),$M$7,$M$8)</f>
        <v>7.308581348269374E-4</v>
      </c>
    </row>
    <row r="9108" spans="6:7" x14ac:dyDescent="0.25">
      <c r="F9108">
        <v>9105</v>
      </c>
      <c r="G9108">
        <f ca="1">_xlfn.NORM.INV(RAND(),$M$7,$M$8)</f>
        <v>3.3071951452120058E-3</v>
      </c>
    </row>
    <row r="9109" spans="6:7" x14ac:dyDescent="0.25">
      <c r="F9109">
        <v>9106</v>
      </c>
      <c r="G9109">
        <f ca="1">_xlfn.NORM.INV(RAND(),$M$7,$M$8)</f>
        <v>8.2823508811557985E-3</v>
      </c>
    </row>
    <row r="9110" spans="6:7" x14ac:dyDescent="0.25">
      <c r="F9110">
        <v>9107</v>
      </c>
      <c r="G9110">
        <f ca="1">_xlfn.NORM.INV(RAND(),$M$7,$M$8)</f>
        <v>3.8773869612655436E-2</v>
      </c>
    </row>
    <row r="9111" spans="6:7" x14ac:dyDescent="0.25">
      <c r="F9111">
        <v>9108</v>
      </c>
      <c r="G9111">
        <f ca="1">_xlfn.NORM.INV(RAND(),$M$7,$M$8)</f>
        <v>-3.3901050153345162E-3</v>
      </c>
    </row>
    <row r="9112" spans="6:7" x14ac:dyDescent="0.25">
      <c r="F9112">
        <v>9109</v>
      </c>
      <c r="G9112">
        <f ca="1">_xlfn.NORM.INV(RAND(),$M$7,$M$8)</f>
        <v>-1.4913568581741692E-2</v>
      </c>
    </row>
    <row r="9113" spans="6:7" x14ac:dyDescent="0.25">
      <c r="F9113">
        <v>9110</v>
      </c>
      <c r="G9113">
        <f ca="1">_xlfn.NORM.INV(RAND(),$M$7,$M$8)</f>
        <v>1.9604246978332081E-2</v>
      </c>
    </row>
    <row r="9114" spans="6:7" x14ac:dyDescent="0.25">
      <c r="F9114">
        <v>9111</v>
      </c>
      <c r="G9114">
        <f ca="1">_xlfn.NORM.INV(RAND(),$M$7,$M$8)</f>
        <v>-2.3281459704984488E-2</v>
      </c>
    </row>
    <row r="9115" spans="6:7" x14ac:dyDescent="0.25">
      <c r="F9115">
        <v>9112</v>
      </c>
      <c r="G9115">
        <f ca="1">_xlfn.NORM.INV(RAND(),$M$7,$M$8)</f>
        <v>-3.2555096196385754E-2</v>
      </c>
    </row>
    <row r="9116" spans="6:7" x14ac:dyDescent="0.25">
      <c r="F9116">
        <v>9113</v>
      </c>
      <c r="G9116">
        <f ca="1">_xlfn.NORM.INV(RAND(),$M$7,$M$8)</f>
        <v>1.0457831395541866E-3</v>
      </c>
    </row>
    <row r="9117" spans="6:7" x14ac:dyDescent="0.25">
      <c r="F9117">
        <v>9114</v>
      </c>
      <c r="G9117">
        <f ca="1">_xlfn.NORM.INV(RAND(),$M$7,$M$8)</f>
        <v>-2.902821488440737E-2</v>
      </c>
    </row>
    <row r="9118" spans="6:7" x14ac:dyDescent="0.25">
      <c r="F9118">
        <v>9115</v>
      </c>
      <c r="G9118">
        <f ca="1">_xlfn.NORM.INV(RAND(),$M$7,$M$8)</f>
        <v>7.601246795556172E-3</v>
      </c>
    </row>
    <row r="9119" spans="6:7" x14ac:dyDescent="0.25">
      <c r="F9119">
        <v>9116</v>
      </c>
      <c r="G9119">
        <f ca="1">_xlfn.NORM.INV(RAND(),$M$7,$M$8)</f>
        <v>9.6847084974567219E-3</v>
      </c>
    </row>
    <row r="9120" spans="6:7" x14ac:dyDescent="0.25">
      <c r="F9120">
        <v>9117</v>
      </c>
      <c r="G9120">
        <f ca="1">_xlfn.NORM.INV(RAND(),$M$7,$M$8)</f>
        <v>1.1919207326928557E-2</v>
      </c>
    </row>
    <row r="9121" spans="6:7" x14ac:dyDescent="0.25">
      <c r="F9121">
        <v>9118</v>
      </c>
      <c r="G9121">
        <f ca="1">_xlfn.NORM.INV(RAND(),$M$7,$M$8)</f>
        <v>1.0635092650733285E-2</v>
      </c>
    </row>
    <row r="9122" spans="6:7" x14ac:dyDescent="0.25">
      <c r="F9122">
        <v>9119</v>
      </c>
      <c r="G9122">
        <f ca="1">_xlfn.NORM.INV(RAND(),$M$7,$M$8)</f>
        <v>1.957861572166579E-2</v>
      </c>
    </row>
    <row r="9123" spans="6:7" x14ac:dyDescent="0.25">
      <c r="F9123">
        <v>9120</v>
      </c>
      <c r="G9123">
        <f ca="1">_xlfn.NORM.INV(RAND(),$M$7,$M$8)</f>
        <v>3.0342590684709642E-2</v>
      </c>
    </row>
    <row r="9124" spans="6:7" x14ac:dyDescent="0.25">
      <c r="F9124">
        <v>9121</v>
      </c>
      <c r="G9124">
        <f ca="1">_xlfn.NORM.INV(RAND(),$M$7,$M$8)</f>
        <v>-6.1623268882297997E-3</v>
      </c>
    </row>
    <row r="9125" spans="6:7" x14ac:dyDescent="0.25">
      <c r="F9125">
        <v>9122</v>
      </c>
      <c r="G9125">
        <f ca="1">_xlfn.NORM.INV(RAND(),$M$7,$M$8)</f>
        <v>1.8887046443186985E-2</v>
      </c>
    </row>
    <row r="9126" spans="6:7" x14ac:dyDescent="0.25">
      <c r="F9126">
        <v>9123</v>
      </c>
      <c r="G9126">
        <f ca="1">_xlfn.NORM.INV(RAND(),$M$7,$M$8)</f>
        <v>3.3422535856544415E-2</v>
      </c>
    </row>
    <row r="9127" spans="6:7" x14ac:dyDescent="0.25">
      <c r="F9127">
        <v>9124</v>
      </c>
      <c r="G9127">
        <f ca="1">_xlfn.NORM.INV(RAND(),$M$7,$M$8)</f>
        <v>-1.1478751999015919E-2</v>
      </c>
    </row>
    <row r="9128" spans="6:7" x14ac:dyDescent="0.25">
      <c r="F9128">
        <v>9125</v>
      </c>
      <c r="G9128">
        <f ca="1">_xlfn.NORM.INV(RAND(),$M$7,$M$8)</f>
        <v>-4.5953074829062635E-3</v>
      </c>
    </row>
    <row r="9129" spans="6:7" x14ac:dyDescent="0.25">
      <c r="F9129">
        <v>9126</v>
      </c>
      <c r="G9129">
        <f ca="1">_xlfn.NORM.INV(RAND(),$M$7,$M$8)</f>
        <v>3.2165829192402358E-2</v>
      </c>
    </row>
    <row r="9130" spans="6:7" x14ac:dyDescent="0.25">
      <c r="F9130">
        <v>9127</v>
      </c>
      <c r="G9130">
        <f ca="1">_xlfn.NORM.INV(RAND(),$M$7,$M$8)</f>
        <v>-3.8975286000611516E-2</v>
      </c>
    </row>
    <row r="9131" spans="6:7" x14ac:dyDescent="0.25">
      <c r="F9131">
        <v>9128</v>
      </c>
      <c r="G9131">
        <f ca="1">_xlfn.NORM.INV(RAND(),$M$7,$M$8)</f>
        <v>-2.8587153970711817E-2</v>
      </c>
    </row>
    <row r="9132" spans="6:7" x14ac:dyDescent="0.25">
      <c r="F9132">
        <v>9129</v>
      </c>
      <c r="G9132">
        <f ca="1">_xlfn.NORM.INV(RAND(),$M$7,$M$8)</f>
        <v>-2.8865985016549606E-2</v>
      </c>
    </row>
    <row r="9133" spans="6:7" x14ac:dyDescent="0.25">
      <c r="F9133">
        <v>9130</v>
      </c>
      <c r="G9133">
        <f ca="1">_xlfn.NORM.INV(RAND(),$M$7,$M$8)</f>
        <v>-2.1651249533104881E-2</v>
      </c>
    </row>
    <row r="9134" spans="6:7" x14ac:dyDescent="0.25">
      <c r="F9134">
        <v>9131</v>
      </c>
      <c r="G9134">
        <f ca="1">_xlfn.NORM.INV(RAND(),$M$7,$M$8)</f>
        <v>-1.7971355881119019E-2</v>
      </c>
    </row>
    <row r="9135" spans="6:7" x14ac:dyDescent="0.25">
      <c r="F9135">
        <v>9132</v>
      </c>
      <c r="G9135">
        <f ca="1">_xlfn.NORM.INV(RAND(),$M$7,$M$8)</f>
        <v>2.4423527345911612E-4</v>
      </c>
    </row>
    <row r="9136" spans="6:7" x14ac:dyDescent="0.25">
      <c r="F9136">
        <v>9133</v>
      </c>
      <c r="G9136">
        <f ca="1">_xlfn.NORM.INV(RAND(),$M$7,$M$8)</f>
        <v>-5.6984873400771751E-3</v>
      </c>
    </row>
    <row r="9137" spans="6:7" x14ac:dyDescent="0.25">
      <c r="F9137">
        <v>9134</v>
      </c>
      <c r="G9137">
        <f ca="1">_xlfn.NORM.INV(RAND(),$M$7,$M$8)</f>
        <v>7.5258344079889503E-3</v>
      </c>
    </row>
    <row r="9138" spans="6:7" x14ac:dyDescent="0.25">
      <c r="F9138">
        <v>9135</v>
      </c>
      <c r="G9138">
        <f ca="1">_xlfn.NORM.INV(RAND(),$M$7,$M$8)</f>
        <v>2.8523298293914902E-2</v>
      </c>
    </row>
    <row r="9139" spans="6:7" x14ac:dyDescent="0.25">
      <c r="F9139">
        <v>9136</v>
      </c>
      <c r="G9139">
        <f ca="1">_xlfn.NORM.INV(RAND(),$M$7,$M$8)</f>
        <v>-1.0981243527220655E-4</v>
      </c>
    </row>
    <row r="9140" spans="6:7" x14ac:dyDescent="0.25">
      <c r="F9140">
        <v>9137</v>
      </c>
      <c r="G9140">
        <f ca="1">_xlfn.NORM.INV(RAND(),$M$7,$M$8)</f>
        <v>-1.5902291933828326E-2</v>
      </c>
    </row>
    <row r="9141" spans="6:7" x14ac:dyDescent="0.25">
      <c r="F9141">
        <v>9138</v>
      </c>
      <c r="G9141">
        <f ca="1">_xlfn.NORM.INV(RAND(),$M$7,$M$8)</f>
        <v>-2.6872548705757938E-2</v>
      </c>
    </row>
    <row r="9142" spans="6:7" x14ac:dyDescent="0.25">
      <c r="F9142">
        <v>9139</v>
      </c>
      <c r="G9142">
        <f ca="1">_xlfn.NORM.INV(RAND(),$M$7,$M$8)</f>
        <v>6.085387110729798E-2</v>
      </c>
    </row>
    <row r="9143" spans="6:7" x14ac:dyDescent="0.25">
      <c r="F9143">
        <v>9140</v>
      </c>
      <c r="G9143">
        <f ca="1">_xlfn.NORM.INV(RAND(),$M$7,$M$8)</f>
        <v>1.752865550706709E-2</v>
      </c>
    </row>
    <row r="9144" spans="6:7" x14ac:dyDescent="0.25">
      <c r="F9144">
        <v>9141</v>
      </c>
      <c r="G9144">
        <f ca="1">_xlfn.NORM.INV(RAND(),$M$7,$M$8)</f>
        <v>-1.9434231378498885E-2</v>
      </c>
    </row>
    <row r="9145" spans="6:7" x14ac:dyDescent="0.25">
      <c r="F9145">
        <v>9142</v>
      </c>
      <c r="G9145">
        <f ca="1">_xlfn.NORM.INV(RAND(),$M$7,$M$8)</f>
        <v>7.0190372797009123E-3</v>
      </c>
    </row>
    <row r="9146" spans="6:7" x14ac:dyDescent="0.25">
      <c r="F9146">
        <v>9143</v>
      </c>
      <c r="G9146">
        <f ca="1">_xlfn.NORM.INV(RAND(),$M$7,$M$8)</f>
        <v>1.0491977436715478E-2</v>
      </c>
    </row>
    <row r="9147" spans="6:7" x14ac:dyDescent="0.25">
      <c r="F9147">
        <v>9144</v>
      </c>
      <c r="G9147">
        <f ca="1">_xlfn.NORM.INV(RAND(),$M$7,$M$8)</f>
        <v>2.0216230758759886E-2</v>
      </c>
    </row>
    <row r="9148" spans="6:7" x14ac:dyDescent="0.25">
      <c r="F9148">
        <v>9145</v>
      </c>
      <c r="G9148">
        <f ca="1">_xlfn.NORM.INV(RAND(),$M$7,$M$8)</f>
        <v>-7.3750979747910367E-3</v>
      </c>
    </row>
    <row r="9149" spans="6:7" x14ac:dyDescent="0.25">
      <c r="F9149">
        <v>9146</v>
      </c>
      <c r="G9149">
        <f ca="1">_xlfn.NORM.INV(RAND(),$M$7,$M$8)</f>
        <v>-2.5687136702176629E-3</v>
      </c>
    </row>
    <row r="9150" spans="6:7" x14ac:dyDescent="0.25">
      <c r="F9150">
        <v>9147</v>
      </c>
      <c r="G9150">
        <f ca="1">_xlfn.NORM.INV(RAND(),$M$7,$M$8)</f>
        <v>-9.9261125115013161E-3</v>
      </c>
    </row>
    <row r="9151" spans="6:7" x14ac:dyDescent="0.25">
      <c r="F9151">
        <v>9148</v>
      </c>
      <c r="G9151">
        <f ca="1">_xlfn.NORM.INV(RAND(),$M$7,$M$8)</f>
        <v>3.3321277987859742E-2</v>
      </c>
    </row>
    <row r="9152" spans="6:7" x14ac:dyDescent="0.25">
      <c r="F9152">
        <v>9149</v>
      </c>
      <c r="G9152">
        <f ca="1">_xlfn.NORM.INV(RAND(),$M$7,$M$8)</f>
        <v>-2.2028840927878282E-2</v>
      </c>
    </row>
    <row r="9153" spans="6:7" x14ac:dyDescent="0.25">
      <c r="F9153">
        <v>9150</v>
      </c>
      <c r="G9153">
        <f ca="1">_xlfn.NORM.INV(RAND(),$M$7,$M$8)</f>
        <v>-4.7133340965695596E-2</v>
      </c>
    </row>
    <row r="9154" spans="6:7" x14ac:dyDescent="0.25">
      <c r="F9154">
        <v>9151</v>
      </c>
      <c r="G9154">
        <f ca="1">_xlfn.NORM.INV(RAND(),$M$7,$M$8)</f>
        <v>3.2324854229430704E-2</v>
      </c>
    </row>
    <row r="9155" spans="6:7" x14ac:dyDescent="0.25">
      <c r="F9155">
        <v>9152</v>
      </c>
      <c r="G9155">
        <f ca="1">_xlfn.NORM.INV(RAND(),$M$7,$M$8)</f>
        <v>5.531611292611488E-2</v>
      </c>
    </row>
    <row r="9156" spans="6:7" x14ac:dyDescent="0.25">
      <c r="F9156">
        <v>9153</v>
      </c>
      <c r="G9156">
        <f ca="1">_xlfn.NORM.INV(RAND(),$M$7,$M$8)</f>
        <v>-1.9850193119599263E-2</v>
      </c>
    </row>
    <row r="9157" spans="6:7" x14ac:dyDescent="0.25">
      <c r="F9157">
        <v>9154</v>
      </c>
      <c r="G9157">
        <f ca="1">_xlfn.NORM.INV(RAND(),$M$7,$M$8)</f>
        <v>-3.2255662004825338E-3</v>
      </c>
    </row>
    <row r="9158" spans="6:7" x14ac:dyDescent="0.25">
      <c r="F9158">
        <v>9155</v>
      </c>
      <c r="G9158">
        <f ca="1">_xlfn.NORM.INV(RAND(),$M$7,$M$8)</f>
        <v>-2.5477147556214976E-3</v>
      </c>
    </row>
    <row r="9159" spans="6:7" x14ac:dyDescent="0.25">
      <c r="F9159">
        <v>9156</v>
      </c>
      <c r="G9159">
        <f ca="1">_xlfn.NORM.INV(RAND(),$M$7,$M$8)</f>
        <v>-9.704878985172298E-3</v>
      </c>
    </row>
    <row r="9160" spans="6:7" x14ac:dyDescent="0.25">
      <c r="F9160">
        <v>9157</v>
      </c>
      <c r="G9160">
        <f ca="1">_xlfn.NORM.INV(RAND(),$M$7,$M$8)</f>
        <v>-3.1826602645851833E-2</v>
      </c>
    </row>
    <row r="9161" spans="6:7" x14ac:dyDescent="0.25">
      <c r="F9161">
        <v>9158</v>
      </c>
      <c r="G9161">
        <f ca="1">_xlfn.NORM.INV(RAND(),$M$7,$M$8)</f>
        <v>-1.053468880667645E-2</v>
      </c>
    </row>
    <row r="9162" spans="6:7" x14ac:dyDescent="0.25">
      <c r="F9162">
        <v>9159</v>
      </c>
      <c r="G9162">
        <f ca="1">_xlfn.NORM.INV(RAND(),$M$7,$M$8)</f>
        <v>-2.2928609940223152E-2</v>
      </c>
    </row>
    <row r="9163" spans="6:7" x14ac:dyDescent="0.25">
      <c r="F9163">
        <v>9160</v>
      </c>
      <c r="G9163">
        <f ca="1">_xlfn.NORM.INV(RAND(),$M$7,$M$8)</f>
        <v>-2.1420499061271154E-2</v>
      </c>
    </row>
    <row r="9164" spans="6:7" x14ac:dyDescent="0.25">
      <c r="F9164">
        <v>9161</v>
      </c>
      <c r="G9164">
        <f ca="1">_xlfn.NORM.INV(RAND(),$M$7,$M$8)</f>
        <v>3.3386781904102547E-2</v>
      </c>
    </row>
    <row r="9165" spans="6:7" x14ac:dyDescent="0.25">
      <c r="F9165">
        <v>9162</v>
      </c>
      <c r="G9165">
        <f ca="1">_xlfn.NORM.INV(RAND(),$M$7,$M$8)</f>
        <v>2.9772682679639305E-3</v>
      </c>
    </row>
    <row r="9166" spans="6:7" x14ac:dyDescent="0.25">
      <c r="F9166">
        <v>9163</v>
      </c>
      <c r="G9166">
        <f ca="1">_xlfn.NORM.INV(RAND(),$M$7,$M$8)</f>
        <v>1.7562630767693346E-2</v>
      </c>
    </row>
    <row r="9167" spans="6:7" x14ac:dyDescent="0.25">
      <c r="F9167">
        <v>9164</v>
      </c>
      <c r="G9167">
        <f ca="1">_xlfn.NORM.INV(RAND(),$M$7,$M$8)</f>
        <v>1.147500168429981E-2</v>
      </c>
    </row>
    <row r="9168" spans="6:7" x14ac:dyDescent="0.25">
      <c r="F9168">
        <v>9165</v>
      </c>
      <c r="G9168">
        <f ca="1">_xlfn.NORM.INV(RAND(),$M$7,$M$8)</f>
        <v>-3.2026693091552205E-2</v>
      </c>
    </row>
    <row r="9169" spans="6:7" x14ac:dyDescent="0.25">
      <c r="F9169">
        <v>9166</v>
      </c>
      <c r="G9169">
        <f ca="1">_xlfn.NORM.INV(RAND(),$M$7,$M$8)</f>
        <v>-5.2612722011040634E-2</v>
      </c>
    </row>
    <row r="9170" spans="6:7" x14ac:dyDescent="0.25">
      <c r="F9170">
        <v>9167</v>
      </c>
      <c r="G9170">
        <f ca="1">_xlfn.NORM.INV(RAND(),$M$7,$M$8)</f>
        <v>-4.325237758292735E-3</v>
      </c>
    </row>
    <row r="9171" spans="6:7" x14ac:dyDescent="0.25">
      <c r="F9171">
        <v>9168</v>
      </c>
      <c r="G9171">
        <f ca="1">_xlfn.NORM.INV(RAND(),$M$7,$M$8)</f>
        <v>7.6677273647562227E-3</v>
      </c>
    </row>
    <row r="9172" spans="6:7" x14ac:dyDescent="0.25">
      <c r="F9172">
        <v>9169</v>
      </c>
      <c r="G9172">
        <f ca="1">_xlfn.NORM.INV(RAND(),$M$7,$M$8)</f>
        <v>2.4422176873703409E-2</v>
      </c>
    </row>
    <row r="9173" spans="6:7" x14ac:dyDescent="0.25">
      <c r="F9173">
        <v>9170</v>
      </c>
      <c r="G9173">
        <f ca="1">_xlfn.NORM.INV(RAND(),$M$7,$M$8)</f>
        <v>4.4899044820914009E-3</v>
      </c>
    </row>
    <row r="9174" spans="6:7" x14ac:dyDescent="0.25">
      <c r="F9174">
        <v>9171</v>
      </c>
      <c r="G9174">
        <f ca="1">_xlfn.NORM.INV(RAND(),$M$7,$M$8)</f>
        <v>1.5680375909629032E-2</v>
      </c>
    </row>
    <row r="9175" spans="6:7" x14ac:dyDescent="0.25">
      <c r="F9175">
        <v>9172</v>
      </c>
      <c r="G9175">
        <f ca="1">_xlfn.NORM.INV(RAND(),$M$7,$M$8)</f>
        <v>-1.1530739528968258E-2</v>
      </c>
    </row>
    <row r="9176" spans="6:7" x14ac:dyDescent="0.25">
      <c r="F9176">
        <v>9173</v>
      </c>
      <c r="G9176">
        <f ca="1">_xlfn.NORM.INV(RAND(),$M$7,$M$8)</f>
        <v>2.0680377251421848E-2</v>
      </c>
    </row>
    <row r="9177" spans="6:7" x14ac:dyDescent="0.25">
      <c r="F9177">
        <v>9174</v>
      </c>
      <c r="G9177">
        <f ca="1">_xlfn.NORM.INV(RAND(),$M$7,$M$8)</f>
        <v>2.5664164279153329E-2</v>
      </c>
    </row>
    <row r="9178" spans="6:7" x14ac:dyDescent="0.25">
      <c r="F9178">
        <v>9175</v>
      </c>
      <c r="G9178">
        <f ca="1">_xlfn.NORM.INV(RAND(),$M$7,$M$8)</f>
        <v>2.2376210676708377E-2</v>
      </c>
    </row>
    <row r="9179" spans="6:7" x14ac:dyDescent="0.25">
      <c r="F9179">
        <v>9176</v>
      </c>
      <c r="G9179">
        <f ca="1">_xlfn.NORM.INV(RAND(),$M$7,$M$8)</f>
        <v>-2.6586629171682228E-2</v>
      </c>
    </row>
    <row r="9180" spans="6:7" x14ac:dyDescent="0.25">
      <c r="F9180">
        <v>9177</v>
      </c>
      <c r="G9180">
        <f ca="1">_xlfn.NORM.INV(RAND(),$M$7,$M$8)</f>
        <v>-3.9696689993724818E-2</v>
      </c>
    </row>
    <row r="9181" spans="6:7" x14ac:dyDescent="0.25">
      <c r="F9181">
        <v>9178</v>
      </c>
      <c r="G9181">
        <f ca="1">_xlfn.NORM.INV(RAND(),$M$7,$M$8)</f>
        <v>-1.559330859598489E-2</v>
      </c>
    </row>
    <row r="9182" spans="6:7" x14ac:dyDescent="0.25">
      <c r="F9182">
        <v>9179</v>
      </c>
      <c r="G9182">
        <f ca="1">_xlfn.NORM.INV(RAND(),$M$7,$M$8)</f>
        <v>-7.225256467243488E-3</v>
      </c>
    </row>
    <row r="9183" spans="6:7" x14ac:dyDescent="0.25">
      <c r="F9183">
        <v>9180</v>
      </c>
      <c r="G9183">
        <f ca="1">_xlfn.NORM.INV(RAND(),$M$7,$M$8)</f>
        <v>4.8230106755253681E-2</v>
      </c>
    </row>
    <row r="9184" spans="6:7" x14ac:dyDescent="0.25">
      <c r="F9184">
        <v>9181</v>
      </c>
      <c r="G9184">
        <f ca="1">_xlfn.NORM.INV(RAND(),$M$7,$M$8)</f>
        <v>3.1307066264366856E-2</v>
      </c>
    </row>
    <row r="9185" spans="6:7" x14ac:dyDescent="0.25">
      <c r="F9185">
        <v>9182</v>
      </c>
      <c r="G9185">
        <f ca="1">_xlfn.NORM.INV(RAND(),$M$7,$M$8)</f>
        <v>9.2053352451934179E-3</v>
      </c>
    </row>
    <row r="9186" spans="6:7" x14ac:dyDescent="0.25">
      <c r="F9186">
        <v>9183</v>
      </c>
      <c r="G9186">
        <f ca="1">_xlfn.NORM.INV(RAND(),$M$7,$M$8)</f>
        <v>-8.1063661657385924E-4</v>
      </c>
    </row>
    <row r="9187" spans="6:7" x14ac:dyDescent="0.25">
      <c r="F9187">
        <v>9184</v>
      </c>
      <c r="G9187">
        <f ca="1">_xlfn.NORM.INV(RAND(),$M$7,$M$8)</f>
        <v>4.4875916246458931E-2</v>
      </c>
    </row>
    <row r="9188" spans="6:7" x14ac:dyDescent="0.25">
      <c r="F9188">
        <v>9185</v>
      </c>
      <c r="G9188">
        <f ca="1">_xlfn.NORM.INV(RAND(),$M$7,$M$8)</f>
        <v>1.5388109771907873E-2</v>
      </c>
    </row>
    <row r="9189" spans="6:7" x14ac:dyDescent="0.25">
      <c r="F9189">
        <v>9186</v>
      </c>
      <c r="G9189">
        <f ca="1">_xlfn.NORM.INV(RAND(),$M$7,$M$8)</f>
        <v>1.5296376075824462E-2</v>
      </c>
    </row>
    <row r="9190" spans="6:7" x14ac:dyDescent="0.25">
      <c r="F9190">
        <v>9187</v>
      </c>
      <c r="G9190">
        <f ca="1">_xlfn.NORM.INV(RAND(),$M$7,$M$8)</f>
        <v>5.9541465087807211E-3</v>
      </c>
    </row>
    <row r="9191" spans="6:7" x14ac:dyDescent="0.25">
      <c r="F9191">
        <v>9188</v>
      </c>
      <c r="G9191">
        <f ca="1">_xlfn.NORM.INV(RAND(),$M$7,$M$8)</f>
        <v>-4.8099814337920405E-2</v>
      </c>
    </row>
    <row r="9192" spans="6:7" x14ac:dyDescent="0.25">
      <c r="F9192">
        <v>9189</v>
      </c>
      <c r="G9192">
        <f ca="1">_xlfn.NORM.INV(RAND(),$M$7,$M$8)</f>
        <v>-2.0254975692806702E-2</v>
      </c>
    </row>
    <row r="9193" spans="6:7" x14ac:dyDescent="0.25">
      <c r="F9193">
        <v>9190</v>
      </c>
      <c r="G9193">
        <f ca="1">_xlfn.NORM.INV(RAND(),$M$7,$M$8)</f>
        <v>9.0993186916399089E-3</v>
      </c>
    </row>
    <row r="9194" spans="6:7" x14ac:dyDescent="0.25">
      <c r="F9194">
        <v>9191</v>
      </c>
      <c r="G9194">
        <f ca="1">_xlfn.NORM.INV(RAND(),$M$7,$M$8)</f>
        <v>2.5097495124624773E-2</v>
      </c>
    </row>
    <row r="9195" spans="6:7" x14ac:dyDescent="0.25">
      <c r="F9195">
        <v>9192</v>
      </c>
      <c r="G9195">
        <f ca="1">_xlfn.NORM.INV(RAND(),$M$7,$M$8)</f>
        <v>-8.6185551359680371E-3</v>
      </c>
    </row>
    <row r="9196" spans="6:7" x14ac:dyDescent="0.25">
      <c r="F9196">
        <v>9193</v>
      </c>
      <c r="G9196">
        <f ca="1">_xlfn.NORM.INV(RAND(),$M$7,$M$8)</f>
        <v>4.0106330644713809E-3</v>
      </c>
    </row>
    <row r="9197" spans="6:7" x14ac:dyDescent="0.25">
      <c r="F9197">
        <v>9194</v>
      </c>
      <c r="G9197">
        <f ca="1">_xlfn.NORM.INV(RAND(),$M$7,$M$8)</f>
        <v>-2.4365399010548554E-2</v>
      </c>
    </row>
    <row r="9198" spans="6:7" x14ac:dyDescent="0.25">
      <c r="F9198">
        <v>9195</v>
      </c>
      <c r="G9198">
        <f ca="1">_xlfn.NORM.INV(RAND(),$M$7,$M$8)</f>
        <v>8.2537357296260747E-3</v>
      </c>
    </row>
    <row r="9199" spans="6:7" x14ac:dyDescent="0.25">
      <c r="F9199">
        <v>9196</v>
      </c>
      <c r="G9199">
        <f ca="1">_xlfn.NORM.INV(RAND(),$M$7,$M$8)</f>
        <v>3.6877630292586837E-3</v>
      </c>
    </row>
    <row r="9200" spans="6:7" x14ac:dyDescent="0.25">
      <c r="F9200">
        <v>9197</v>
      </c>
      <c r="G9200">
        <f ca="1">_xlfn.NORM.INV(RAND(),$M$7,$M$8)</f>
        <v>-3.9257342456170186E-2</v>
      </c>
    </row>
    <row r="9201" spans="6:7" x14ac:dyDescent="0.25">
      <c r="F9201">
        <v>9198</v>
      </c>
      <c r="G9201">
        <f ca="1">_xlfn.NORM.INV(RAND(),$M$7,$M$8)</f>
        <v>2.2604456359590935E-2</v>
      </c>
    </row>
    <row r="9202" spans="6:7" x14ac:dyDescent="0.25">
      <c r="F9202">
        <v>9199</v>
      </c>
      <c r="G9202">
        <f ca="1">_xlfn.NORM.INV(RAND(),$M$7,$M$8)</f>
        <v>-1.5050112393302194E-2</v>
      </c>
    </row>
    <row r="9203" spans="6:7" x14ac:dyDescent="0.25">
      <c r="F9203">
        <v>9200</v>
      </c>
      <c r="G9203">
        <f ca="1">_xlfn.NORM.INV(RAND(),$M$7,$M$8)</f>
        <v>-8.1544595201994453E-3</v>
      </c>
    </row>
    <row r="9204" spans="6:7" x14ac:dyDescent="0.25">
      <c r="F9204">
        <v>9201</v>
      </c>
      <c r="G9204">
        <f ca="1">_xlfn.NORM.INV(RAND(),$M$7,$M$8)</f>
        <v>5.1438273210147413E-2</v>
      </c>
    </row>
    <row r="9205" spans="6:7" x14ac:dyDescent="0.25">
      <c r="F9205">
        <v>9202</v>
      </c>
      <c r="G9205">
        <f ca="1">_xlfn.NORM.INV(RAND(),$M$7,$M$8)</f>
        <v>1.0772405286099169E-2</v>
      </c>
    </row>
    <row r="9206" spans="6:7" x14ac:dyDescent="0.25">
      <c r="F9206">
        <v>9203</v>
      </c>
      <c r="G9206">
        <f ca="1">_xlfn.NORM.INV(RAND(),$M$7,$M$8)</f>
        <v>2.8462944752019616E-3</v>
      </c>
    </row>
    <row r="9207" spans="6:7" x14ac:dyDescent="0.25">
      <c r="F9207">
        <v>9204</v>
      </c>
      <c r="G9207">
        <f ca="1">_xlfn.NORM.INV(RAND(),$M$7,$M$8)</f>
        <v>-1.9225946918964929E-2</v>
      </c>
    </row>
    <row r="9208" spans="6:7" x14ac:dyDescent="0.25">
      <c r="F9208">
        <v>9205</v>
      </c>
      <c r="G9208">
        <f ca="1">_xlfn.NORM.INV(RAND(),$M$7,$M$8)</f>
        <v>-4.0589879703672102E-2</v>
      </c>
    </row>
    <row r="9209" spans="6:7" x14ac:dyDescent="0.25">
      <c r="F9209">
        <v>9206</v>
      </c>
      <c r="G9209">
        <f ca="1">_xlfn.NORM.INV(RAND(),$M$7,$M$8)</f>
        <v>4.374136858578942E-2</v>
      </c>
    </row>
    <row r="9210" spans="6:7" x14ac:dyDescent="0.25">
      <c r="F9210">
        <v>9207</v>
      </c>
      <c r="G9210">
        <f ca="1">_xlfn.NORM.INV(RAND(),$M$7,$M$8)</f>
        <v>-2.8286438427868144E-2</v>
      </c>
    </row>
    <row r="9211" spans="6:7" x14ac:dyDescent="0.25">
      <c r="F9211">
        <v>9208</v>
      </c>
      <c r="G9211">
        <f ca="1">_xlfn.NORM.INV(RAND(),$M$7,$M$8)</f>
        <v>1.0755782071155453E-2</v>
      </c>
    </row>
    <row r="9212" spans="6:7" x14ac:dyDescent="0.25">
      <c r="F9212">
        <v>9209</v>
      </c>
      <c r="G9212">
        <f ca="1">_xlfn.NORM.INV(RAND(),$M$7,$M$8)</f>
        <v>4.6463301133936423E-2</v>
      </c>
    </row>
    <row r="9213" spans="6:7" x14ac:dyDescent="0.25">
      <c r="F9213">
        <v>9210</v>
      </c>
      <c r="G9213">
        <f ca="1">_xlfn.NORM.INV(RAND(),$M$7,$M$8)</f>
        <v>-3.3193420932592123E-2</v>
      </c>
    </row>
    <row r="9214" spans="6:7" x14ac:dyDescent="0.25">
      <c r="F9214">
        <v>9211</v>
      </c>
      <c r="G9214">
        <f ca="1">_xlfn.NORM.INV(RAND(),$M$7,$M$8)</f>
        <v>1.2739505301474639E-2</v>
      </c>
    </row>
    <row r="9215" spans="6:7" x14ac:dyDescent="0.25">
      <c r="F9215">
        <v>9212</v>
      </c>
      <c r="G9215">
        <f ca="1">_xlfn.NORM.INV(RAND(),$M$7,$M$8)</f>
        <v>1.0126105312305944E-3</v>
      </c>
    </row>
    <row r="9216" spans="6:7" x14ac:dyDescent="0.25">
      <c r="F9216">
        <v>9213</v>
      </c>
      <c r="G9216">
        <f ca="1">_xlfn.NORM.INV(RAND(),$M$7,$M$8)</f>
        <v>-2.7783548011746442E-2</v>
      </c>
    </row>
    <row r="9217" spans="6:7" x14ac:dyDescent="0.25">
      <c r="F9217">
        <v>9214</v>
      </c>
      <c r="G9217">
        <f ca="1">_xlfn.NORM.INV(RAND(),$M$7,$M$8)</f>
        <v>-6.2065927256468173E-4</v>
      </c>
    </row>
    <row r="9218" spans="6:7" x14ac:dyDescent="0.25">
      <c r="F9218">
        <v>9215</v>
      </c>
      <c r="G9218">
        <f ca="1">_xlfn.NORM.INV(RAND(),$M$7,$M$8)</f>
        <v>-7.0614175290969486E-2</v>
      </c>
    </row>
    <row r="9219" spans="6:7" x14ac:dyDescent="0.25">
      <c r="F9219">
        <v>9216</v>
      </c>
      <c r="G9219">
        <f ca="1">_xlfn.NORM.INV(RAND(),$M$7,$M$8)</f>
        <v>2.1014836520472809E-2</v>
      </c>
    </row>
    <row r="9220" spans="6:7" x14ac:dyDescent="0.25">
      <c r="F9220">
        <v>9217</v>
      </c>
      <c r="G9220">
        <f ca="1">_xlfn.NORM.INV(RAND(),$M$7,$M$8)</f>
        <v>1.7853324294133679E-2</v>
      </c>
    </row>
    <row r="9221" spans="6:7" x14ac:dyDescent="0.25">
      <c r="F9221">
        <v>9218</v>
      </c>
      <c r="G9221">
        <f ca="1">_xlfn.NORM.INV(RAND(),$M$7,$M$8)</f>
        <v>2.1645596192688348E-2</v>
      </c>
    </row>
    <row r="9222" spans="6:7" x14ac:dyDescent="0.25">
      <c r="F9222">
        <v>9219</v>
      </c>
      <c r="G9222">
        <f ca="1">_xlfn.NORM.INV(RAND(),$M$7,$M$8)</f>
        <v>1.8031674576447746E-3</v>
      </c>
    </row>
    <row r="9223" spans="6:7" x14ac:dyDescent="0.25">
      <c r="F9223">
        <v>9220</v>
      </c>
      <c r="G9223">
        <f ca="1">_xlfn.NORM.INV(RAND(),$M$7,$M$8)</f>
        <v>2.9921603636309361E-2</v>
      </c>
    </row>
    <row r="9224" spans="6:7" x14ac:dyDescent="0.25">
      <c r="F9224">
        <v>9221</v>
      </c>
      <c r="G9224">
        <f ca="1">_xlfn.NORM.INV(RAND(),$M$7,$M$8)</f>
        <v>-3.2105698719588072E-2</v>
      </c>
    </row>
    <row r="9225" spans="6:7" x14ac:dyDescent="0.25">
      <c r="F9225">
        <v>9222</v>
      </c>
      <c r="G9225">
        <f ca="1">_xlfn.NORM.INV(RAND(),$M$7,$M$8)</f>
        <v>8.8464711199676884E-3</v>
      </c>
    </row>
    <row r="9226" spans="6:7" x14ac:dyDescent="0.25">
      <c r="F9226">
        <v>9223</v>
      </c>
      <c r="G9226">
        <f ca="1">_xlfn.NORM.INV(RAND(),$M$7,$M$8)</f>
        <v>-2.898807560612239E-2</v>
      </c>
    </row>
    <row r="9227" spans="6:7" x14ac:dyDescent="0.25">
      <c r="F9227">
        <v>9224</v>
      </c>
      <c r="G9227">
        <f ca="1">_xlfn.NORM.INV(RAND(),$M$7,$M$8)</f>
        <v>3.2711515889365639E-3</v>
      </c>
    </row>
    <row r="9228" spans="6:7" x14ac:dyDescent="0.25">
      <c r="F9228">
        <v>9225</v>
      </c>
      <c r="G9228">
        <f ca="1">_xlfn.NORM.INV(RAND(),$M$7,$M$8)</f>
        <v>1.579598330404026E-3</v>
      </c>
    </row>
    <row r="9229" spans="6:7" x14ac:dyDescent="0.25">
      <c r="F9229">
        <v>9226</v>
      </c>
      <c r="G9229">
        <f ca="1">_xlfn.NORM.INV(RAND(),$M$7,$M$8)</f>
        <v>3.3604659410909822E-2</v>
      </c>
    </row>
    <row r="9230" spans="6:7" x14ac:dyDescent="0.25">
      <c r="F9230">
        <v>9227</v>
      </c>
      <c r="G9230">
        <f ca="1">_xlfn.NORM.INV(RAND(),$M$7,$M$8)</f>
        <v>2.5612792009842768E-2</v>
      </c>
    </row>
    <row r="9231" spans="6:7" x14ac:dyDescent="0.25">
      <c r="F9231">
        <v>9228</v>
      </c>
      <c r="G9231">
        <f ca="1">_xlfn.NORM.INV(RAND(),$M$7,$M$8)</f>
        <v>-2.7062735146282827E-2</v>
      </c>
    </row>
    <row r="9232" spans="6:7" x14ac:dyDescent="0.25">
      <c r="F9232">
        <v>9229</v>
      </c>
      <c r="G9232">
        <f ca="1">_xlfn.NORM.INV(RAND(),$M$7,$M$8)</f>
        <v>2.5616639222002854E-4</v>
      </c>
    </row>
    <row r="9233" spans="6:7" x14ac:dyDescent="0.25">
      <c r="F9233">
        <v>9230</v>
      </c>
      <c r="G9233">
        <f ca="1">_xlfn.NORM.INV(RAND(),$M$7,$M$8)</f>
        <v>9.3582522881572386E-3</v>
      </c>
    </row>
    <row r="9234" spans="6:7" x14ac:dyDescent="0.25">
      <c r="F9234">
        <v>9231</v>
      </c>
      <c r="G9234">
        <f ca="1">_xlfn.NORM.INV(RAND(),$M$7,$M$8)</f>
        <v>5.1923410715241803E-3</v>
      </c>
    </row>
    <row r="9235" spans="6:7" x14ac:dyDescent="0.25">
      <c r="F9235">
        <v>9232</v>
      </c>
      <c r="G9235">
        <f ca="1">_xlfn.NORM.INV(RAND(),$M$7,$M$8)</f>
        <v>-5.4461462273107169E-4</v>
      </c>
    </row>
    <row r="9236" spans="6:7" x14ac:dyDescent="0.25">
      <c r="F9236">
        <v>9233</v>
      </c>
      <c r="G9236">
        <f ca="1">_xlfn.NORM.INV(RAND(),$M$7,$M$8)</f>
        <v>-9.7158368806795643E-3</v>
      </c>
    </row>
    <row r="9237" spans="6:7" x14ac:dyDescent="0.25">
      <c r="F9237">
        <v>9234</v>
      </c>
      <c r="G9237">
        <f ca="1">_xlfn.NORM.INV(RAND(),$M$7,$M$8)</f>
        <v>-3.3772456212026312E-2</v>
      </c>
    </row>
    <row r="9238" spans="6:7" x14ac:dyDescent="0.25">
      <c r="F9238">
        <v>9235</v>
      </c>
      <c r="G9238">
        <f ca="1">_xlfn.NORM.INV(RAND(),$M$7,$M$8)</f>
        <v>2.165014597567318E-2</v>
      </c>
    </row>
    <row r="9239" spans="6:7" x14ac:dyDescent="0.25">
      <c r="F9239">
        <v>9236</v>
      </c>
      <c r="G9239">
        <f ca="1">_xlfn.NORM.INV(RAND(),$M$7,$M$8)</f>
        <v>5.7702114406283558E-3</v>
      </c>
    </row>
    <row r="9240" spans="6:7" x14ac:dyDescent="0.25">
      <c r="F9240">
        <v>9237</v>
      </c>
      <c r="G9240">
        <f ca="1">_xlfn.NORM.INV(RAND(),$M$7,$M$8)</f>
        <v>1.2960623262957544E-2</v>
      </c>
    </row>
    <row r="9241" spans="6:7" x14ac:dyDescent="0.25">
      <c r="F9241">
        <v>9238</v>
      </c>
      <c r="G9241">
        <f ca="1">_xlfn.NORM.INV(RAND(),$M$7,$M$8)</f>
        <v>1.5151796430780575E-2</v>
      </c>
    </row>
    <row r="9242" spans="6:7" x14ac:dyDescent="0.25">
      <c r="F9242">
        <v>9239</v>
      </c>
      <c r="G9242">
        <f ca="1">_xlfn.NORM.INV(RAND(),$M$7,$M$8)</f>
        <v>-3.4620510621029524E-3</v>
      </c>
    </row>
    <row r="9243" spans="6:7" x14ac:dyDescent="0.25">
      <c r="F9243">
        <v>9240</v>
      </c>
      <c r="G9243">
        <f ca="1">_xlfn.NORM.INV(RAND(),$M$7,$M$8)</f>
        <v>-1.6399962939612003E-2</v>
      </c>
    </row>
    <row r="9244" spans="6:7" x14ac:dyDescent="0.25">
      <c r="F9244">
        <v>9241</v>
      </c>
      <c r="G9244">
        <f ca="1">_xlfn.NORM.INV(RAND(),$M$7,$M$8)</f>
        <v>6.4214585318530474E-3</v>
      </c>
    </row>
    <row r="9245" spans="6:7" x14ac:dyDescent="0.25">
      <c r="F9245">
        <v>9242</v>
      </c>
      <c r="G9245">
        <f ca="1">_xlfn.NORM.INV(RAND(),$M$7,$M$8)</f>
        <v>-9.1092266875065428E-3</v>
      </c>
    </row>
    <row r="9246" spans="6:7" x14ac:dyDescent="0.25">
      <c r="F9246">
        <v>9243</v>
      </c>
      <c r="G9246">
        <f ca="1">_xlfn.NORM.INV(RAND(),$M$7,$M$8)</f>
        <v>1.3836856556572118E-2</v>
      </c>
    </row>
    <row r="9247" spans="6:7" x14ac:dyDescent="0.25">
      <c r="F9247">
        <v>9244</v>
      </c>
      <c r="G9247">
        <f ca="1">_xlfn.NORM.INV(RAND(),$M$7,$M$8)</f>
        <v>-8.8919018066183613E-3</v>
      </c>
    </row>
    <row r="9248" spans="6:7" x14ac:dyDescent="0.25">
      <c r="F9248">
        <v>9245</v>
      </c>
      <c r="G9248">
        <f ca="1">_xlfn.NORM.INV(RAND(),$M$7,$M$8)</f>
        <v>-6.2581029554896014E-2</v>
      </c>
    </row>
    <row r="9249" spans="6:7" x14ac:dyDescent="0.25">
      <c r="F9249">
        <v>9246</v>
      </c>
      <c r="G9249">
        <f ca="1">_xlfn.NORM.INV(RAND(),$M$7,$M$8)</f>
        <v>-7.2421829585447399E-3</v>
      </c>
    </row>
    <row r="9250" spans="6:7" x14ac:dyDescent="0.25">
      <c r="F9250">
        <v>9247</v>
      </c>
      <c r="G9250">
        <f ca="1">_xlfn.NORM.INV(RAND(),$M$7,$M$8)</f>
        <v>2.500292594958059E-2</v>
      </c>
    </row>
    <row r="9251" spans="6:7" x14ac:dyDescent="0.25">
      <c r="F9251">
        <v>9248</v>
      </c>
      <c r="G9251">
        <f ca="1">_xlfn.NORM.INV(RAND(),$M$7,$M$8)</f>
        <v>-2.6941491413265436E-3</v>
      </c>
    </row>
    <row r="9252" spans="6:7" x14ac:dyDescent="0.25">
      <c r="F9252">
        <v>9249</v>
      </c>
      <c r="G9252">
        <f ca="1">_xlfn.NORM.INV(RAND(),$M$7,$M$8)</f>
        <v>-2.8258488532273668E-2</v>
      </c>
    </row>
    <row r="9253" spans="6:7" x14ac:dyDescent="0.25">
      <c r="F9253">
        <v>9250</v>
      </c>
      <c r="G9253">
        <f ca="1">_xlfn.NORM.INV(RAND(),$M$7,$M$8)</f>
        <v>1.7229058425798721E-2</v>
      </c>
    </row>
    <row r="9254" spans="6:7" x14ac:dyDescent="0.25">
      <c r="F9254">
        <v>9251</v>
      </c>
      <c r="G9254">
        <f ca="1">_xlfn.NORM.INV(RAND(),$M$7,$M$8)</f>
        <v>5.7647967400333722E-3</v>
      </c>
    </row>
    <row r="9255" spans="6:7" x14ac:dyDescent="0.25">
      <c r="F9255">
        <v>9252</v>
      </c>
      <c r="G9255">
        <f ca="1">_xlfn.NORM.INV(RAND(),$M$7,$M$8)</f>
        <v>-3.9288472104472963E-2</v>
      </c>
    </row>
    <row r="9256" spans="6:7" x14ac:dyDescent="0.25">
      <c r="F9256">
        <v>9253</v>
      </c>
      <c r="G9256">
        <f ca="1">_xlfn.NORM.INV(RAND(),$M$7,$M$8)</f>
        <v>-9.8650051878807488E-3</v>
      </c>
    </row>
    <row r="9257" spans="6:7" x14ac:dyDescent="0.25">
      <c r="F9257">
        <v>9254</v>
      </c>
      <c r="G9257">
        <f ca="1">_xlfn.NORM.INV(RAND(),$M$7,$M$8)</f>
        <v>2.0641292490179465E-2</v>
      </c>
    </row>
    <row r="9258" spans="6:7" x14ac:dyDescent="0.25">
      <c r="F9258">
        <v>9255</v>
      </c>
      <c r="G9258">
        <f ca="1">_xlfn.NORM.INV(RAND(),$M$7,$M$8)</f>
        <v>2.406148769705712E-2</v>
      </c>
    </row>
    <row r="9259" spans="6:7" x14ac:dyDescent="0.25">
      <c r="F9259">
        <v>9256</v>
      </c>
      <c r="G9259">
        <f ca="1">_xlfn.NORM.INV(RAND(),$M$7,$M$8)</f>
        <v>8.9424401314690035E-3</v>
      </c>
    </row>
    <row r="9260" spans="6:7" x14ac:dyDescent="0.25">
      <c r="F9260">
        <v>9257</v>
      </c>
      <c r="G9260">
        <f ca="1">_xlfn.NORM.INV(RAND(),$M$7,$M$8)</f>
        <v>-9.4532867197384667E-3</v>
      </c>
    </row>
    <row r="9261" spans="6:7" x14ac:dyDescent="0.25">
      <c r="F9261">
        <v>9258</v>
      </c>
      <c r="G9261">
        <f ca="1">_xlfn.NORM.INV(RAND(),$M$7,$M$8)</f>
        <v>1.0800363149588882E-2</v>
      </c>
    </row>
    <row r="9262" spans="6:7" x14ac:dyDescent="0.25">
      <c r="F9262">
        <v>9259</v>
      </c>
      <c r="G9262">
        <f ca="1">_xlfn.NORM.INV(RAND(),$M$7,$M$8)</f>
        <v>-9.8905387752353264E-3</v>
      </c>
    </row>
    <row r="9263" spans="6:7" x14ac:dyDescent="0.25">
      <c r="F9263">
        <v>9260</v>
      </c>
      <c r="G9263">
        <f ca="1">_xlfn.NORM.INV(RAND(),$M$7,$M$8)</f>
        <v>5.5046152662211814E-2</v>
      </c>
    </row>
    <row r="9264" spans="6:7" x14ac:dyDescent="0.25">
      <c r="F9264">
        <v>9261</v>
      </c>
      <c r="G9264">
        <f ca="1">_xlfn.NORM.INV(RAND(),$M$7,$M$8)</f>
        <v>-2.5573319470522126E-3</v>
      </c>
    </row>
    <row r="9265" spans="6:7" x14ac:dyDescent="0.25">
      <c r="F9265">
        <v>9262</v>
      </c>
      <c r="G9265">
        <f ca="1">_xlfn.NORM.INV(RAND(),$M$7,$M$8)</f>
        <v>2.9152185104367141E-2</v>
      </c>
    </row>
    <row r="9266" spans="6:7" x14ac:dyDescent="0.25">
      <c r="F9266">
        <v>9263</v>
      </c>
      <c r="G9266">
        <f ca="1">_xlfn.NORM.INV(RAND(),$M$7,$M$8)</f>
        <v>1.3369837855532528E-2</v>
      </c>
    </row>
    <row r="9267" spans="6:7" x14ac:dyDescent="0.25">
      <c r="F9267">
        <v>9264</v>
      </c>
      <c r="G9267">
        <f ca="1">_xlfn.NORM.INV(RAND(),$M$7,$M$8)</f>
        <v>2.9736183537107736E-2</v>
      </c>
    </row>
    <row r="9268" spans="6:7" x14ac:dyDescent="0.25">
      <c r="F9268">
        <v>9265</v>
      </c>
      <c r="G9268">
        <f ca="1">_xlfn.NORM.INV(RAND(),$M$7,$M$8)</f>
        <v>1.0488270835350541E-2</v>
      </c>
    </row>
    <row r="9269" spans="6:7" x14ac:dyDescent="0.25">
      <c r="F9269">
        <v>9266</v>
      </c>
      <c r="G9269">
        <f ca="1">_xlfn.NORM.INV(RAND(),$M$7,$M$8)</f>
        <v>-4.0115162480761531E-2</v>
      </c>
    </row>
    <row r="9270" spans="6:7" x14ac:dyDescent="0.25">
      <c r="F9270">
        <v>9267</v>
      </c>
      <c r="G9270">
        <f ca="1">_xlfn.NORM.INV(RAND(),$M$7,$M$8)</f>
        <v>-3.2737135161854093E-2</v>
      </c>
    </row>
    <row r="9271" spans="6:7" x14ac:dyDescent="0.25">
      <c r="F9271">
        <v>9268</v>
      </c>
      <c r="G9271">
        <f ca="1">_xlfn.NORM.INV(RAND(),$M$7,$M$8)</f>
        <v>1.6077599256360525E-2</v>
      </c>
    </row>
    <row r="9272" spans="6:7" x14ac:dyDescent="0.25">
      <c r="F9272">
        <v>9269</v>
      </c>
      <c r="G9272">
        <f ca="1">_xlfn.NORM.INV(RAND(),$M$7,$M$8)</f>
        <v>-2.3080500487610338E-2</v>
      </c>
    </row>
    <row r="9273" spans="6:7" x14ac:dyDescent="0.25">
      <c r="F9273">
        <v>9270</v>
      </c>
      <c r="G9273">
        <f ca="1">_xlfn.NORM.INV(RAND(),$M$7,$M$8)</f>
        <v>3.5187086684313709E-2</v>
      </c>
    </row>
    <row r="9274" spans="6:7" x14ac:dyDescent="0.25">
      <c r="F9274">
        <v>9271</v>
      </c>
      <c r="G9274">
        <f ca="1">_xlfn.NORM.INV(RAND(),$M$7,$M$8)</f>
        <v>-2.1497495099287871E-2</v>
      </c>
    </row>
    <row r="9275" spans="6:7" x14ac:dyDescent="0.25">
      <c r="F9275">
        <v>9272</v>
      </c>
      <c r="G9275">
        <f ca="1">_xlfn.NORM.INV(RAND(),$M$7,$M$8)</f>
        <v>1.7826019846559099E-2</v>
      </c>
    </row>
    <row r="9276" spans="6:7" x14ac:dyDescent="0.25">
      <c r="F9276">
        <v>9273</v>
      </c>
      <c r="G9276">
        <f ca="1">_xlfn.NORM.INV(RAND(),$M$7,$M$8)</f>
        <v>1.1940392048699653E-2</v>
      </c>
    </row>
    <row r="9277" spans="6:7" x14ac:dyDescent="0.25">
      <c r="F9277">
        <v>9274</v>
      </c>
      <c r="G9277">
        <f ca="1">_xlfn.NORM.INV(RAND(),$M$7,$M$8)</f>
        <v>-1.1454148647232596E-2</v>
      </c>
    </row>
    <row r="9278" spans="6:7" x14ac:dyDescent="0.25">
      <c r="F9278">
        <v>9275</v>
      </c>
      <c r="G9278">
        <f ca="1">_xlfn.NORM.INV(RAND(),$M$7,$M$8)</f>
        <v>-6.2255465761102847E-3</v>
      </c>
    </row>
    <row r="9279" spans="6:7" x14ac:dyDescent="0.25">
      <c r="F9279">
        <v>9276</v>
      </c>
      <c r="G9279">
        <f ca="1">_xlfn.NORM.INV(RAND(),$M$7,$M$8)</f>
        <v>1.1149230856601527E-2</v>
      </c>
    </row>
    <row r="9280" spans="6:7" x14ac:dyDescent="0.25">
      <c r="F9280">
        <v>9277</v>
      </c>
      <c r="G9280">
        <f ca="1">_xlfn.NORM.INV(RAND(),$M$7,$M$8)</f>
        <v>5.4415471403829477E-2</v>
      </c>
    </row>
    <row r="9281" spans="6:7" x14ac:dyDescent="0.25">
      <c r="F9281">
        <v>9278</v>
      </c>
      <c r="G9281">
        <f ca="1">_xlfn.NORM.INV(RAND(),$M$7,$M$8)</f>
        <v>-1.6680917188893939E-2</v>
      </c>
    </row>
    <row r="9282" spans="6:7" x14ac:dyDescent="0.25">
      <c r="F9282">
        <v>9279</v>
      </c>
      <c r="G9282">
        <f ca="1">_xlfn.NORM.INV(RAND(),$M$7,$M$8)</f>
        <v>1.4630245281764738E-2</v>
      </c>
    </row>
    <row r="9283" spans="6:7" x14ac:dyDescent="0.25">
      <c r="F9283">
        <v>9280</v>
      </c>
      <c r="G9283">
        <f ca="1">_xlfn.NORM.INV(RAND(),$M$7,$M$8)</f>
        <v>-2.3993654002442698E-2</v>
      </c>
    </row>
    <row r="9284" spans="6:7" x14ac:dyDescent="0.25">
      <c r="F9284">
        <v>9281</v>
      </c>
      <c r="G9284">
        <f ca="1">_xlfn.NORM.INV(RAND(),$M$7,$M$8)</f>
        <v>-1.269225086011177E-3</v>
      </c>
    </row>
    <row r="9285" spans="6:7" x14ac:dyDescent="0.25">
      <c r="F9285">
        <v>9282</v>
      </c>
      <c r="G9285">
        <f ca="1">_xlfn.NORM.INV(RAND(),$M$7,$M$8)</f>
        <v>2.9325226812930271E-3</v>
      </c>
    </row>
    <row r="9286" spans="6:7" x14ac:dyDescent="0.25">
      <c r="F9286">
        <v>9283</v>
      </c>
      <c r="G9286">
        <f ca="1">_xlfn.NORM.INV(RAND(),$M$7,$M$8)</f>
        <v>1.2052623047208793E-2</v>
      </c>
    </row>
    <row r="9287" spans="6:7" x14ac:dyDescent="0.25">
      <c r="F9287">
        <v>9284</v>
      </c>
      <c r="G9287">
        <f ca="1">_xlfn.NORM.INV(RAND(),$M$7,$M$8)</f>
        <v>3.4254391132078628E-2</v>
      </c>
    </row>
    <row r="9288" spans="6:7" x14ac:dyDescent="0.25">
      <c r="F9288">
        <v>9285</v>
      </c>
      <c r="G9288">
        <f ca="1">_xlfn.NORM.INV(RAND(),$M$7,$M$8)</f>
        <v>2.7462217071320686E-2</v>
      </c>
    </row>
    <row r="9289" spans="6:7" x14ac:dyDescent="0.25">
      <c r="F9289">
        <v>9286</v>
      </c>
      <c r="G9289">
        <f ca="1">_xlfn.NORM.INV(RAND(),$M$7,$M$8)</f>
        <v>-1.5460091076103362E-2</v>
      </c>
    </row>
    <row r="9290" spans="6:7" x14ac:dyDescent="0.25">
      <c r="F9290">
        <v>9287</v>
      </c>
      <c r="G9290">
        <f ca="1">_xlfn.NORM.INV(RAND(),$M$7,$M$8)</f>
        <v>1.365072146360851E-2</v>
      </c>
    </row>
    <row r="9291" spans="6:7" x14ac:dyDescent="0.25">
      <c r="F9291">
        <v>9288</v>
      </c>
      <c r="G9291">
        <f ca="1">_xlfn.NORM.INV(RAND(),$M$7,$M$8)</f>
        <v>1.9648009037846702E-2</v>
      </c>
    </row>
    <row r="9292" spans="6:7" x14ac:dyDescent="0.25">
      <c r="F9292">
        <v>9289</v>
      </c>
      <c r="G9292">
        <f ca="1">_xlfn.NORM.INV(RAND(),$M$7,$M$8)</f>
        <v>-1.5681611139353697E-2</v>
      </c>
    </row>
    <row r="9293" spans="6:7" x14ac:dyDescent="0.25">
      <c r="F9293">
        <v>9290</v>
      </c>
      <c r="G9293">
        <f ca="1">_xlfn.NORM.INV(RAND(),$M$7,$M$8)</f>
        <v>-1.4859482962992138E-2</v>
      </c>
    </row>
    <row r="9294" spans="6:7" x14ac:dyDescent="0.25">
      <c r="F9294">
        <v>9291</v>
      </c>
      <c r="G9294">
        <f ca="1">_xlfn.NORM.INV(RAND(),$M$7,$M$8)</f>
        <v>2.7425235020465687E-2</v>
      </c>
    </row>
    <row r="9295" spans="6:7" x14ac:dyDescent="0.25">
      <c r="F9295">
        <v>9292</v>
      </c>
      <c r="G9295">
        <f ca="1">_xlfn.NORM.INV(RAND(),$M$7,$M$8)</f>
        <v>-1.7258113151444539E-2</v>
      </c>
    </row>
    <row r="9296" spans="6:7" x14ac:dyDescent="0.25">
      <c r="F9296">
        <v>9293</v>
      </c>
      <c r="G9296">
        <f ca="1">_xlfn.NORM.INV(RAND(),$M$7,$M$8)</f>
        <v>-2.5605252554846431E-2</v>
      </c>
    </row>
    <row r="9297" spans="6:7" x14ac:dyDescent="0.25">
      <c r="F9297">
        <v>9294</v>
      </c>
      <c r="G9297">
        <f ca="1">_xlfn.NORM.INV(RAND(),$M$7,$M$8)</f>
        <v>2.859749997659808E-3</v>
      </c>
    </row>
    <row r="9298" spans="6:7" x14ac:dyDescent="0.25">
      <c r="F9298">
        <v>9295</v>
      </c>
      <c r="G9298">
        <f ca="1">_xlfn.NORM.INV(RAND(),$M$7,$M$8)</f>
        <v>-2.1107607269458217E-2</v>
      </c>
    </row>
    <row r="9299" spans="6:7" x14ac:dyDescent="0.25">
      <c r="F9299">
        <v>9296</v>
      </c>
      <c r="G9299">
        <f ca="1">_xlfn.NORM.INV(RAND(),$M$7,$M$8)</f>
        <v>-2.718124259765177E-3</v>
      </c>
    </row>
    <row r="9300" spans="6:7" x14ac:dyDescent="0.25">
      <c r="F9300">
        <v>9297</v>
      </c>
      <c r="G9300">
        <f ca="1">_xlfn.NORM.INV(RAND(),$M$7,$M$8)</f>
        <v>2.0592184481167349E-2</v>
      </c>
    </row>
    <row r="9301" spans="6:7" x14ac:dyDescent="0.25">
      <c r="F9301">
        <v>9298</v>
      </c>
      <c r="G9301">
        <f ca="1">_xlfn.NORM.INV(RAND(),$M$7,$M$8)</f>
        <v>-1.4334307654514107E-2</v>
      </c>
    </row>
    <row r="9302" spans="6:7" x14ac:dyDescent="0.25">
      <c r="F9302">
        <v>9299</v>
      </c>
      <c r="G9302">
        <f ca="1">_xlfn.NORM.INV(RAND(),$M$7,$M$8)</f>
        <v>4.0447667510811844E-2</v>
      </c>
    </row>
    <row r="9303" spans="6:7" x14ac:dyDescent="0.25">
      <c r="F9303">
        <v>9300</v>
      </c>
      <c r="G9303">
        <f ca="1">_xlfn.NORM.INV(RAND(),$M$7,$M$8)</f>
        <v>-1.1392177938681537E-2</v>
      </c>
    </row>
    <row r="9304" spans="6:7" x14ac:dyDescent="0.25">
      <c r="F9304">
        <v>9301</v>
      </c>
      <c r="G9304">
        <f ca="1">_xlfn.NORM.INV(RAND(),$M$7,$M$8)</f>
        <v>-1.0489004681025064E-2</v>
      </c>
    </row>
    <row r="9305" spans="6:7" x14ac:dyDescent="0.25">
      <c r="F9305">
        <v>9302</v>
      </c>
      <c r="G9305">
        <f ca="1">_xlfn.NORM.INV(RAND(),$M$7,$M$8)</f>
        <v>2.0906535957652354E-2</v>
      </c>
    </row>
    <row r="9306" spans="6:7" x14ac:dyDescent="0.25">
      <c r="F9306">
        <v>9303</v>
      </c>
      <c r="G9306">
        <f ca="1">_xlfn.NORM.INV(RAND(),$M$7,$M$8)</f>
        <v>-3.2464776743582384E-2</v>
      </c>
    </row>
    <row r="9307" spans="6:7" x14ac:dyDescent="0.25">
      <c r="F9307">
        <v>9304</v>
      </c>
      <c r="G9307">
        <f ca="1">_xlfn.NORM.INV(RAND(),$M$7,$M$8)</f>
        <v>3.1544718379849845E-2</v>
      </c>
    </row>
    <row r="9308" spans="6:7" x14ac:dyDescent="0.25">
      <c r="F9308">
        <v>9305</v>
      </c>
      <c r="G9308">
        <f ca="1">_xlfn.NORM.INV(RAND(),$M$7,$M$8)</f>
        <v>9.2101111257095209E-3</v>
      </c>
    </row>
    <row r="9309" spans="6:7" x14ac:dyDescent="0.25">
      <c r="F9309">
        <v>9306</v>
      </c>
      <c r="G9309">
        <f ca="1">_xlfn.NORM.INV(RAND(),$M$7,$M$8)</f>
        <v>3.1217051195697173E-2</v>
      </c>
    </row>
    <row r="9310" spans="6:7" x14ac:dyDescent="0.25">
      <c r="F9310">
        <v>9307</v>
      </c>
      <c r="G9310">
        <f ca="1">_xlfn.NORM.INV(RAND(),$M$7,$M$8)</f>
        <v>1.2109839617560555E-2</v>
      </c>
    </row>
    <row r="9311" spans="6:7" x14ac:dyDescent="0.25">
      <c r="F9311">
        <v>9308</v>
      </c>
      <c r="G9311">
        <f ca="1">_xlfn.NORM.INV(RAND(),$M$7,$M$8)</f>
        <v>-1.6090672142086075E-3</v>
      </c>
    </row>
    <row r="9312" spans="6:7" x14ac:dyDescent="0.25">
      <c r="F9312">
        <v>9309</v>
      </c>
      <c r="G9312">
        <f ca="1">_xlfn.NORM.INV(RAND(),$M$7,$M$8)</f>
        <v>-2.4277251982199124E-2</v>
      </c>
    </row>
    <row r="9313" spans="6:7" x14ac:dyDescent="0.25">
      <c r="F9313">
        <v>9310</v>
      </c>
      <c r="G9313">
        <f ca="1">_xlfn.NORM.INV(RAND(),$M$7,$M$8)</f>
        <v>2.1352857941395017E-2</v>
      </c>
    </row>
    <row r="9314" spans="6:7" x14ac:dyDescent="0.25">
      <c r="F9314">
        <v>9311</v>
      </c>
      <c r="G9314">
        <f ca="1">_xlfn.NORM.INV(RAND(),$M$7,$M$8)</f>
        <v>7.8184146512511321E-3</v>
      </c>
    </row>
    <row r="9315" spans="6:7" x14ac:dyDescent="0.25">
      <c r="F9315">
        <v>9312</v>
      </c>
      <c r="G9315">
        <f ca="1">_xlfn.NORM.INV(RAND(),$M$7,$M$8)</f>
        <v>-5.1306892259970344E-3</v>
      </c>
    </row>
    <row r="9316" spans="6:7" x14ac:dyDescent="0.25">
      <c r="F9316">
        <v>9313</v>
      </c>
      <c r="G9316">
        <f ca="1">_xlfn.NORM.INV(RAND(),$M$7,$M$8)</f>
        <v>-1.8299510047654868E-2</v>
      </c>
    </row>
    <row r="9317" spans="6:7" x14ac:dyDescent="0.25">
      <c r="F9317">
        <v>9314</v>
      </c>
      <c r="G9317">
        <f ca="1">_xlfn.NORM.INV(RAND(),$M$7,$M$8)</f>
        <v>1.7514990155140089E-2</v>
      </c>
    </row>
    <row r="9318" spans="6:7" x14ac:dyDescent="0.25">
      <c r="F9318">
        <v>9315</v>
      </c>
      <c r="G9318">
        <f ca="1">_xlfn.NORM.INV(RAND(),$M$7,$M$8)</f>
        <v>2.5287333072540538E-2</v>
      </c>
    </row>
    <row r="9319" spans="6:7" x14ac:dyDescent="0.25">
      <c r="F9319">
        <v>9316</v>
      </c>
      <c r="G9319">
        <f ca="1">_xlfn.NORM.INV(RAND(),$M$7,$M$8)</f>
        <v>1.2896664250083153E-3</v>
      </c>
    </row>
    <row r="9320" spans="6:7" x14ac:dyDescent="0.25">
      <c r="F9320">
        <v>9317</v>
      </c>
      <c r="G9320">
        <f ca="1">_xlfn.NORM.INV(RAND(),$M$7,$M$8)</f>
        <v>-9.3365033422475189E-4</v>
      </c>
    </row>
    <row r="9321" spans="6:7" x14ac:dyDescent="0.25">
      <c r="F9321">
        <v>9318</v>
      </c>
      <c r="G9321">
        <f ca="1">_xlfn.NORM.INV(RAND(),$M$7,$M$8)</f>
        <v>-4.384167881725496E-2</v>
      </c>
    </row>
    <row r="9322" spans="6:7" x14ac:dyDescent="0.25">
      <c r="F9322">
        <v>9319</v>
      </c>
      <c r="G9322">
        <f ca="1">_xlfn.NORM.INV(RAND(),$M$7,$M$8)</f>
        <v>-1.8328817642672322E-2</v>
      </c>
    </row>
    <row r="9323" spans="6:7" x14ac:dyDescent="0.25">
      <c r="F9323">
        <v>9320</v>
      </c>
      <c r="G9323">
        <f ca="1">_xlfn.NORM.INV(RAND(),$M$7,$M$8)</f>
        <v>-8.5094555464349016E-3</v>
      </c>
    </row>
    <row r="9324" spans="6:7" x14ac:dyDescent="0.25">
      <c r="F9324">
        <v>9321</v>
      </c>
      <c r="G9324">
        <f ca="1">_xlfn.NORM.INV(RAND(),$M$7,$M$8)</f>
        <v>-5.3952887764971424E-3</v>
      </c>
    </row>
    <row r="9325" spans="6:7" x14ac:dyDescent="0.25">
      <c r="F9325">
        <v>9322</v>
      </c>
      <c r="G9325">
        <f ca="1">_xlfn.NORM.INV(RAND(),$M$7,$M$8)</f>
        <v>7.3714809930210366E-3</v>
      </c>
    </row>
    <row r="9326" spans="6:7" x14ac:dyDescent="0.25">
      <c r="F9326">
        <v>9323</v>
      </c>
      <c r="G9326">
        <f ca="1">_xlfn.NORM.INV(RAND(),$M$7,$M$8)</f>
        <v>2.0245878170608043E-2</v>
      </c>
    </row>
    <row r="9327" spans="6:7" x14ac:dyDescent="0.25">
      <c r="F9327">
        <v>9324</v>
      </c>
      <c r="G9327">
        <f ca="1">_xlfn.NORM.INV(RAND(),$M$7,$M$8)</f>
        <v>2.3658966041087335E-2</v>
      </c>
    </row>
    <row r="9328" spans="6:7" x14ac:dyDescent="0.25">
      <c r="F9328">
        <v>9325</v>
      </c>
      <c r="G9328">
        <f ca="1">_xlfn.NORM.INV(RAND(),$M$7,$M$8)</f>
        <v>-3.360685935130564E-2</v>
      </c>
    </row>
    <row r="9329" spans="6:7" x14ac:dyDescent="0.25">
      <c r="F9329">
        <v>9326</v>
      </c>
      <c r="G9329">
        <f ca="1">_xlfn.NORM.INV(RAND(),$M$7,$M$8)</f>
        <v>2.1088784820162205E-2</v>
      </c>
    </row>
    <row r="9330" spans="6:7" x14ac:dyDescent="0.25">
      <c r="F9330">
        <v>9327</v>
      </c>
      <c r="G9330">
        <f ca="1">_xlfn.NORM.INV(RAND(),$M$7,$M$8)</f>
        <v>1.7533317116442886E-2</v>
      </c>
    </row>
    <row r="9331" spans="6:7" x14ac:dyDescent="0.25">
      <c r="F9331">
        <v>9328</v>
      </c>
      <c r="G9331">
        <f ca="1">_xlfn.NORM.INV(RAND(),$M$7,$M$8)</f>
        <v>-2.9510606600852488E-2</v>
      </c>
    </row>
    <row r="9332" spans="6:7" x14ac:dyDescent="0.25">
      <c r="F9332">
        <v>9329</v>
      </c>
      <c r="G9332">
        <f ca="1">_xlfn.NORM.INV(RAND(),$M$7,$M$8)</f>
        <v>9.4223392395051727E-3</v>
      </c>
    </row>
    <row r="9333" spans="6:7" x14ac:dyDescent="0.25">
      <c r="F9333">
        <v>9330</v>
      </c>
      <c r="G9333">
        <f ca="1">_xlfn.NORM.INV(RAND(),$M$7,$M$8)</f>
        <v>8.8727862514203018E-3</v>
      </c>
    </row>
    <row r="9334" spans="6:7" x14ac:dyDescent="0.25">
      <c r="F9334">
        <v>9331</v>
      </c>
      <c r="G9334">
        <f ca="1">_xlfn.NORM.INV(RAND(),$M$7,$M$8)</f>
        <v>5.7893929593758747E-3</v>
      </c>
    </row>
    <row r="9335" spans="6:7" x14ac:dyDescent="0.25">
      <c r="F9335">
        <v>9332</v>
      </c>
      <c r="G9335">
        <f ca="1">_xlfn.NORM.INV(RAND(),$M$7,$M$8)</f>
        <v>4.5215697053047378E-3</v>
      </c>
    </row>
    <row r="9336" spans="6:7" x14ac:dyDescent="0.25">
      <c r="F9336">
        <v>9333</v>
      </c>
      <c r="G9336">
        <f ca="1">_xlfn.NORM.INV(RAND(),$M$7,$M$8)</f>
        <v>-4.2740396586275223E-2</v>
      </c>
    </row>
    <row r="9337" spans="6:7" x14ac:dyDescent="0.25">
      <c r="F9337">
        <v>9334</v>
      </c>
      <c r="G9337">
        <f ca="1">_xlfn.NORM.INV(RAND(),$M$7,$M$8)</f>
        <v>4.192241499675519E-2</v>
      </c>
    </row>
    <row r="9338" spans="6:7" x14ac:dyDescent="0.25">
      <c r="F9338">
        <v>9335</v>
      </c>
      <c r="G9338">
        <f ca="1">_xlfn.NORM.INV(RAND(),$M$7,$M$8)</f>
        <v>4.1634556030370473E-2</v>
      </c>
    </row>
    <row r="9339" spans="6:7" x14ac:dyDescent="0.25">
      <c r="F9339">
        <v>9336</v>
      </c>
      <c r="G9339">
        <f ca="1">_xlfn.NORM.INV(RAND(),$M$7,$M$8)</f>
        <v>-2.3640589496255412E-2</v>
      </c>
    </row>
    <row r="9340" spans="6:7" x14ac:dyDescent="0.25">
      <c r="F9340">
        <v>9337</v>
      </c>
      <c r="G9340">
        <f ca="1">_xlfn.NORM.INV(RAND(),$M$7,$M$8)</f>
        <v>-1.5245044345398733E-2</v>
      </c>
    </row>
    <row r="9341" spans="6:7" x14ac:dyDescent="0.25">
      <c r="F9341">
        <v>9338</v>
      </c>
      <c r="G9341">
        <f ca="1">_xlfn.NORM.INV(RAND(),$M$7,$M$8)</f>
        <v>8.7438013961844661E-3</v>
      </c>
    </row>
    <row r="9342" spans="6:7" x14ac:dyDescent="0.25">
      <c r="F9342">
        <v>9339</v>
      </c>
      <c r="G9342">
        <f ca="1">_xlfn.NORM.INV(RAND(),$M$7,$M$8)</f>
        <v>2.7764457841312241E-2</v>
      </c>
    </row>
    <row r="9343" spans="6:7" x14ac:dyDescent="0.25">
      <c r="F9343">
        <v>9340</v>
      </c>
      <c r="G9343">
        <f ca="1">_xlfn.NORM.INV(RAND(),$M$7,$M$8)</f>
        <v>8.0829599600596783E-3</v>
      </c>
    </row>
    <row r="9344" spans="6:7" x14ac:dyDescent="0.25">
      <c r="F9344">
        <v>9341</v>
      </c>
      <c r="G9344">
        <f ca="1">_xlfn.NORM.INV(RAND(),$M$7,$M$8)</f>
        <v>-4.5474947107860446E-6</v>
      </c>
    </row>
    <row r="9345" spans="6:7" x14ac:dyDescent="0.25">
      <c r="F9345">
        <v>9342</v>
      </c>
      <c r="G9345">
        <f ca="1">_xlfn.NORM.INV(RAND(),$M$7,$M$8)</f>
        <v>-3.1243525677629575E-2</v>
      </c>
    </row>
    <row r="9346" spans="6:7" x14ac:dyDescent="0.25">
      <c r="F9346">
        <v>9343</v>
      </c>
      <c r="G9346">
        <f ca="1">_xlfn.NORM.INV(RAND(),$M$7,$M$8)</f>
        <v>-2.238228154438842E-2</v>
      </c>
    </row>
    <row r="9347" spans="6:7" x14ac:dyDescent="0.25">
      <c r="F9347">
        <v>9344</v>
      </c>
      <c r="G9347">
        <f ca="1">_xlfn.NORM.INV(RAND(),$M$7,$M$8)</f>
        <v>-3.5652335440666794E-3</v>
      </c>
    </row>
    <row r="9348" spans="6:7" x14ac:dyDescent="0.25">
      <c r="F9348">
        <v>9345</v>
      </c>
      <c r="G9348">
        <f ca="1">_xlfn.NORM.INV(RAND(),$M$7,$M$8)</f>
        <v>6.9400093591229766E-3</v>
      </c>
    </row>
    <row r="9349" spans="6:7" x14ac:dyDescent="0.25">
      <c r="F9349">
        <v>9346</v>
      </c>
      <c r="G9349">
        <f ca="1">_xlfn.NORM.INV(RAND(),$M$7,$M$8)</f>
        <v>-8.5944303230500608E-3</v>
      </c>
    </row>
    <row r="9350" spans="6:7" x14ac:dyDescent="0.25">
      <c r="F9350">
        <v>9347</v>
      </c>
      <c r="G9350">
        <f ca="1">_xlfn.NORM.INV(RAND(),$M$7,$M$8)</f>
        <v>1.4331527273854365E-2</v>
      </c>
    </row>
    <row r="9351" spans="6:7" x14ac:dyDescent="0.25">
      <c r="F9351">
        <v>9348</v>
      </c>
      <c r="G9351">
        <f ca="1">_xlfn.NORM.INV(RAND(),$M$7,$M$8)</f>
        <v>-6.5891335609592865E-3</v>
      </c>
    </row>
    <row r="9352" spans="6:7" x14ac:dyDescent="0.25">
      <c r="F9352">
        <v>9349</v>
      </c>
      <c r="G9352">
        <f ca="1">_xlfn.NORM.INV(RAND(),$M$7,$M$8)</f>
        <v>-2.0325496980104396E-3</v>
      </c>
    </row>
    <row r="9353" spans="6:7" x14ac:dyDescent="0.25">
      <c r="F9353">
        <v>9350</v>
      </c>
      <c r="G9353">
        <f ca="1">_xlfn.NORM.INV(RAND(),$M$7,$M$8)</f>
        <v>2.5269457444712155E-2</v>
      </c>
    </row>
    <row r="9354" spans="6:7" x14ac:dyDescent="0.25">
      <c r="F9354">
        <v>9351</v>
      </c>
      <c r="G9354">
        <f ca="1">_xlfn.NORM.INV(RAND(),$M$7,$M$8)</f>
        <v>-5.5079628702631875E-2</v>
      </c>
    </row>
    <row r="9355" spans="6:7" x14ac:dyDescent="0.25">
      <c r="F9355">
        <v>9352</v>
      </c>
      <c r="G9355">
        <f ca="1">_xlfn.NORM.INV(RAND(),$M$7,$M$8)</f>
        <v>-1.8280988623117219E-2</v>
      </c>
    </row>
    <row r="9356" spans="6:7" x14ac:dyDescent="0.25">
      <c r="F9356">
        <v>9353</v>
      </c>
      <c r="G9356">
        <f ca="1">_xlfn.NORM.INV(RAND(),$M$7,$M$8)</f>
        <v>2.0759065591553147E-2</v>
      </c>
    </row>
    <row r="9357" spans="6:7" x14ac:dyDescent="0.25">
      <c r="F9357">
        <v>9354</v>
      </c>
      <c r="G9357">
        <f ca="1">_xlfn.NORM.INV(RAND(),$M$7,$M$8)</f>
        <v>1.9767077505247917E-2</v>
      </c>
    </row>
    <row r="9358" spans="6:7" x14ac:dyDescent="0.25">
      <c r="F9358">
        <v>9355</v>
      </c>
      <c r="G9358">
        <f ca="1">_xlfn.NORM.INV(RAND(),$M$7,$M$8)</f>
        <v>-2.6509121877835957E-2</v>
      </c>
    </row>
    <row r="9359" spans="6:7" x14ac:dyDescent="0.25">
      <c r="F9359">
        <v>9356</v>
      </c>
      <c r="G9359">
        <f ca="1">_xlfn.NORM.INV(RAND(),$M$7,$M$8)</f>
        <v>-8.2250787295877759E-3</v>
      </c>
    </row>
    <row r="9360" spans="6:7" x14ac:dyDescent="0.25">
      <c r="F9360">
        <v>9357</v>
      </c>
      <c r="G9360">
        <f ca="1">_xlfn.NORM.INV(RAND(),$M$7,$M$8)</f>
        <v>-7.6964618694484142E-3</v>
      </c>
    </row>
    <row r="9361" spans="6:7" x14ac:dyDescent="0.25">
      <c r="F9361">
        <v>9358</v>
      </c>
      <c r="G9361">
        <f ca="1">_xlfn.NORM.INV(RAND(),$M$7,$M$8)</f>
        <v>-5.246789475535097E-2</v>
      </c>
    </row>
    <row r="9362" spans="6:7" x14ac:dyDescent="0.25">
      <c r="F9362">
        <v>9359</v>
      </c>
      <c r="G9362">
        <f ca="1">_xlfn.NORM.INV(RAND(),$M$7,$M$8)</f>
        <v>3.1567581931189151E-2</v>
      </c>
    </row>
    <row r="9363" spans="6:7" x14ac:dyDescent="0.25">
      <c r="F9363">
        <v>9360</v>
      </c>
      <c r="G9363">
        <f ca="1">_xlfn.NORM.INV(RAND(),$M$7,$M$8)</f>
        <v>-1.5776808723430708E-2</v>
      </c>
    </row>
    <row r="9364" spans="6:7" x14ac:dyDescent="0.25">
      <c r="F9364">
        <v>9361</v>
      </c>
      <c r="G9364">
        <f ca="1">_xlfn.NORM.INV(RAND(),$M$7,$M$8)</f>
        <v>1.0915035422620475E-3</v>
      </c>
    </row>
    <row r="9365" spans="6:7" x14ac:dyDescent="0.25">
      <c r="F9365">
        <v>9362</v>
      </c>
      <c r="G9365">
        <f ca="1">_xlfn.NORM.INV(RAND(),$M$7,$M$8)</f>
        <v>-6.7708390762426744E-3</v>
      </c>
    </row>
    <row r="9366" spans="6:7" x14ac:dyDescent="0.25">
      <c r="F9366">
        <v>9363</v>
      </c>
      <c r="G9366">
        <f ca="1">_xlfn.NORM.INV(RAND(),$M$7,$M$8)</f>
        <v>-3.651444739332968E-2</v>
      </c>
    </row>
    <row r="9367" spans="6:7" x14ac:dyDescent="0.25">
      <c r="F9367">
        <v>9364</v>
      </c>
      <c r="G9367">
        <f ca="1">_xlfn.NORM.INV(RAND(),$M$7,$M$8)</f>
        <v>2.4125656657305344E-2</v>
      </c>
    </row>
    <row r="9368" spans="6:7" x14ac:dyDescent="0.25">
      <c r="F9368">
        <v>9365</v>
      </c>
      <c r="G9368">
        <f ca="1">_xlfn.NORM.INV(RAND(),$M$7,$M$8)</f>
        <v>-2.955499061225941E-2</v>
      </c>
    </row>
    <row r="9369" spans="6:7" x14ac:dyDescent="0.25">
      <c r="F9369">
        <v>9366</v>
      </c>
      <c r="G9369">
        <f ca="1">_xlfn.NORM.INV(RAND(),$M$7,$M$8)</f>
        <v>3.5548556708353177E-2</v>
      </c>
    </row>
    <row r="9370" spans="6:7" x14ac:dyDescent="0.25">
      <c r="F9370">
        <v>9367</v>
      </c>
      <c r="G9370">
        <f ca="1">_xlfn.NORM.INV(RAND(),$M$7,$M$8)</f>
        <v>-2.1969140329856838E-2</v>
      </c>
    </row>
    <row r="9371" spans="6:7" x14ac:dyDescent="0.25">
      <c r="F9371">
        <v>9368</v>
      </c>
      <c r="G9371">
        <f ca="1">_xlfn.NORM.INV(RAND(),$M$7,$M$8)</f>
        <v>6.1525228825627404E-3</v>
      </c>
    </row>
    <row r="9372" spans="6:7" x14ac:dyDescent="0.25">
      <c r="F9372">
        <v>9369</v>
      </c>
      <c r="G9372">
        <f ca="1">_xlfn.NORM.INV(RAND(),$M$7,$M$8)</f>
        <v>-2.6099745773502117E-2</v>
      </c>
    </row>
    <row r="9373" spans="6:7" x14ac:dyDescent="0.25">
      <c r="F9373">
        <v>9370</v>
      </c>
      <c r="G9373">
        <f ca="1">_xlfn.NORM.INV(RAND(),$M$7,$M$8)</f>
        <v>1.6887798747068496E-2</v>
      </c>
    </row>
    <row r="9374" spans="6:7" x14ac:dyDescent="0.25">
      <c r="F9374">
        <v>9371</v>
      </c>
      <c r="G9374">
        <f ca="1">_xlfn.NORM.INV(RAND(),$M$7,$M$8)</f>
        <v>1.2910384467293003E-2</v>
      </c>
    </row>
    <row r="9375" spans="6:7" x14ac:dyDescent="0.25">
      <c r="F9375">
        <v>9372</v>
      </c>
      <c r="G9375">
        <f ca="1">_xlfn.NORM.INV(RAND(),$M$7,$M$8)</f>
        <v>9.3453595671576222E-3</v>
      </c>
    </row>
    <row r="9376" spans="6:7" x14ac:dyDescent="0.25">
      <c r="F9376">
        <v>9373</v>
      </c>
      <c r="G9376">
        <f ca="1">_xlfn.NORM.INV(RAND(),$M$7,$M$8)</f>
        <v>8.2605276361391172E-3</v>
      </c>
    </row>
    <row r="9377" spans="6:7" x14ac:dyDescent="0.25">
      <c r="F9377">
        <v>9374</v>
      </c>
      <c r="G9377">
        <f ca="1">_xlfn.NORM.INV(RAND(),$M$7,$M$8)</f>
        <v>-1.1111238738036357E-2</v>
      </c>
    </row>
    <row r="9378" spans="6:7" x14ac:dyDescent="0.25">
      <c r="F9378">
        <v>9375</v>
      </c>
      <c r="G9378">
        <f ca="1">_xlfn.NORM.INV(RAND(),$M$7,$M$8)</f>
        <v>7.4900062843902236E-3</v>
      </c>
    </row>
    <row r="9379" spans="6:7" x14ac:dyDescent="0.25">
      <c r="F9379">
        <v>9376</v>
      </c>
      <c r="G9379">
        <f ca="1">_xlfn.NORM.INV(RAND(),$M$7,$M$8)</f>
        <v>5.4425341092910938E-2</v>
      </c>
    </row>
    <row r="9380" spans="6:7" x14ac:dyDescent="0.25">
      <c r="F9380">
        <v>9377</v>
      </c>
      <c r="G9380">
        <f ca="1">_xlfn.NORM.INV(RAND(),$M$7,$M$8)</f>
        <v>-3.6475939417007303E-2</v>
      </c>
    </row>
    <row r="9381" spans="6:7" x14ac:dyDescent="0.25">
      <c r="F9381">
        <v>9378</v>
      </c>
      <c r="G9381">
        <f ca="1">_xlfn.NORM.INV(RAND(),$M$7,$M$8)</f>
        <v>1.475069515376611E-2</v>
      </c>
    </row>
    <row r="9382" spans="6:7" x14ac:dyDescent="0.25">
      <c r="F9382">
        <v>9379</v>
      </c>
      <c r="G9382">
        <f ca="1">_xlfn.NORM.INV(RAND(),$M$7,$M$8)</f>
        <v>7.7180288804833443E-3</v>
      </c>
    </row>
    <row r="9383" spans="6:7" x14ac:dyDescent="0.25">
      <c r="F9383">
        <v>9380</v>
      </c>
      <c r="G9383">
        <f ca="1">_xlfn.NORM.INV(RAND(),$M$7,$M$8)</f>
        <v>-3.791436591844229E-3</v>
      </c>
    </row>
    <row r="9384" spans="6:7" x14ac:dyDescent="0.25">
      <c r="F9384">
        <v>9381</v>
      </c>
      <c r="G9384">
        <f ca="1">_xlfn.NORM.INV(RAND(),$M$7,$M$8)</f>
        <v>3.0090480634775087E-3</v>
      </c>
    </row>
    <row r="9385" spans="6:7" x14ac:dyDescent="0.25">
      <c r="F9385">
        <v>9382</v>
      </c>
      <c r="G9385">
        <f ca="1">_xlfn.NORM.INV(RAND(),$M$7,$M$8)</f>
        <v>9.5537204474303566E-3</v>
      </c>
    </row>
    <row r="9386" spans="6:7" x14ac:dyDescent="0.25">
      <c r="F9386">
        <v>9383</v>
      </c>
      <c r="G9386">
        <f ca="1">_xlfn.NORM.INV(RAND(),$M$7,$M$8)</f>
        <v>6.2299563380292539E-3</v>
      </c>
    </row>
    <row r="9387" spans="6:7" x14ac:dyDescent="0.25">
      <c r="F9387">
        <v>9384</v>
      </c>
      <c r="G9387">
        <f ca="1">_xlfn.NORM.INV(RAND(),$M$7,$M$8)</f>
        <v>-2.3521072522327133E-2</v>
      </c>
    </row>
    <row r="9388" spans="6:7" x14ac:dyDescent="0.25">
      <c r="F9388">
        <v>9385</v>
      </c>
      <c r="G9388">
        <f ca="1">_xlfn.NORM.INV(RAND(),$M$7,$M$8)</f>
        <v>-1.2794812020997825E-3</v>
      </c>
    </row>
    <row r="9389" spans="6:7" x14ac:dyDescent="0.25">
      <c r="F9389">
        <v>9386</v>
      </c>
      <c r="G9389">
        <f ca="1">_xlfn.NORM.INV(RAND(),$M$7,$M$8)</f>
        <v>2.3893361212454247E-2</v>
      </c>
    </row>
    <row r="9390" spans="6:7" x14ac:dyDescent="0.25">
      <c r="F9390">
        <v>9387</v>
      </c>
      <c r="G9390">
        <f ca="1">_xlfn.NORM.INV(RAND(),$M$7,$M$8)</f>
        <v>-4.6050044090635324E-2</v>
      </c>
    </row>
    <row r="9391" spans="6:7" x14ac:dyDescent="0.25">
      <c r="F9391">
        <v>9388</v>
      </c>
      <c r="G9391">
        <f ca="1">_xlfn.NORM.INV(RAND(),$M$7,$M$8)</f>
        <v>-1.7397735728624384E-2</v>
      </c>
    </row>
    <row r="9392" spans="6:7" x14ac:dyDescent="0.25">
      <c r="F9392">
        <v>9389</v>
      </c>
      <c r="G9392">
        <f ca="1">_xlfn.NORM.INV(RAND(),$M$7,$M$8)</f>
        <v>1.0840386786916905E-2</v>
      </c>
    </row>
    <row r="9393" spans="6:7" x14ac:dyDescent="0.25">
      <c r="F9393">
        <v>9390</v>
      </c>
      <c r="G9393">
        <f ca="1">_xlfn.NORM.INV(RAND(),$M$7,$M$8)</f>
        <v>-2.7650833513507421E-3</v>
      </c>
    </row>
    <row r="9394" spans="6:7" x14ac:dyDescent="0.25">
      <c r="F9394">
        <v>9391</v>
      </c>
      <c r="G9394">
        <f ca="1">_xlfn.NORM.INV(RAND(),$M$7,$M$8)</f>
        <v>2.1368162911283442E-3</v>
      </c>
    </row>
    <row r="9395" spans="6:7" x14ac:dyDescent="0.25">
      <c r="F9395">
        <v>9392</v>
      </c>
      <c r="G9395">
        <f ca="1">_xlfn.NORM.INV(RAND(),$M$7,$M$8)</f>
        <v>2.4348567161388373E-2</v>
      </c>
    </row>
    <row r="9396" spans="6:7" x14ac:dyDescent="0.25">
      <c r="F9396">
        <v>9393</v>
      </c>
      <c r="G9396">
        <f ca="1">_xlfn.NORM.INV(RAND(),$M$7,$M$8)</f>
        <v>2.4177161117933772E-4</v>
      </c>
    </row>
    <row r="9397" spans="6:7" x14ac:dyDescent="0.25">
      <c r="F9397">
        <v>9394</v>
      </c>
      <c r="G9397">
        <f ca="1">_xlfn.NORM.INV(RAND(),$M$7,$M$8)</f>
        <v>9.5170224142522887E-3</v>
      </c>
    </row>
    <row r="9398" spans="6:7" x14ac:dyDescent="0.25">
      <c r="F9398">
        <v>9395</v>
      </c>
      <c r="G9398">
        <f ca="1">_xlfn.NORM.INV(RAND(),$M$7,$M$8)</f>
        <v>-3.5905545324907716E-2</v>
      </c>
    </row>
    <row r="9399" spans="6:7" x14ac:dyDescent="0.25">
      <c r="F9399">
        <v>9396</v>
      </c>
      <c r="G9399">
        <f ca="1">_xlfn.NORM.INV(RAND(),$M$7,$M$8)</f>
        <v>-1.6555795898470074E-2</v>
      </c>
    </row>
    <row r="9400" spans="6:7" x14ac:dyDescent="0.25">
      <c r="F9400">
        <v>9397</v>
      </c>
      <c r="G9400">
        <f ca="1">_xlfn.NORM.INV(RAND(),$M$7,$M$8)</f>
        <v>-2.31916828553668E-2</v>
      </c>
    </row>
    <row r="9401" spans="6:7" x14ac:dyDescent="0.25">
      <c r="F9401">
        <v>9398</v>
      </c>
      <c r="G9401">
        <f ca="1">_xlfn.NORM.INV(RAND(),$M$7,$M$8)</f>
        <v>5.0732345857621694E-2</v>
      </c>
    </row>
    <row r="9402" spans="6:7" x14ac:dyDescent="0.25">
      <c r="F9402">
        <v>9399</v>
      </c>
      <c r="G9402">
        <f ca="1">_xlfn.NORM.INV(RAND(),$M$7,$M$8)</f>
        <v>2.733235749024154E-2</v>
      </c>
    </row>
    <row r="9403" spans="6:7" x14ac:dyDescent="0.25">
      <c r="F9403">
        <v>9400</v>
      </c>
      <c r="G9403">
        <f ca="1">_xlfn.NORM.INV(RAND(),$M$7,$M$8)</f>
        <v>-5.9249835831168881E-4</v>
      </c>
    </row>
    <row r="9404" spans="6:7" x14ac:dyDescent="0.25">
      <c r="F9404">
        <v>9401</v>
      </c>
      <c r="G9404">
        <f ca="1">_xlfn.NORM.INV(RAND(),$M$7,$M$8)</f>
        <v>1.9660233726056867E-2</v>
      </c>
    </row>
    <row r="9405" spans="6:7" x14ac:dyDescent="0.25">
      <c r="F9405">
        <v>9402</v>
      </c>
      <c r="G9405">
        <f ca="1">_xlfn.NORM.INV(RAND(),$M$7,$M$8)</f>
        <v>6.9761875517858531E-3</v>
      </c>
    </row>
    <row r="9406" spans="6:7" x14ac:dyDescent="0.25">
      <c r="F9406">
        <v>9403</v>
      </c>
      <c r="G9406">
        <f ca="1">_xlfn.NORM.INV(RAND(),$M$7,$M$8)</f>
        <v>6.4692877654747606E-3</v>
      </c>
    </row>
    <row r="9407" spans="6:7" x14ac:dyDescent="0.25">
      <c r="F9407">
        <v>9404</v>
      </c>
      <c r="G9407">
        <f ca="1">_xlfn.NORM.INV(RAND(),$M$7,$M$8)</f>
        <v>-3.7112701540913541E-2</v>
      </c>
    </row>
    <row r="9408" spans="6:7" x14ac:dyDescent="0.25">
      <c r="F9408">
        <v>9405</v>
      </c>
      <c r="G9408">
        <f ca="1">_xlfn.NORM.INV(RAND(),$M$7,$M$8)</f>
        <v>-2.0071915379074535E-2</v>
      </c>
    </row>
    <row r="9409" spans="6:7" x14ac:dyDescent="0.25">
      <c r="F9409">
        <v>9406</v>
      </c>
      <c r="G9409">
        <f ca="1">_xlfn.NORM.INV(RAND(),$M$7,$M$8)</f>
        <v>1.8874840697105572E-2</v>
      </c>
    </row>
    <row r="9410" spans="6:7" x14ac:dyDescent="0.25">
      <c r="F9410">
        <v>9407</v>
      </c>
      <c r="G9410">
        <f ca="1">_xlfn.NORM.INV(RAND(),$M$7,$M$8)</f>
        <v>1.8384436326630411E-2</v>
      </c>
    </row>
    <row r="9411" spans="6:7" x14ac:dyDescent="0.25">
      <c r="F9411">
        <v>9408</v>
      </c>
      <c r="G9411">
        <f ca="1">_xlfn.NORM.INV(RAND(),$M$7,$M$8)</f>
        <v>-3.3925837274162911E-3</v>
      </c>
    </row>
    <row r="9412" spans="6:7" x14ac:dyDescent="0.25">
      <c r="F9412">
        <v>9409</v>
      </c>
      <c r="G9412">
        <f ca="1">_xlfn.NORM.INV(RAND(),$M$7,$M$8)</f>
        <v>-1.9731088457304044E-3</v>
      </c>
    </row>
    <row r="9413" spans="6:7" x14ac:dyDescent="0.25">
      <c r="F9413">
        <v>9410</v>
      </c>
      <c r="G9413">
        <f ca="1">_xlfn.NORM.INV(RAND(),$M$7,$M$8)</f>
        <v>1.1004182032245955E-2</v>
      </c>
    </row>
    <row r="9414" spans="6:7" x14ac:dyDescent="0.25">
      <c r="F9414">
        <v>9411</v>
      </c>
      <c r="G9414">
        <f ca="1">_xlfn.NORM.INV(RAND(),$M$7,$M$8)</f>
        <v>2.7667220607748514E-2</v>
      </c>
    </row>
    <row r="9415" spans="6:7" x14ac:dyDescent="0.25">
      <c r="F9415">
        <v>9412</v>
      </c>
      <c r="G9415">
        <f ca="1">_xlfn.NORM.INV(RAND(),$M$7,$M$8)</f>
        <v>-1.4753557435762107E-2</v>
      </c>
    </row>
    <row r="9416" spans="6:7" x14ac:dyDescent="0.25">
      <c r="F9416">
        <v>9413</v>
      </c>
      <c r="G9416">
        <f ca="1">_xlfn.NORM.INV(RAND(),$M$7,$M$8)</f>
        <v>2.6641899689226315E-2</v>
      </c>
    </row>
    <row r="9417" spans="6:7" x14ac:dyDescent="0.25">
      <c r="F9417">
        <v>9414</v>
      </c>
      <c r="G9417">
        <f ca="1">_xlfn.NORM.INV(RAND(),$M$7,$M$8)</f>
        <v>4.5767009369710863E-2</v>
      </c>
    </row>
    <row r="9418" spans="6:7" x14ac:dyDescent="0.25">
      <c r="F9418">
        <v>9415</v>
      </c>
      <c r="G9418">
        <f ca="1">_xlfn.NORM.INV(RAND(),$M$7,$M$8)</f>
        <v>-1.0081661050572241E-2</v>
      </c>
    </row>
    <row r="9419" spans="6:7" x14ac:dyDescent="0.25">
      <c r="F9419">
        <v>9416</v>
      </c>
      <c r="G9419">
        <f ca="1">_xlfn.NORM.INV(RAND(),$M$7,$M$8)</f>
        <v>-1.222985354275547E-2</v>
      </c>
    </row>
    <row r="9420" spans="6:7" x14ac:dyDescent="0.25">
      <c r="F9420">
        <v>9417</v>
      </c>
      <c r="G9420">
        <f ca="1">_xlfn.NORM.INV(RAND(),$M$7,$M$8)</f>
        <v>-3.1813429096067984E-2</v>
      </c>
    </row>
    <row r="9421" spans="6:7" x14ac:dyDescent="0.25">
      <c r="F9421">
        <v>9418</v>
      </c>
      <c r="G9421">
        <f ca="1">_xlfn.NORM.INV(RAND(),$M$7,$M$8)</f>
        <v>-3.2681226159303717E-2</v>
      </c>
    </row>
    <row r="9422" spans="6:7" x14ac:dyDescent="0.25">
      <c r="F9422">
        <v>9419</v>
      </c>
      <c r="G9422">
        <f ca="1">_xlfn.NORM.INV(RAND(),$M$7,$M$8)</f>
        <v>9.4189453471543363E-3</v>
      </c>
    </row>
    <row r="9423" spans="6:7" x14ac:dyDescent="0.25">
      <c r="F9423">
        <v>9420</v>
      </c>
      <c r="G9423">
        <f ca="1">_xlfn.NORM.INV(RAND(),$M$7,$M$8)</f>
        <v>-1.5023604752370065E-2</v>
      </c>
    </row>
    <row r="9424" spans="6:7" x14ac:dyDescent="0.25">
      <c r="F9424">
        <v>9421</v>
      </c>
      <c r="G9424">
        <f ca="1">_xlfn.NORM.INV(RAND(),$M$7,$M$8)</f>
        <v>-8.2995596244516051E-2</v>
      </c>
    </row>
    <row r="9425" spans="6:7" x14ac:dyDescent="0.25">
      <c r="F9425">
        <v>9422</v>
      </c>
      <c r="G9425">
        <f ca="1">_xlfn.NORM.INV(RAND(),$M$7,$M$8)</f>
        <v>-7.8422039866794836E-3</v>
      </c>
    </row>
    <row r="9426" spans="6:7" x14ac:dyDescent="0.25">
      <c r="F9426">
        <v>9423</v>
      </c>
      <c r="G9426">
        <f ca="1">_xlfn.NORM.INV(RAND(),$M$7,$M$8)</f>
        <v>-2.706011300475673E-2</v>
      </c>
    </row>
    <row r="9427" spans="6:7" x14ac:dyDescent="0.25">
      <c r="F9427">
        <v>9424</v>
      </c>
      <c r="G9427">
        <f ca="1">_xlfn.NORM.INV(RAND(),$M$7,$M$8)</f>
        <v>1.7181753603356935E-2</v>
      </c>
    </row>
    <row r="9428" spans="6:7" x14ac:dyDescent="0.25">
      <c r="F9428">
        <v>9425</v>
      </c>
      <c r="G9428">
        <f ca="1">_xlfn.NORM.INV(RAND(),$M$7,$M$8)</f>
        <v>3.2085928673837E-2</v>
      </c>
    </row>
    <row r="9429" spans="6:7" x14ac:dyDescent="0.25">
      <c r="F9429">
        <v>9426</v>
      </c>
      <c r="G9429">
        <f ca="1">_xlfn.NORM.INV(RAND(),$M$7,$M$8)</f>
        <v>2.4024526571555144E-2</v>
      </c>
    </row>
    <row r="9430" spans="6:7" x14ac:dyDescent="0.25">
      <c r="F9430">
        <v>9427</v>
      </c>
      <c r="G9430">
        <f ca="1">_xlfn.NORM.INV(RAND(),$M$7,$M$8)</f>
        <v>-6.0755999272082868E-3</v>
      </c>
    </row>
    <row r="9431" spans="6:7" x14ac:dyDescent="0.25">
      <c r="F9431">
        <v>9428</v>
      </c>
      <c r="G9431">
        <f ca="1">_xlfn.NORM.INV(RAND(),$M$7,$M$8)</f>
        <v>-4.8555179343738541E-2</v>
      </c>
    </row>
    <row r="9432" spans="6:7" x14ac:dyDescent="0.25">
      <c r="F9432">
        <v>9429</v>
      </c>
      <c r="G9432">
        <f ca="1">_xlfn.NORM.INV(RAND(),$M$7,$M$8)</f>
        <v>-1.578370953040556E-2</v>
      </c>
    </row>
    <row r="9433" spans="6:7" x14ac:dyDescent="0.25">
      <c r="F9433">
        <v>9430</v>
      </c>
      <c r="G9433">
        <f ca="1">_xlfn.NORM.INV(RAND(),$M$7,$M$8)</f>
        <v>-1.8060036502413074E-2</v>
      </c>
    </row>
    <row r="9434" spans="6:7" x14ac:dyDescent="0.25">
      <c r="F9434">
        <v>9431</v>
      </c>
      <c r="G9434">
        <f ca="1">_xlfn.NORM.INV(RAND(),$M$7,$M$8)</f>
        <v>-8.75414505049045E-3</v>
      </c>
    </row>
    <row r="9435" spans="6:7" x14ac:dyDescent="0.25">
      <c r="F9435">
        <v>9432</v>
      </c>
      <c r="G9435">
        <f ca="1">_xlfn.NORM.INV(RAND(),$M$7,$M$8)</f>
        <v>3.522743343557799E-3</v>
      </c>
    </row>
    <row r="9436" spans="6:7" x14ac:dyDescent="0.25">
      <c r="F9436">
        <v>9433</v>
      </c>
      <c r="G9436">
        <f ca="1">_xlfn.NORM.INV(RAND(),$M$7,$M$8)</f>
        <v>4.2953418442177281E-2</v>
      </c>
    </row>
    <row r="9437" spans="6:7" x14ac:dyDescent="0.25">
      <c r="F9437">
        <v>9434</v>
      </c>
      <c r="G9437">
        <f ca="1">_xlfn.NORM.INV(RAND(),$M$7,$M$8)</f>
        <v>-2.0230604037398042E-2</v>
      </c>
    </row>
    <row r="9438" spans="6:7" x14ac:dyDescent="0.25">
      <c r="F9438">
        <v>9435</v>
      </c>
      <c r="G9438">
        <f ca="1">_xlfn.NORM.INV(RAND(),$M$7,$M$8)</f>
        <v>3.0682939290811187E-2</v>
      </c>
    </row>
    <row r="9439" spans="6:7" x14ac:dyDescent="0.25">
      <c r="F9439">
        <v>9436</v>
      </c>
      <c r="G9439">
        <f ca="1">_xlfn.NORM.INV(RAND(),$M$7,$M$8)</f>
        <v>-5.5835642237579211E-3</v>
      </c>
    </row>
    <row r="9440" spans="6:7" x14ac:dyDescent="0.25">
      <c r="F9440">
        <v>9437</v>
      </c>
      <c r="G9440">
        <f ca="1">_xlfn.NORM.INV(RAND(),$M$7,$M$8)</f>
        <v>1.469185188954206E-3</v>
      </c>
    </row>
    <row r="9441" spans="6:7" x14ac:dyDescent="0.25">
      <c r="F9441">
        <v>9438</v>
      </c>
      <c r="G9441">
        <f ca="1">_xlfn.NORM.INV(RAND(),$M$7,$M$8)</f>
        <v>-3.2982374491771445E-2</v>
      </c>
    </row>
    <row r="9442" spans="6:7" x14ac:dyDescent="0.25">
      <c r="F9442">
        <v>9439</v>
      </c>
      <c r="G9442">
        <f ca="1">_xlfn.NORM.INV(RAND(),$M$7,$M$8)</f>
        <v>3.2402739413518157E-2</v>
      </c>
    </row>
    <row r="9443" spans="6:7" x14ac:dyDescent="0.25">
      <c r="F9443">
        <v>9440</v>
      </c>
      <c r="G9443">
        <f ca="1">_xlfn.NORM.INV(RAND(),$M$7,$M$8)</f>
        <v>5.0332141174103597E-2</v>
      </c>
    </row>
    <row r="9444" spans="6:7" x14ac:dyDescent="0.25">
      <c r="F9444">
        <v>9441</v>
      </c>
      <c r="G9444">
        <f ca="1">_xlfn.NORM.INV(RAND(),$M$7,$M$8)</f>
        <v>1.0460695772666739E-2</v>
      </c>
    </row>
    <row r="9445" spans="6:7" x14ac:dyDescent="0.25">
      <c r="F9445">
        <v>9442</v>
      </c>
      <c r="G9445">
        <f ca="1">_xlfn.NORM.INV(RAND(),$M$7,$M$8)</f>
        <v>-5.936598589717193E-3</v>
      </c>
    </row>
    <row r="9446" spans="6:7" x14ac:dyDescent="0.25">
      <c r="F9446">
        <v>9443</v>
      </c>
      <c r="G9446">
        <f ca="1">_xlfn.NORM.INV(RAND(),$M$7,$M$8)</f>
        <v>-5.0741988957646394E-2</v>
      </c>
    </row>
    <row r="9447" spans="6:7" x14ac:dyDescent="0.25">
      <c r="F9447">
        <v>9444</v>
      </c>
      <c r="G9447">
        <f ca="1">_xlfn.NORM.INV(RAND(),$M$7,$M$8)</f>
        <v>1.1092571300674071E-2</v>
      </c>
    </row>
    <row r="9448" spans="6:7" x14ac:dyDescent="0.25">
      <c r="F9448">
        <v>9445</v>
      </c>
      <c r="G9448">
        <f ca="1">_xlfn.NORM.INV(RAND(),$M$7,$M$8)</f>
        <v>2.002531386471558E-2</v>
      </c>
    </row>
    <row r="9449" spans="6:7" x14ac:dyDescent="0.25">
      <c r="F9449">
        <v>9446</v>
      </c>
      <c r="G9449">
        <f ca="1">_xlfn.NORM.INV(RAND(),$M$7,$M$8)</f>
        <v>3.1832928193676223E-3</v>
      </c>
    </row>
    <row r="9450" spans="6:7" x14ac:dyDescent="0.25">
      <c r="F9450">
        <v>9447</v>
      </c>
      <c r="G9450">
        <f ca="1">_xlfn.NORM.INV(RAND(),$M$7,$M$8)</f>
        <v>6.639504957975127E-4</v>
      </c>
    </row>
    <row r="9451" spans="6:7" x14ac:dyDescent="0.25">
      <c r="F9451">
        <v>9448</v>
      </c>
      <c r="G9451">
        <f ca="1">_xlfn.NORM.INV(RAND(),$M$7,$M$8)</f>
        <v>2.9320557817309649E-3</v>
      </c>
    </row>
    <row r="9452" spans="6:7" x14ac:dyDescent="0.25">
      <c r="F9452">
        <v>9449</v>
      </c>
      <c r="G9452">
        <f ca="1">_xlfn.NORM.INV(RAND(),$M$7,$M$8)</f>
        <v>9.8489946226147478E-4</v>
      </c>
    </row>
    <row r="9453" spans="6:7" x14ac:dyDescent="0.25">
      <c r="F9453">
        <v>9450</v>
      </c>
      <c r="G9453">
        <f ca="1">_xlfn.NORM.INV(RAND(),$M$7,$M$8)</f>
        <v>-2.0336568812862062E-2</v>
      </c>
    </row>
    <row r="9454" spans="6:7" x14ac:dyDescent="0.25">
      <c r="F9454">
        <v>9451</v>
      </c>
      <c r="G9454">
        <f ca="1">_xlfn.NORM.INV(RAND(),$M$7,$M$8)</f>
        <v>-1.5777529715656068E-2</v>
      </c>
    </row>
    <row r="9455" spans="6:7" x14ac:dyDescent="0.25">
      <c r="F9455">
        <v>9452</v>
      </c>
      <c r="G9455">
        <f ca="1">_xlfn.NORM.INV(RAND(),$M$7,$M$8)</f>
        <v>1.8586225163617061E-3</v>
      </c>
    </row>
    <row r="9456" spans="6:7" x14ac:dyDescent="0.25">
      <c r="F9456">
        <v>9453</v>
      </c>
      <c r="G9456">
        <f ca="1">_xlfn.NORM.INV(RAND(),$M$7,$M$8)</f>
        <v>1.2417263916312243E-2</v>
      </c>
    </row>
    <row r="9457" spans="6:7" x14ac:dyDescent="0.25">
      <c r="F9457">
        <v>9454</v>
      </c>
      <c r="G9457">
        <f ca="1">_xlfn.NORM.INV(RAND(),$M$7,$M$8)</f>
        <v>-1.5970988005947137E-2</v>
      </c>
    </row>
    <row r="9458" spans="6:7" x14ac:dyDescent="0.25">
      <c r="F9458">
        <v>9455</v>
      </c>
      <c r="G9458">
        <f ca="1">_xlfn.NORM.INV(RAND(),$M$7,$M$8)</f>
        <v>-2.5944377641151654E-2</v>
      </c>
    </row>
    <row r="9459" spans="6:7" x14ac:dyDescent="0.25">
      <c r="F9459">
        <v>9456</v>
      </c>
      <c r="G9459">
        <f ca="1">_xlfn.NORM.INV(RAND(),$M$7,$M$8)</f>
        <v>-6.5084643541443582E-3</v>
      </c>
    </row>
    <row r="9460" spans="6:7" x14ac:dyDescent="0.25">
      <c r="F9460">
        <v>9457</v>
      </c>
      <c r="G9460">
        <f ca="1">_xlfn.NORM.INV(RAND(),$M$7,$M$8)</f>
        <v>-1.3057711733934479E-2</v>
      </c>
    </row>
    <row r="9461" spans="6:7" x14ac:dyDescent="0.25">
      <c r="F9461">
        <v>9458</v>
      </c>
      <c r="G9461">
        <f ca="1">_xlfn.NORM.INV(RAND(),$M$7,$M$8)</f>
        <v>-2.2200080952790656E-2</v>
      </c>
    </row>
    <row r="9462" spans="6:7" x14ac:dyDescent="0.25">
      <c r="F9462">
        <v>9459</v>
      </c>
      <c r="G9462">
        <f ca="1">_xlfn.NORM.INV(RAND(),$M$7,$M$8)</f>
        <v>5.64832526652825E-3</v>
      </c>
    </row>
    <row r="9463" spans="6:7" x14ac:dyDescent="0.25">
      <c r="F9463">
        <v>9460</v>
      </c>
      <c r="G9463">
        <f ca="1">_xlfn.NORM.INV(RAND(),$M$7,$M$8)</f>
        <v>-4.1212807980657018E-3</v>
      </c>
    </row>
    <row r="9464" spans="6:7" x14ac:dyDescent="0.25">
      <c r="F9464">
        <v>9461</v>
      </c>
      <c r="G9464">
        <f ca="1">_xlfn.NORM.INV(RAND(),$M$7,$M$8)</f>
        <v>-1.4858850079064168E-2</v>
      </c>
    </row>
    <row r="9465" spans="6:7" x14ac:dyDescent="0.25">
      <c r="F9465">
        <v>9462</v>
      </c>
      <c r="G9465">
        <f ca="1">_xlfn.NORM.INV(RAND(),$M$7,$M$8)</f>
        <v>-2.7815916601138562E-2</v>
      </c>
    </row>
    <row r="9466" spans="6:7" x14ac:dyDescent="0.25">
      <c r="F9466">
        <v>9463</v>
      </c>
      <c r="G9466">
        <f ca="1">_xlfn.NORM.INV(RAND(),$M$7,$M$8)</f>
        <v>-2.34499786937067E-2</v>
      </c>
    </row>
    <row r="9467" spans="6:7" x14ac:dyDescent="0.25">
      <c r="F9467">
        <v>9464</v>
      </c>
      <c r="G9467">
        <f ca="1">_xlfn.NORM.INV(RAND(),$M$7,$M$8)</f>
        <v>1.1645079955242499E-2</v>
      </c>
    </row>
    <row r="9468" spans="6:7" x14ac:dyDescent="0.25">
      <c r="F9468">
        <v>9465</v>
      </c>
      <c r="G9468">
        <f ca="1">_xlfn.NORM.INV(RAND(),$M$7,$M$8)</f>
        <v>1.6615713472309449E-2</v>
      </c>
    </row>
    <row r="9469" spans="6:7" x14ac:dyDescent="0.25">
      <c r="F9469">
        <v>9466</v>
      </c>
      <c r="G9469">
        <f ca="1">_xlfn.NORM.INV(RAND(),$M$7,$M$8)</f>
        <v>-2.1001475866912766E-2</v>
      </c>
    </row>
    <row r="9470" spans="6:7" x14ac:dyDescent="0.25">
      <c r="F9470">
        <v>9467</v>
      </c>
      <c r="G9470">
        <f ca="1">_xlfn.NORM.INV(RAND(),$M$7,$M$8)</f>
        <v>3.1868529655587188E-2</v>
      </c>
    </row>
    <row r="9471" spans="6:7" x14ac:dyDescent="0.25">
      <c r="F9471">
        <v>9468</v>
      </c>
      <c r="G9471">
        <f ca="1">_xlfn.NORM.INV(RAND(),$M$7,$M$8)</f>
        <v>2.5527300554128583E-2</v>
      </c>
    </row>
    <row r="9472" spans="6:7" x14ac:dyDescent="0.25">
      <c r="F9472">
        <v>9469</v>
      </c>
      <c r="G9472">
        <f ca="1">_xlfn.NORM.INV(RAND(),$M$7,$M$8)</f>
        <v>7.0159139448652368E-3</v>
      </c>
    </row>
    <row r="9473" spans="6:7" x14ac:dyDescent="0.25">
      <c r="F9473">
        <v>9470</v>
      </c>
      <c r="G9473">
        <f ca="1">_xlfn.NORM.INV(RAND(),$M$7,$M$8)</f>
        <v>1.0091631824138296E-2</v>
      </c>
    </row>
    <row r="9474" spans="6:7" x14ac:dyDescent="0.25">
      <c r="F9474">
        <v>9471</v>
      </c>
      <c r="G9474">
        <f ca="1">_xlfn.NORM.INV(RAND(),$M$7,$M$8)</f>
        <v>1.7310195197531669E-2</v>
      </c>
    </row>
    <row r="9475" spans="6:7" x14ac:dyDescent="0.25">
      <c r="F9475">
        <v>9472</v>
      </c>
      <c r="G9475">
        <f ca="1">_xlfn.NORM.INV(RAND(),$M$7,$M$8)</f>
        <v>-1.3268244712504663E-2</v>
      </c>
    </row>
    <row r="9476" spans="6:7" x14ac:dyDescent="0.25">
      <c r="F9476">
        <v>9473</v>
      </c>
      <c r="G9476">
        <f ca="1">_xlfn.NORM.INV(RAND(),$M$7,$M$8)</f>
        <v>-2.3427558212208311E-2</v>
      </c>
    </row>
    <row r="9477" spans="6:7" x14ac:dyDescent="0.25">
      <c r="F9477">
        <v>9474</v>
      </c>
      <c r="G9477">
        <f ca="1">_xlfn.NORM.INV(RAND(),$M$7,$M$8)</f>
        <v>1.8710419698220262E-3</v>
      </c>
    </row>
    <row r="9478" spans="6:7" x14ac:dyDescent="0.25">
      <c r="F9478">
        <v>9475</v>
      </c>
      <c r="G9478">
        <f ca="1">_xlfn.NORM.INV(RAND(),$M$7,$M$8)</f>
        <v>3.0440359052839493E-2</v>
      </c>
    </row>
    <row r="9479" spans="6:7" x14ac:dyDescent="0.25">
      <c r="F9479">
        <v>9476</v>
      </c>
      <c r="G9479">
        <f ca="1">_xlfn.NORM.INV(RAND(),$M$7,$M$8)</f>
        <v>-8.5646724999125542E-4</v>
      </c>
    </row>
    <row r="9480" spans="6:7" x14ac:dyDescent="0.25">
      <c r="F9480">
        <v>9477</v>
      </c>
      <c r="G9480">
        <f ca="1">_xlfn.NORM.INV(RAND(),$M$7,$M$8)</f>
        <v>-2.5812085632754458E-2</v>
      </c>
    </row>
    <row r="9481" spans="6:7" x14ac:dyDescent="0.25">
      <c r="F9481">
        <v>9478</v>
      </c>
      <c r="G9481">
        <f ca="1">_xlfn.NORM.INV(RAND(),$M$7,$M$8)</f>
        <v>2.1391925309994026E-2</v>
      </c>
    </row>
    <row r="9482" spans="6:7" x14ac:dyDescent="0.25">
      <c r="F9482">
        <v>9479</v>
      </c>
      <c r="G9482">
        <f ca="1">_xlfn.NORM.INV(RAND(),$M$7,$M$8)</f>
        <v>-3.0350710125562636E-2</v>
      </c>
    </row>
    <row r="9483" spans="6:7" x14ac:dyDescent="0.25">
      <c r="F9483">
        <v>9480</v>
      </c>
      <c r="G9483">
        <f ca="1">_xlfn.NORM.INV(RAND(),$M$7,$M$8)</f>
        <v>1.7818089278978665E-2</v>
      </c>
    </row>
    <row r="9484" spans="6:7" x14ac:dyDescent="0.25">
      <c r="F9484">
        <v>9481</v>
      </c>
      <c r="G9484">
        <f ca="1">_xlfn.NORM.INV(RAND(),$M$7,$M$8)</f>
        <v>-4.7141592635021497E-3</v>
      </c>
    </row>
    <row r="9485" spans="6:7" x14ac:dyDescent="0.25">
      <c r="F9485">
        <v>9482</v>
      </c>
      <c r="G9485">
        <f ca="1">_xlfn.NORM.INV(RAND(),$M$7,$M$8)</f>
        <v>-1.6071310331193891E-4</v>
      </c>
    </row>
    <row r="9486" spans="6:7" x14ac:dyDescent="0.25">
      <c r="F9486">
        <v>9483</v>
      </c>
      <c r="G9486">
        <f ca="1">_xlfn.NORM.INV(RAND(),$M$7,$M$8)</f>
        <v>2.7613878769256663E-2</v>
      </c>
    </row>
    <row r="9487" spans="6:7" x14ac:dyDescent="0.25">
      <c r="F9487">
        <v>9484</v>
      </c>
      <c r="G9487">
        <f ca="1">_xlfn.NORM.INV(RAND(),$M$7,$M$8)</f>
        <v>2.534367754508212E-2</v>
      </c>
    </row>
    <row r="9488" spans="6:7" x14ac:dyDescent="0.25">
      <c r="F9488">
        <v>9485</v>
      </c>
      <c r="G9488">
        <f ca="1">_xlfn.NORM.INV(RAND(),$M$7,$M$8)</f>
        <v>3.3510830353593667E-2</v>
      </c>
    </row>
    <row r="9489" spans="6:7" x14ac:dyDescent="0.25">
      <c r="F9489">
        <v>9486</v>
      </c>
      <c r="G9489">
        <f ca="1">_xlfn.NORM.INV(RAND(),$M$7,$M$8)</f>
        <v>-4.0908952721404754E-2</v>
      </c>
    </row>
    <row r="9490" spans="6:7" x14ac:dyDescent="0.25">
      <c r="F9490">
        <v>9487</v>
      </c>
      <c r="G9490">
        <f ca="1">_xlfn.NORM.INV(RAND(),$M$7,$M$8)</f>
        <v>1.1815588647418548E-3</v>
      </c>
    </row>
    <row r="9491" spans="6:7" x14ac:dyDescent="0.25">
      <c r="F9491">
        <v>9488</v>
      </c>
      <c r="G9491">
        <f ca="1">_xlfn.NORM.INV(RAND(),$M$7,$M$8)</f>
        <v>4.638585438295529E-3</v>
      </c>
    </row>
    <row r="9492" spans="6:7" x14ac:dyDescent="0.25">
      <c r="F9492">
        <v>9489</v>
      </c>
      <c r="G9492">
        <f ca="1">_xlfn.NORM.INV(RAND(),$M$7,$M$8)</f>
        <v>-2.4001872413131363E-2</v>
      </c>
    </row>
    <row r="9493" spans="6:7" x14ac:dyDescent="0.25">
      <c r="F9493">
        <v>9490</v>
      </c>
      <c r="G9493">
        <f ca="1">_xlfn.NORM.INV(RAND(),$M$7,$M$8)</f>
        <v>1.2528969040966358E-2</v>
      </c>
    </row>
    <row r="9494" spans="6:7" x14ac:dyDescent="0.25">
      <c r="F9494">
        <v>9491</v>
      </c>
      <c r="G9494">
        <f ca="1">_xlfn.NORM.INV(RAND(),$M$7,$M$8)</f>
        <v>-2.8043346166589062E-2</v>
      </c>
    </row>
    <row r="9495" spans="6:7" x14ac:dyDescent="0.25">
      <c r="F9495">
        <v>9492</v>
      </c>
      <c r="G9495">
        <f ca="1">_xlfn.NORM.INV(RAND(),$M$7,$M$8)</f>
        <v>4.3371683802914535E-3</v>
      </c>
    </row>
    <row r="9496" spans="6:7" x14ac:dyDescent="0.25">
      <c r="F9496">
        <v>9493</v>
      </c>
      <c r="G9496">
        <f ca="1">_xlfn.NORM.INV(RAND(),$M$7,$M$8)</f>
        <v>-2.2720657262587159E-2</v>
      </c>
    </row>
    <row r="9497" spans="6:7" x14ac:dyDescent="0.25">
      <c r="F9497">
        <v>9494</v>
      </c>
      <c r="G9497">
        <f ca="1">_xlfn.NORM.INV(RAND(),$M$7,$M$8)</f>
        <v>-1.4520441963206825E-2</v>
      </c>
    </row>
    <row r="9498" spans="6:7" x14ac:dyDescent="0.25">
      <c r="F9498">
        <v>9495</v>
      </c>
      <c r="G9498">
        <f ca="1">_xlfn.NORM.INV(RAND(),$M$7,$M$8)</f>
        <v>1.8493548607730257E-2</v>
      </c>
    </row>
    <row r="9499" spans="6:7" x14ac:dyDescent="0.25">
      <c r="F9499">
        <v>9496</v>
      </c>
      <c r="G9499">
        <f ca="1">_xlfn.NORM.INV(RAND(),$M$7,$M$8)</f>
        <v>-4.3500846924117188E-3</v>
      </c>
    </row>
    <row r="9500" spans="6:7" x14ac:dyDescent="0.25">
      <c r="F9500">
        <v>9497</v>
      </c>
      <c r="G9500">
        <f ca="1">_xlfn.NORM.INV(RAND(),$M$7,$M$8)</f>
        <v>-4.528866725528052E-3</v>
      </c>
    </row>
    <row r="9501" spans="6:7" x14ac:dyDescent="0.25">
      <c r="F9501">
        <v>9498</v>
      </c>
      <c r="G9501">
        <f ca="1">_xlfn.NORM.INV(RAND(),$M$7,$M$8)</f>
        <v>-4.2007801362607511E-2</v>
      </c>
    </row>
    <row r="9502" spans="6:7" x14ac:dyDescent="0.25">
      <c r="F9502">
        <v>9499</v>
      </c>
      <c r="G9502">
        <f ca="1">_xlfn.NORM.INV(RAND(),$M$7,$M$8)</f>
        <v>-3.213256146019305E-3</v>
      </c>
    </row>
    <row r="9503" spans="6:7" x14ac:dyDescent="0.25">
      <c r="F9503">
        <v>9500</v>
      </c>
      <c r="G9503">
        <f ca="1">_xlfn.NORM.INV(RAND(),$M$7,$M$8)</f>
        <v>2.4585653809951889E-2</v>
      </c>
    </row>
    <row r="9504" spans="6:7" x14ac:dyDescent="0.25">
      <c r="F9504">
        <v>9501</v>
      </c>
      <c r="G9504">
        <f ca="1">_xlfn.NORM.INV(RAND(),$M$7,$M$8)</f>
        <v>-3.0238171206809081E-2</v>
      </c>
    </row>
    <row r="9505" spans="6:7" x14ac:dyDescent="0.25">
      <c r="F9505">
        <v>9502</v>
      </c>
      <c r="G9505">
        <f ca="1">_xlfn.NORM.INV(RAND(),$M$7,$M$8)</f>
        <v>-9.4372076248708907E-3</v>
      </c>
    </row>
    <row r="9506" spans="6:7" x14ac:dyDescent="0.25">
      <c r="F9506">
        <v>9503</v>
      </c>
      <c r="G9506">
        <f ca="1">_xlfn.NORM.INV(RAND(),$M$7,$M$8)</f>
        <v>-3.6132992730406985E-3</v>
      </c>
    </row>
    <row r="9507" spans="6:7" x14ac:dyDescent="0.25">
      <c r="F9507">
        <v>9504</v>
      </c>
      <c r="G9507">
        <f ca="1">_xlfn.NORM.INV(RAND(),$M$7,$M$8)</f>
        <v>5.4115207442999282E-2</v>
      </c>
    </row>
    <row r="9508" spans="6:7" x14ac:dyDescent="0.25">
      <c r="F9508">
        <v>9505</v>
      </c>
      <c r="G9508">
        <f ca="1">_xlfn.NORM.INV(RAND(),$M$7,$M$8)</f>
        <v>3.6338176283603148E-2</v>
      </c>
    </row>
    <row r="9509" spans="6:7" x14ac:dyDescent="0.25">
      <c r="F9509">
        <v>9506</v>
      </c>
      <c r="G9509">
        <f ca="1">_xlfn.NORM.INV(RAND(),$M$7,$M$8)</f>
        <v>-2.807658298759242E-2</v>
      </c>
    </row>
    <row r="9510" spans="6:7" x14ac:dyDescent="0.25">
      <c r="F9510">
        <v>9507</v>
      </c>
      <c r="G9510">
        <f ca="1">_xlfn.NORM.INV(RAND(),$M$7,$M$8)</f>
        <v>-2.6857665775927037E-3</v>
      </c>
    </row>
    <row r="9511" spans="6:7" x14ac:dyDescent="0.25">
      <c r="F9511">
        <v>9508</v>
      </c>
      <c r="G9511">
        <f ca="1">_xlfn.NORM.INV(RAND(),$M$7,$M$8)</f>
        <v>-4.2038230615233756E-3</v>
      </c>
    </row>
    <row r="9512" spans="6:7" x14ac:dyDescent="0.25">
      <c r="F9512">
        <v>9509</v>
      </c>
      <c r="G9512">
        <f ca="1">_xlfn.NORM.INV(RAND(),$M$7,$M$8)</f>
        <v>-1.6065115819577844E-2</v>
      </c>
    </row>
    <row r="9513" spans="6:7" x14ac:dyDescent="0.25">
      <c r="F9513">
        <v>9510</v>
      </c>
      <c r="G9513">
        <f ca="1">_xlfn.NORM.INV(RAND(),$M$7,$M$8)</f>
        <v>-2.8822937171193996E-4</v>
      </c>
    </row>
    <row r="9514" spans="6:7" x14ac:dyDescent="0.25">
      <c r="F9514">
        <v>9511</v>
      </c>
      <c r="G9514">
        <f ca="1">_xlfn.NORM.INV(RAND(),$M$7,$M$8)</f>
        <v>5.0423309851850021E-2</v>
      </c>
    </row>
    <row r="9515" spans="6:7" x14ac:dyDescent="0.25">
      <c r="F9515">
        <v>9512</v>
      </c>
      <c r="G9515">
        <f ca="1">_xlfn.NORM.INV(RAND(),$M$7,$M$8)</f>
        <v>8.6729318643515782E-3</v>
      </c>
    </row>
    <row r="9516" spans="6:7" x14ac:dyDescent="0.25">
      <c r="F9516">
        <v>9513</v>
      </c>
      <c r="G9516">
        <f ca="1">_xlfn.NORM.INV(RAND(),$M$7,$M$8)</f>
        <v>2.5590925708885867E-2</v>
      </c>
    </row>
    <row r="9517" spans="6:7" x14ac:dyDescent="0.25">
      <c r="F9517">
        <v>9514</v>
      </c>
      <c r="G9517">
        <f ca="1">_xlfn.NORM.INV(RAND(),$M$7,$M$8)</f>
        <v>8.3090357147807235E-4</v>
      </c>
    </row>
    <row r="9518" spans="6:7" x14ac:dyDescent="0.25">
      <c r="F9518">
        <v>9515</v>
      </c>
      <c r="G9518">
        <f ca="1">_xlfn.NORM.INV(RAND(),$M$7,$M$8)</f>
        <v>2.4768719846759536E-2</v>
      </c>
    </row>
    <row r="9519" spans="6:7" x14ac:dyDescent="0.25">
      <c r="F9519">
        <v>9516</v>
      </c>
      <c r="G9519">
        <f ca="1">_xlfn.NORM.INV(RAND(),$M$7,$M$8)</f>
        <v>-2.1008863767193877E-2</v>
      </c>
    </row>
    <row r="9520" spans="6:7" x14ac:dyDescent="0.25">
      <c r="F9520">
        <v>9517</v>
      </c>
      <c r="G9520">
        <f ca="1">_xlfn.NORM.INV(RAND(),$M$7,$M$8)</f>
        <v>-5.1628342419454219E-3</v>
      </c>
    </row>
    <row r="9521" spans="6:7" x14ac:dyDescent="0.25">
      <c r="F9521">
        <v>9518</v>
      </c>
      <c r="G9521">
        <f ca="1">_xlfn.NORM.INV(RAND(),$M$7,$M$8)</f>
        <v>7.2870377060514097E-3</v>
      </c>
    </row>
    <row r="9522" spans="6:7" x14ac:dyDescent="0.25">
      <c r="F9522">
        <v>9519</v>
      </c>
      <c r="G9522">
        <f ca="1">_xlfn.NORM.INV(RAND(),$M$7,$M$8)</f>
        <v>-3.0534336124409065E-2</v>
      </c>
    </row>
    <row r="9523" spans="6:7" x14ac:dyDescent="0.25">
      <c r="F9523">
        <v>9520</v>
      </c>
      <c r="G9523">
        <f ca="1">_xlfn.NORM.INV(RAND(),$M$7,$M$8)</f>
        <v>4.4720147611450836E-2</v>
      </c>
    </row>
    <row r="9524" spans="6:7" x14ac:dyDescent="0.25">
      <c r="F9524">
        <v>9521</v>
      </c>
      <c r="G9524">
        <f ca="1">_xlfn.NORM.INV(RAND(),$M$7,$M$8)</f>
        <v>-1.720583414940156E-2</v>
      </c>
    </row>
    <row r="9525" spans="6:7" x14ac:dyDescent="0.25">
      <c r="F9525">
        <v>9522</v>
      </c>
      <c r="G9525">
        <f ca="1">_xlfn.NORM.INV(RAND(),$M$7,$M$8)</f>
        <v>1.5909728842426266E-2</v>
      </c>
    </row>
    <row r="9526" spans="6:7" x14ac:dyDescent="0.25">
      <c r="F9526">
        <v>9523</v>
      </c>
      <c r="G9526">
        <f ca="1">_xlfn.NORM.INV(RAND(),$M$7,$M$8)</f>
        <v>4.8023399256342698E-2</v>
      </c>
    </row>
    <row r="9527" spans="6:7" x14ac:dyDescent="0.25">
      <c r="F9527">
        <v>9524</v>
      </c>
      <c r="G9527">
        <f ca="1">_xlfn.NORM.INV(RAND(),$M$7,$M$8)</f>
        <v>2.8760755145949612E-2</v>
      </c>
    </row>
    <row r="9528" spans="6:7" x14ac:dyDescent="0.25">
      <c r="F9528">
        <v>9525</v>
      </c>
      <c r="G9528">
        <f ca="1">_xlfn.NORM.INV(RAND(),$M$7,$M$8)</f>
        <v>3.4267864997315517E-2</v>
      </c>
    </row>
    <row r="9529" spans="6:7" x14ac:dyDescent="0.25">
      <c r="F9529">
        <v>9526</v>
      </c>
      <c r="G9529">
        <f ca="1">_xlfn.NORM.INV(RAND(),$M$7,$M$8)</f>
        <v>-3.2982132122638431E-2</v>
      </c>
    </row>
    <row r="9530" spans="6:7" x14ac:dyDescent="0.25">
      <c r="F9530">
        <v>9527</v>
      </c>
      <c r="G9530">
        <f ca="1">_xlfn.NORM.INV(RAND(),$M$7,$M$8)</f>
        <v>-1.2068013460096835E-2</v>
      </c>
    </row>
    <row r="9531" spans="6:7" x14ac:dyDescent="0.25">
      <c r="F9531">
        <v>9528</v>
      </c>
      <c r="G9531">
        <f ca="1">_xlfn.NORM.INV(RAND(),$M$7,$M$8)</f>
        <v>-4.2392002015046262E-5</v>
      </c>
    </row>
    <row r="9532" spans="6:7" x14ac:dyDescent="0.25">
      <c r="F9532">
        <v>9529</v>
      </c>
      <c r="G9532">
        <f ca="1">_xlfn.NORM.INV(RAND(),$M$7,$M$8)</f>
        <v>2.1648145831338166E-2</v>
      </c>
    </row>
    <row r="9533" spans="6:7" x14ac:dyDescent="0.25">
      <c r="F9533">
        <v>9530</v>
      </c>
      <c r="G9533">
        <f ca="1">_xlfn.NORM.INV(RAND(),$M$7,$M$8)</f>
        <v>-4.1917226991858035E-2</v>
      </c>
    </row>
    <row r="9534" spans="6:7" x14ac:dyDescent="0.25">
      <c r="F9534">
        <v>9531</v>
      </c>
      <c r="G9534">
        <f ca="1">_xlfn.NORM.INV(RAND(),$M$7,$M$8)</f>
        <v>-2.85399962016183E-2</v>
      </c>
    </row>
    <row r="9535" spans="6:7" x14ac:dyDescent="0.25">
      <c r="F9535">
        <v>9532</v>
      </c>
      <c r="G9535">
        <f ca="1">_xlfn.NORM.INV(RAND(),$M$7,$M$8)</f>
        <v>2.335511523784585E-2</v>
      </c>
    </row>
    <row r="9536" spans="6:7" x14ac:dyDescent="0.25">
      <c r="F9536">
        <v>9533</v>
      </c>
      <c r="G9536">
        <f ca="1">_xlfn.NORM.INV(RAND(),$M$7,$M$8)</f>
        <v>-4.0587704820671824E-2</v>
      </c>
    </row>
    <row r="9537" spans="6:7" x14ac:dyDescent="0.25">
      <c r="F9537">
        <v>9534</v>
      </c>
      <c r="G9537">
        <f ca="1">_xlfn.NORM.INV(RAND(),$M$7,$M$8)</f>
        <v>-6.776001426910639E-3</v>
      </c>
    </row>
    <row r="9538" spans="6:7" x14ac:dyDescent="0.25">
      <c r="F9538">
        <v>9535</v>
      </c>
      <c r="G9538">
        <f ca="1">_xlfn.NORM.INV(RAND(),$M$7,$M$8)</f>
        <v>-3.178543293438339E-3</v>
      </c>
    </row>
    <row r="9539" spans="6:7" x14ac:dyDescent="0.25">
      <c r="F9539">
        <v>9536</v>
      </c>
      <c r="G9539">
        <f ca="1">_xlfn.NORM.INV(RAND(),$M$7,$M$8)</f>
        <v>-1.8319433101668364E-2</v>
      </c>
    </row>
    <row r="9540" spans="6:7" x14ac:dyDescent="0.25">
      <c r="F9540">
        <v>9537</v>
      </c>
      <c r="G9540">
        <f ca="1">_xlfn.NORM.INV(RAND(),$M$7,$M$8)</f>
        <v>-1.598265164114358E-2</v>
      </c>
    </row>
    <row r="9541" spans="6:7" x14ac:dyDescent="0.25">
      <c r="F9541">
        <v>9538</v>
      </c>
      <c r="G9541">
        <f ca="1">_xlfn.NORM.INV(RAND(),$M$7,$M$8)</f>
        <v>2.1491202725682692E-2</v>
      </c>
    </row>
    <row r="9542" spans="6:7" x14ac:dyDescent="0.25">
      <c r="F9542">
        <v>9539</v>
      </c>
      <c r="G9542">
        <f ca="1">_xlfn.NORM.INV(RAND(),$M$7,$M$8)</f>
        <v>-1.0498910940626065E-2</v>
      </c>
    </row>
    <row r="9543" spans="6:7" x14ac:dyDescent="0.25">
      <c r="F9543">
        <v>9540</v>
      </c>
      <c r="G9543">
        <f ca="1">_xlfn.NORM.INV(RAND(),$M$7,$M$8)</f>
        <v>-3.1493611607245641E-3</v>
      </c>
    </row>
    <row r="9544" spans="6:7" x14ac:dyDescent="0.25">
      <c r="F9544">
        <v>9541</v>
      </c>
      <c r="G9544">
        <f ca="1">_xlfn.NORM.INV(RAND(),$M$7,$M$8)</f>
        <v>5.4354509016360152E-2</v>
      </c>
    </row>
    <row r="9545" spans="6:7" x14ac:dyDescent="0.25">
      <c r="F9545">
        <v>9542</v>
      </c>
      <c r="G9545">
        <f ca="1">_xlfn.NORM.INV(RAND(),$M$7,$M$8)</f>
        <v>3.5446045375908991E-3</v>
      </c>
    </row>
    <row r="9546" spans="6:7" x14ac:dyDescent="0.25">
      <c r="F9546">
        <v>9543</v>
      </c>
      <c r="G9546">
        <f ca="1">_xlfn.NORM.INV(RAND(),$M$7,$M$8)</f>
        <v>7.295061592825591E-3</v>
      </c>
    </row>
    <row r="9547" spans="6:7" x14ac:dyDescent="0.25">
      <c r="F9547">
        <v>9544</v>
      </c>
      <c r="G9547">
        <f ca="1">_xlfn.NORM.INV(RAND(),$M$7,$M$8)</f>
        <v>-1.6274153477462867E-2</v>
      </c>
    </row>
    <row r="9548" spans="6:7" x14ac:dyDescent="0.25">
      <c r="F9548">
        <v>9545</v>
      </c>
      <c r="G9548">
        <f ca="1">_xlfn.NORM.INV(RAND(),$M$7,$M$8)</f>
        <v>5.6706123170859164E-2</v>
      </c>
    </row>
    <row r="9549" spans="6:7" x14ac:dyDescent="0.25">
      <c r="F9549">
        <v>9546</v>
      </c>
      <c r="G9549">
        <f ca="1">_xlfn.NORM.INV(RAND(),$M$7,$M$8)</f>
        <v>-4.145742558312333E-3</v>
      </c>
    </row>
    <row r="9550" spans="6:7" x14ac:dyDescent="0.25">
      <c r="F9550">
        <v>9547</v>
      </c>
      <c r="G9550">
        <f ca="1">_xlfn.NORM.INV(RAND(),$M$7,$M$8)</f>
        <v>-3.8961127591762436E-2</v>
      </c>
    </row>
    <row r="9551" spans="6:7" x14ac:dyDescent="0.25">
      <c r="F9551">
        <v>9548</v>
      </c>
      <c r="G9551">
        <f ca="1">_xlfn.NORM.INV(RAND(),$M$7,$M$8)</f>
        <v>-6.4395901979703851E-3</v>
      </c>
    </row>
    <row r="9552" spans="6:7" x14ac:dyDescent="0.25">
      <c r="F9552">
        <v>9549</v>
      </c>
      <c r="G9552">
        <f ca="1">_xlfn.NORM.INV(RAND(),$M$7,$M$8)</f>
        <v>-5.6855258518828337E-3</v>
      </c>
    </row>
    <row r="9553" spans="6:7" x14ac:dyDescent="0.25">
      <c r="F9553">
        <v>9550</v>
      </c>
      <c r="G9553">
        <f ca="1">_xlfn.NORM.INV(RAND(),$M$7,$M$8)</f>
        <v>-1.2195191310685275E-2</v>
      </c>
    </row>
    <row r="9554" spans="6:7" x14ac:dyDescent="0.25">
      <c r="F9554">
        <v>9551</v>
      </c>
      <c r="G9554">
        <f ca="1">_xlfn.NORM.INV(RAND(),$M$7,$M$8)</f>
        <v>3.9718920194949797E-3</v>
      </c>
    </row>
    <row r="9555" spans="6:7" x14ac:dyDescent="0.25">
      <c r="F9555">
        <v>9552</v>
      </c>
      <c r="G9555">
        <f ca="1">_xlfn.NORM.INV(RAND(),$M$7,$M$8)</f>
        <v>2.5658346086923859E-2</v>
      </c>
    </row>
    <row r="9556" spans="6:7" x14ac:dyDescent="0.25">
      <c r="F9556">
        <v>9553</v>
      </c>
      <c r="G9556">
        <f ca="1">_xlfn.NORM.INV(RAND(),$M$7,$M$8)</f>
        <v>-1.5610079247679938E-2</v>
      </c>
    </row>
    <row r="9557" spans="6:7" x14ac:dyDescent="0.25">
      <c r="F9557">
        <v>9554</v>
      </c>
      <c r="G9557">
        <f ca="1">_xlfn.NORM.INV(RAND(),$M$7,$M$8)</f>
        <v>2.6007388035717866E-2</v>
      </c>
    </row>
    <row r="9558" spans="6:7" x14ac:dyDescent="0.25">
      <c r="F9558">
        <v>9555</v>
      </c>
      <c r="G9558">
        <f ca="1">_xlfn.NORM.INV(RAND(),$M$7,$M$8)</f>
        <v>-2.0013068666609429E-2</v>
      </c>
    </row>
    <row r="9559" spans="6:7" x14ac:dyDescent="0.25">
      <c r="F9559">
        <v>9556</v>
      </c>
      <c r="G9559">
        <f ca="1">_xlfn.NORM.INV(RAND(),$M$7,$M$8)</f>
        <v>-6.6233882072169875E-3</v>
      </c>
    </row>
    <row r="9560" spans="6:7" x14ac:dyDescent="0.25">
      <c r="F9560">
        <v>9557</v>
      </c>
      <c r="G9560">
        <f ca="1">_xlfn.NORM.INV(RAND(),$M$7,$M$8)</f>
        <v>5.0013585846795522E-3</v>
      </c>
    </row>
    <row r="9561" spans="6:7" x14ac:dyDescent="0.25">
      <c r="F9561">
        <v>9558</v>
      </c>
      <c r="G9561">
        <f ca="1">_xlfn.NORM.INV(RAND(),$M$7,$M$8)</f>
        <v>-8.5018090474102657E-3</v>
      </c>
    </row>
    <row r="9562" spans="6:7" x14ac:dyDescent="0.25">
      <c r="F9562">
        <v>9559</v>
      </c>
      <c r="G9562">
        <f ca="1">_xlfn.NORM.INV(RAND(),$M$7,$M$8)</f>
        <v>-3.2567109347453979E-2</v>
      </c>
    </row>
    <row r="9563" spans="6:7" x14ac:dyDescent="0.25">
      <c r="F9563">
        <v>9560</v>
      </c>
      <c r="G9563">
        <f ca="1">_xlfn.NORM.INV(RAND(),$M$7,$M$8)</f>
        <v>-2.0632818746608109E-2</v>
      </c>
    </row>
    <row r="9564" spans="6:7" x14ac:dyDescent="0.25">
      <c r="F9564">
        <v>9561</v>
      </c>
      <c r="G9564">
        <f ca="1">_xlfn.NORM.INV(RAND(),$M$7,$M$8)</f>
        <v>-3.1184019088864394E-3</v>
      </c>
    </row>
    <row r="9565" spans="6:7" x14ac:dyDescent="0.25">
      <c r="F9565">
        <v>9562</v>
      </c>
      <c r="G9565">
        <f ca="1">_xlfn.NORM.INV(RAND(),$M$7,$M$8)</f>
        <v>3.0976455897424801E-2</v>
      </c>
    </row>
    <row r="9566" spans="6:7" x14ac:dyDescent="0.25">
      <c r="F9566">
        <v>9563</v>
      </c>
      <c r="G9566">
        <f ca="1">_xlfn.NORM.INV(RAND(),$M$7,$M$8)</f>
        <v>4.0222909028033091E-3</v>
      </c>
    </row>
    <row r="9567" spans="6:7" x14ac:dyDescent="0.25">
      <c r="F9567">
        <v>9564</v>
      </c>
      <c r="G9567">
        <f ca="1">_xlfn.NORM.INV(RAND(),$M$7,$M$8)</f>
        <v>1.3920777866205795E-2</v>
      </c>
    </row>
    <row r="9568" spans="6:7" x14ac:dyDescent="0.25">
      <c r="F9568">
        <v>9565</v>
      </c>
      <c r="G9568">
        <f ca="1">_xlfn.NORM.INV(RAND(),$M$7,$M$8)</f>
        <v>-1.9720395452657732E-3</v>
      </c>
    </row>
    <row r="9569" spans="6:7" x14ac:dyDescent="0.25">
      <c r="F9569">
        <v>9566</v>
      </c>
      <c r="G9569">
        <f ca="1">_xlfn.NORM.INV(RAND(),$M$7,$M$8)</f>
        <v>-2.2965335171637125E-2</v>
      </c>
    </row>
    <row r="9570" spans="6:7" x14ac:dyDescent="0.25">
      <c r="F9570">
        <v>9567</v>
      </c>
      <c r="G9570">
        <f ca="1">_xlfn.NORM.INV(RAND(),$M$7,$M$8)</f>
        <v>9.568129586867466E-3</v>
      </c>
    </row>
    <row r="9571" spans="6:7" x14ac:dyDescent="0.25">
      <c r="F9571">
        <v>9568</v>
      </c>
      <c r="G9571">
        <f ca="1">_xlfn.NORM.INV(RAND(),$M$7,$M$8)</f>
        <v>-2.9497225936649857E-2</v>
      </c>
    </row>
    <row r="9572" spans="6:7" x14ac:dyDescent="0.25">
      <c r="F9572">
        <v>9569</v>
      </c>
      <c r="G9572">
        <f ca="1">_xlfn.NORM.INV(RAND(),$M$7,$M$8)</f>
        <v>-2.8393111219891996E-2</v>
      </c>
    </row>
    <row r="9573" spans="6:7" x14ac:dyDescent="0.25">
      <c r="F9573">
        <v>9570</v>
      </c>
      <c r="G9573">
        <f ca="1">_xlfn.NORM.INV(RAND(),$M$7,$M$8)</f>
        <v>-2.3477249028795541E-2</v>
      </c>
    </row>
    <row r="9574" spans="6:7" x14ac:dyDescent="0.25">
      <c r="F9574">
        <v>9571</v>
      </c>
      <c r="G9574">
        <f ca="1">_xlfn.NORM.INV(RAND(),$M$7,$M$8)</f>
        <v>5.2667830307513569E-3</v>
      </c>
    </row>
    <row r="9575" spans="6:7" x14ac:dyDescent="0.25">
      <c r="F9575">
        <v>9572</v>
      </c>
      <c r="G9575">
        <f ca="1">_xlfn.NORM.INV(RAND(),$M$7,$M$8)</f>
        <v>-1.1457105207726954E-2</v>
      </c>
    </row>
    <row r="9576" spans="6:7" x14ac:dyDescent="0.25">
      <c r="F9576">
        <v>9573</v>
      </c>
      <c r="G9576">
        <f ca="1">_xlfn.NORM.INV(RAND(),$M$7,$M$8)</f>
        <v>-3.7836054625318784E-2</v>
      </c>
    </row>
    <row r="9577" spans="6:7" x14ac:dyDescent="0.25">
      <c r="F9577">
        <v>9574</v>
      </c>
      <c r="G9577">
        <f ca="1">_xlfn.NORM.INV(RAND(),$M$7,$M$8)</f>
        <v>-1.1400249975195915E-2</v>
      </c>
    </row>
    <row r="9578" spans="6:7" x14ac:dyDescent="0.25">
      <c r="F9578">
        <v>9575</v>
      </c>
      <c r="G9578">
        <f ca="1">_xlfn.NORM.INV(RAND(),$M$7,$M$8)</f>
        <v>4.4375436736123382E-3</v>
      </c>
    </row>
    <row r="9579" spans="6:7" x14ac:dyDescent="0.25">
      <c r="F9579">
        <v>9576</v>
      </c>
      <c r="G9579">
        <f ca="1">_xlfn.NORM.INV(RAND(),$M$7,$M$8)</f>
        <v>-2.3295111641865783E-2</v>
      </c>
    </row>
    <row r="9580" spans="6:7" x14ac:dyDescent="0.25">
      <c r="F9580">
        <v>9577</v>
      </c>
      <c r="G9580">
        <f ca="1">_xlfn.NORM.INV(RAND(),$M$7,$M$8)</f>
        <v>3.3352406162024451E-2</v>
      </c>
    </row>
    <row r="9581" spans="6:7" x14ac:dyDescent="0.25">
      <c r="F9581">
        <v>9578</v>
      </c>
      <c r="G9581">
        <f ca="1">_xlfn.NORM.INV(RAND(),$M$7,$M$8)</f>
        <v>-1.1548908148961033E-2</v>
      </c>
    </row>
    <row r="9582" spans="6:7" x14ac:dyDescent="0.25">
      <c r="F9582">
        <v>9579</v>
      </c>
      <c r="G9582">
        <f ca="1">_xlfn.NORM.INV(RAND(),$M$7,$M$8)</f>
        <v>-2.4838861368829682E-2</v>
      </c>
    </row>
    <row r="9583" spans="6:7" x14ac:dyDescent="0.25">
      <c r="F9583">
        <v>9580</v>
      </c>
      <c r="G9583">
        <f ca="1">_xlfn.NORM.INV(RAND(),$M$7,$M$8)</f>
        <v>7.5707555453040053E-3</v>
      </c>
    </row>
    <row r="9584" spans="6:7" x14ac:dyDescent="0.25">
      <c r="F9584">
        <v>9581</v>
      </c>
      <c r="G9584">
        <f ca="1">_xlfn.NORM.INV(RAND(),$M$7,$M$8)</f>
        <v>-2.1381098387280785E-2</v>
      </c>
    </row>
    <row r="9585" spans="6:7" x14ac:dyDescent="0.25">
      <c r="F9585">
        <v>9582</v>
      </c>
      <c r="G9585">
        <f ca="1">_xlfn.NORM.INV(RAND(),$M$7,$M$8)</f>
        <v>-2.3036698208668039E-2</v>
      </c>
    </row>
    <row r="9586" spans="6:7" x14ac:dyDescent="0.25">
      <c r="F9586">
        <v>9583</v>
      </c>
      <c r="G9586">
        <f ca="1">_xlfn.NORM.INV(RAND(),$M$7,$M$8)</f>
        <v>1.8360555780044915E-2</v>
      </c>
    </row>
    <row r="9587" spans="6:7" x14ac:dyDescent="0.25">
      <c r="F9587">
        <v>9584</v>
      </c>
      <c r="G9587">
        <f ca="1">_xlfn.NORM.INV(RAND(),$M$7,$M$8)</f>
        <v>-1.6602567760334912E-2</v>
      </c>
    </row>
    <row r="9588" spans="6:7" x14ac:dyDescent="0.25">
      <c r="F9588">
        <v>9585</v>
      </c>
      <c r="G9588">
        <f ca="1">_xlfn.NORM.INV(RAND(),$M$7,$M$8)</f>
        <v>2.5509324867215759E-3</v>
      </c>
    </row>
    <row r="9589" spans="6:7" x14ac:dyDescent="0.25">
      <c r="F9589">
        <v>9586</v>
      </c>
      <c r="G9589">
        <f ca="1">_xlfn.NORM.INV(RAND(),$M$7,$M$8)</f>
        <v>1.218785114378294E-2</v>
      </c>
    </row>
    <row r="9590" spans="6:7" x14ac:dyDescent="0.25">
      <c r="F9590">
        <v>9587</v>
      </c>
      <c r="G9590">
        <f ca="1">_xlfn.NORM.INV(RAND(),$M$7,$M$8)</f>
        <v>-4.5973982491482615E-2</v>
      </c>
    </row>
    <row r="9591" spans="6:7" x14ac:dyDescent="0.25">
      <c r="F9591">
        <v>9588</v>
      </c>
      <c r="G9591">
        <f ca="1">_xlfn.NORM.INV(RAND(),$M$7,$M$8)</f>
        <v>-2.3052611836549965E-2</v>
      </c>
    </row>
    <row r="9592" spans="6:7" x14ac:dyDescent="0.25">
      <c r="F9592">
        <v>9589</v>
      </c>
      <c r="G9592">
        <f ca="1">_xlfn.NORM.INV(RAND(),$M$7,$M$8)</f>
        <v>-1.1080367545914195E-2</v>
      </c>
    </row>
    <row r="9593" spans="6:7" x14ac:dyDescent="0.25">
      <c r="F9593">
        <v>9590</v>
      </c>
      <c r="G9593">
        <f ca="1">_xlfn.NORM.INV(RAND(),$M$7,$M$8)</f>
        <v>-2.728000745209308E-2</v>
      </c>
    </row>
    <row r="9594" spans="6:7" x14ac:dyDescent="0.25">
      <c r="F9594">
        <v>9591</v>
      </c>
      <c r="G9594">
        <f ca="1">_xlfn.NORM.INV(RAND(),$M$7,$M$8)</f>
        <v>-7.3608341856355383E-3</v>
      </c>
    </row>
    <row r="9595" spans="6:7" x14ac:dyDescent="0.25">
      <c r="F9595">
        <v>9592</v>
      </c>
      <c r="G9595">
        <f ca="1">_xlfn.NORM.INV(RAND(),$M$7,$M$8)</f>
        <v>4.1561826776290278E-2</v>
      </c>
    </row>
    <row r="9596" spans="6:7" x14ac:dyDescent="0.25">
      <c r="F9596">
        <v>9593</v>
      </c>
      <c r="G9596">
        <f ca="1">_xlfn.NORM.INV(RAND(),$M$7,$M$8)</f>
        <v>-3.5383654437106389E-3</v>
      </c>
    </row>
    <row r="9597" spans="6:7" x14ac:dyDescent="0.25">
      <c r="F9597">
        <v>9594</v>
      </c>
      <c r="G9597">
        <f ca="1">_xlfn.NORM.INV(RAND(),$M$7,$M$8)</f>
        <v>-1.2893828764551654E-2</v>
      </c>
    </row>
    <row r="9598" spans="6:7" x14ac:dyDescent="0.25">
      <c r="F9598">
        <v>9595</v>
      </c>
      <c r="G9598">
        <f ca="1">_xlfn.NORM.INV(RAND(),$M$7,$M$8)</f>
        <v>-5.748464201633826E-3</v>
      </c>
    </row>
    <row r="9599" spans="6:7" x14ac:dyDescent="0.25">
      <c r="F9599">
        <v>9596</v>
      </c>
      <c r="G9599">
        <f ca="1">_xlfn.NORM.INV(RAND(),$M$7,$M$8)</f>
        <v>2.7061213812786807E-2</v>
      </c>
    </row>
    <row r="9600" spans="6:7" x14ac:dyDescent="0.25">
      <c r="F9600">
        <v>9597</v>
      </c>
      <c r="G9600">
        <f ca="1">_xlfn.NORM.INV(RAND(),$M$7,$M$8)</f>
        <v>1.2116429061570968E-3</v>
      </c>
    </row>
    <row r="9601" spans="6:7" x14ac:dyDescent="0.25">
      <c r="F9601">
        <v>9598</v>
      </c>
      <c r="G9601">
        <f ca="1">_xlfn.NORM.INV(RAND(),$M$7,$M$8)</f>
        <v>-2.3376200889559124E-2</v>
      </c>
    </row>
    <row r="9602" spans="6:7" x14ac:dyDescent="0.25">
      <c r="F9602">
        <v>9599</v>
      </c>
      <c r="G9602">
        <f ca="1">_xlfn.NORM.INV(RAND(),$M$7,$M$8)</f>
        <v>-1.0502207069259946E-2</v>
      </c>
    </row>
    <row r="9603" spans="6:7" x14ac:dyDescent="0.25">
      <c r="F9603">
        <v>9600</v>
      </c>
      <c r="G9603">
        <f ca="1">_xlfn.NORM.INV(RAND(),$M$7,$M$8)</f>
        <v>-3.1821528980235277E-2</v>
      </c>
    </row>
    <row r="9604" spans="6:7" x14ac:dyDescent="0.25">
      <c r="F9604">
        <v>9601</v>
      </c>
      <c r="G9604">
        <f ca="1">_xlfn.NORM.INV(RAND(),$M$7,$M$8)</f>
        <v>1.5429206603975599E-3</v>
      </c>
    </row>
    <row r="9605" spans="6:7" x14ac:dyDescent="0.25">
      <c r="F9605">
        <v>9602</v>
      </c>
      <c r="G9605">
        <f ca="1">_xlfn.NORM.INV(RAND(),$M$7,$M$8)</f>
        <v>2.7853121923417285E-2</v>
      </c>
    </row>
    <row r="9606" spans="6:7" x14ac:dyDescent="0.25">
      <c r="F9606">
        <v>9603</v>
      </c>
      <c r="G9606">
        <f ca="1">_xlfn.NORM.INV(RAND(),$M$7,$M$8)</f>
        <v>-3.4174197722859601E-4</v>
      </c>
    </row>
    <row r="9607" spans="6:7" x14ac:dyDescent="0.25">
      <c r="F9607">
        <v>9604</v>
      </c>
      <c r="G9607">
        <f ca="1">_xlfn.NORM.INV(RAND(),$M$7,$M$8)</f>
        <v>-5.1841012084017455E-3</v>
      </c>
    </row>
    <row r="9608" spans="6:7" x14ac:dyDescent="0.25">
      <c r="F9608">
        <v>9605</v>
      </c>
      <c r="G9608">
        <f ca="1">_xlfn.NORM.INV(RAND(),$M$7,$M$8)</f>
        <v>1.5557089357043008E-3</v>
      </c>
    </row>
    <row r="9609" spans="6:7" x14ac:dyDescent="0.25">
      <c r="F9609">
        <v>9606</v>
      </c>
      <c r="G9609">
        <f ca="1">_xlfn.NORM.INV(RAND(),$M$7,$M$8)</f>
        <v>7.4947450793159606E-3</v>
      </c>
    </row>
    <row r="9610" spans="6:7" x14ac:dyDescent="0.25">
      <c r="F9610">
        <v>9607</v>
      </c>
      <c r="G9610">
        <f ca="1">_xlfn.NORM.INV(RAND(),$M$7,$M$8)</f>
        <v>-2.0555381803761222E-2</v>
      </c>
    </row>
    <row r="9611" spans="6:7" x14ac:dyDescent="0.25">
      <c r="F9611">
        <v>9608</v>
      </c>
      <c r="G9611">
        <f ca="1">_xlfn.NORM.INV(RAND(),$M$7,$M$8)</f>
        <v>3.4384465020991954E-2</v>
      </c>
    </row>
    <row r="9612" spans="6:7" x14ac:dyDescent="0.25">
      <c r="F9612">
        <v>9609</v>
      </c>
      <c r="G9612">
        <f ca="1">_xlfn.NORM.INV(RAND(),$M$7,$M$8)</f>
        <v>-2.1771776846993608E-3</v>
      </c>
    </row>
    <row r="9613" spans="6:7" x14ac:dyDescent="0.25">
      <c r="F9613">
        <v>9610</v>
      </c>
      <c r="G9613">
        <f ca="1">_xlfn.NORM.INV(RAND(),$M$7,$M$8)</f>
        <v>-1.439273612725119E-2</v>
      </c>
    </row>
    <row r="9614" spans="6:7" x14ac:dyDescent="0.25">
      <c r="F9614">
        <v>9611</v>
      </c>
      <c r="G9614">
        <f ca="1">_xlfn.NORM.INV(RAND(),$M$7,$M$8)</f>
        <v>1.7447226786825868E-2</v>
      </c>
    </row>
    <row r="9615" spans="6:7" x14ac:dyDescent="0.25">
      <c r="F9615">
        <v>9612</v>
      </c>
      <c r="G9615">
        <f ca="1">_xlfn.NORM.INV(RAND(),$M$7,$M$8)</f>
        <v>-1.6067891783460464E-2</v>
      </c>
    </row>
    <row r="9616" spans="6:7" x14ac:dyDescent="0.25">
      <c r="F9616">
        <v>9613</v>
      </c>
      <c r="G9616">
        <f ca="1">_xlfn.NORM.INV(RAND(),$M$7,$M$8)</f>
        <v>-1.76074509988094E-2</v>
      </c>
    </row>
    <row r="9617" spans="6:7" x14ac:dyDescent="0.25">
      <c r="F9617">
        <v>9614</v>
      </c>
      <c r="G9617">
        <f ca="1">_xlfn.NORM.INV(RAND(),$M$7,$M$8)</f>
        <v>-1.0858227943497733E-2</v>
      </c>
    </row>
    <row r="9618" spans="6:7" x14ac:dyDescent="0.25">
      <c r="F9618">
        <v>9615</v>
      </c>
      <c r="G9618">
        <f ca="1">_xlfn.NORM.INV(RAND(),$M$7,$M$8)</f>
        <v>4.005024601419032E-2</v>
      </c>
    </row>
    <row r="9619" spans="6:7" x14ac:dyDescent="0.25">
      <c r="F9619">
        <v>9616</v>
      </c>
      <c r="G9619">
        <f ca="1">_xlfn.NORM.INV(RAND(),$M$7,$M$8)</f>
        <v>3.5698213944610785E-2</v>
      </c>
    </row>
    <row r="9620" spans="6:7" x14ac:dyDescent="0.25">
      <c r="F9620">
        <v>9617</v>
      </c>
      <c r="G9620">
        <f ca="1">_xlfn.NORM.INV(RAND(),$M$7,$M$8)</f>
        <v>-1.9711708318994891E-2</v>
      </c>
    </row>
    <row r="9621" spans="6:7" x14ac:dyDescent="0.25">
      <c r="F9621">
        <v>9618</v>
      </c>
      <c r="G9621">
        <f ca="1">_xlfn.NORM.INV(RAND(),$M$7,$M$8)</f>
        <v>2.9598274485082596E-2</v>
      </c>
    </row>
    <row r="9622" spans="6:7" x14ac:dyDescent="0.25">
      <c r="F9622">
        <v>9619</v>
      </c>
      <c r="G9622">
        <f ca="1">_xlfn.NORM.INV(RAND(),$M$7,$M$8)</f>
        <v>-2.8968186487081285E-2</v>
      </c>
    </row>
    <row r="9623" spans="6:7" x14ac:dyDescent="0.25">
      <c r="F9623">
        <v>9620</v>
      </c>
      <c r="G9623">
        <f ca="1">_xlfn.NORM.INV(RAND(),$M$7,$M$8)</f>
        <v>-2.6910229085140784E-2</v>
      </c>
    </row>
    <row r="9624" spans="6:7" x14ac:dyDescent="0.25">
      <c r="F9624">
        <v>9621</v>
      </c>
      <c r="G9624">
        <f ca="1">_xlfn.NORM.INV(RAND(),$M$7,$M$8)</f>
        <v>-3.4785867453864167E-2</v>
      </c>
    </row>
    <row r="9625" spans="6:7" x14ac:dyDescent="0.25">
      <c r="F9625">
        <v>9622</v>
      </c>
      <c r="G9625">
        <f ca="1">_xlfn.NORM.INV(RAND(),$M$7,$M$8)</f>
        <v>-4.2423263983534208E-2</v>
      </c>
    </row>
    <row r="9626" spans="6:7" x14ac:dyDescent="0.25">
      <c r="F9626">
        <v>9623</v>
      </c>
      <c r="G9626">
        <f ca="1">_xlfn.NORM.INV(RAND(),$M$7,$M$8)</f>
        <v>2.427402027073005E-2</v>
      </c>
    </row>
    <row r="9627" spans="6:7" x14ac:dyDescent="0.25">
      <c r="F9627">
        <v>9624</v>
      </c>
      <c r="G9627">
        <f ca="1">_xlfn.NORM.INV(RAND(),$M$7,$M$8)</f>
        <v>-3.0152544609144665E-2</v>
      </c>
    </row>
    <row r="9628" spans="6:7" x14ac:dyDescent="0.25">
      <c r="F9628">
        <v>9625</v>
      </c>
      <c r="G9628">
        <f ca="1">_xlfn.NORM.INV(RAND(),$M$7,$M$8)</f>
        <v>-2.6163015540562256E-2</v>
      </c>
    </row>
    <row r="9629" spans="6:7" x14ac:dyDescent="0.25">
      <c r="F9629">
        <v>9626</v>
      </c>
      <c r="G9629">
        <f ca="1">_xlfn.NORM.INV(RAND(),$M$7,$M$8)</f>
        <v>-5.0134294235038065E-3</v>
      </c>
    </row>
    <row r="9630" spans="6:7" x14ac:dyDescent="0.25">
      <c r="F9630">
        <v>9627</v>
      </c>
      <c r="G9630">
        <f ca="1">_xlfn.NORM.INV(RAND(),$M$7,$M$8)</f>
        <v>6.6053278985179192E-3</v>
      </c>
    </row>
    <row r="9631" spans="6:7" x14ac:dyDescent="0.25">
      <c r="F9631">
        <v>9628</v>
      </c>
      <c r="G9631">
        <f ca="1">_xlfn.NORM.INV(RAND(),$M$7,$M$8)</f>
        <v>-5.347681166946075E-2</v>
      </c>
    </row>
    <row r="9632" spans="6:7" x14ac:dyDescent="0.25">
      <c r="F9632">
        <v>9629</v>
      </c>
      <c r="G9632">
        <f ca="1">_xlfn.NORM.INV(RAND(),$M$7,$M$8)</f>
        <v>-7.6487599421924939E-3</v>
      </c>
    </row>
    <row r="9633" spans="6:7" x14ac:dyDescent="0.25">
      <c r="F9633">
        <v>9630</v>
      </c>
      <c r="G9633">
        <f ca="1">_xlfn.NORM.INV(RAND(),$M$7,$M$8)</f>
        <v>2.2150810606084417E-3</v>
      </c>
    </row>
    <row r="9634" spans="6:7" x14ac:dyDescent="0.25">
      <c r="F9634">
        <v>9631</v>
      </c>
      <c r="G9634">
        <f ca="1">_xlfn.NORM.INV(RAND(),$M$7,$M$8)</f>
        <v>1.2571511211348488E-2</v>
      </c>
    </row>
    <row r="9635" spans="6:7" x14ac:dyDescent="0.25">
      <c r="F9635">
        <v>9632</v>
      </c>
      <c r="G9635">
        <f ca="1">_xlfn.NORM.INV(RAND(),$M$7,$M$8)</f>
        <v>-3.7671807777308101E-2</v>
      </c>
    </row>
    <row r="9636" spans="6:7" x14ac:dyDescent="0.25">
      <c r="F9636">
        <v>9633</v>
      </c>
      <c r="G9636">
        <f ca="1">_xlfn.NORM.INV(RAND(),$M$7,$M$8)</f>
        <v>2.795301566787111E-2</v>
      </c>
    </row>
    <row r="9637" spans="6:7" x14ac:dyDescent="0.25">
      <c r="F9637">
        <v>9634</v>
      </c>
      <c r="G9637">
        <f ca="1">_xlfn.NORM.INV(RAND(),$M$7,$M$8)</f>
        <v>-7.252026112398181E-3</v>
      </c>
    </row>
    <row r="9638" spans="6:7" x14ac:dyDescent="0.25">
      <c r="F9638">
        <v>9635</v>
      </c>
      <c r="G9638">
        <f ca="1">_xlfn.NORM.INV(RAND(),$M$7,$M$8)</f>
        <v>2.6219453325970803E-2</v>
      </c>
    </row>
    <row r="9639" spans="6:7" x14ac:dyDescent="0.25">
      <c r="F9639">
        <v>9636</v>
      </c>
      <c r="G9639">
        <f ca="1">_xlfn.NORM.INV(RAND(),$M$7,$M$8)</f>
        <v>2.1192611305177512E-2</v>
      </c>
    </row>
    <row r="9640" spans="6:7" x14ac:dyDescent="0.25">
      <c r="F9640">
        <v>9637</v>
      </c>
      <c r="G9640">
        <f ca="1">_xlfn.NORM.INV(RAND(),$M$7,$M$8)</f>
        <v>-9.4631265626550966E-3</v>
      </c>
    </row>
    <row r="9641" spans="6:7" x14ac:dyDescent="0.25">
      <c r="F9641">
        <v>9638</v>
      </c>
      <c r="G9641">
        <f ca="1">_xlfn.NORM.INV(RAND(),$M$7,$M$8)</f>
        <v>-2.026936798593364E-2</v>
      </c>
    </row>
    <row r="9642" spans="6:7" x14ac:dyDescent="0.25">
      <c r="F9642">
        <v>9639</v>
      </c>
      <c r="G9642">
        <f ca="1">_xlfn.NORM.INV(RAND(),$M$7,$M$8)</f>
        <v>2.4909371947330606E-2</v>
      </c>
    </row>
    <row r="9643" spans="6:7" x14ac:dyDescent="0.25">
      <c r="F9643">
        <v>9640</v>
      </c>
      <c r="G9643">
        <f ca="1">_xlfn.NORM.INV(RAND(),$M$7,$M$8)</f>
        <v>-1.5605829600440092E-2</v>
      </c>
    </row>
    <row r="9644" spans="6:7" x14ac:dyDescent="0.25">
      <c r="F9644">
        <v>9641</v>
      </c>
      <c r="G9644">
        <f ca="1">_xlfn.NORM.INV(RAND(),$M$7,$M$8)</f>
        <v>2.2501202333090185E-2</v>
      </c>
    </row>
    <row r="9645" spans="6:7" x14ac:dyDescent="0.25">
      <c r="F9645">
        <v>9642</v>
      </c>
      <c r="G9645">
        <f ca="1">_xlfn.NORM.INV(RAND(),$M$7,$M$8)</f>
        <v>3.8551113335017601E-3</v>
      </c>
    </row>
    <row r="9646" spans="6:7" x14ac:dyDescent="0.25">
      <c r="F9646">
        <v>9643</v>
      </c>
      <c r="G9646">
        <f ca="1">_xlfn.NORM.INV(RAND(),$M$7,$M$8)</f>
        <v>-2.765652611712624E-2</v>
      </c>
    </row>
    <row r="9647" spans="6:7" x14ac:dyDescent="0.25">
      <c r="F9647">
        <v>9644</v>
      </c>
      <c r="G9647">
        <f ca="1">_xlfn.NORM.INV(RAND(),$M$7,$M$8)</f>
        <v>1.0787977762872743E-2</v>
      </c>
    </row>
    <row r="9648" spans="6:7" x14ac:dyDescent="0.25">
      <c r="F9648">
        <v>9645</v>
      </c>
      <c r="G9648">
        <f ca="1">_xlfn.NORM.INV(RAND(),$M$7,$M$8)</f>
        <v>6.0116148343641331E-4</v>
      </c>
    </row>
    <row r="9649" spans="6:7" x14ac:dyDescent="0.25">
      <c r="F9649">
        <v>9646</v>
      </c>
      <c r="G9649">
        <f ca="1">_xlfn.NORM.INV(RAND(),$M$7,$M$8)</f>
        <v>-1.9933247743059873E-3</v>
      </c>
    </row>
    <row r="9650" spans="6:7" x14ac:dyDescent="0.25">
      <c r="F9650">
        <v>9647</v>
      </c>
      <c r="G9650">
        <f ca="1">_xlfn.NORM.INV(RAND(),$M$7,$M$8)</f>
        <v>1.0091136697883292E-2</v>
      </c>
    </row>
    <row r="9651" spans="6:7" x14ac:dyDescent="0.25">
      <c r="F9651">
        <v>9648</v>
      </c>
      <c r="G9651">
        <f ca="1">_xlfn.NORM.INV(RAND(),$M$7,$M$8)</f>
        <v>3.7781836443097648E-2</v>
      </c>
    </row>
    <row r="9652" spans="6:7" x14ac:dyDescent="0.25">
      <c r="F9652">
        <v>9649</v>
      </c>
      <c r="G9652">
        <f ca="1">_xlfn.NORM.INV(RAND(),$M$7,$M$8)</f>
        <v>-3.0816687798401552E-2</v>
      </c>
    </row>
    <row r="9653" spans="6:7" x14ac:dyDescent="0.25">
      <c r="F9653">
        <v>9650</v>
      </c>
      <c r="G9653">
        <f ca="1">_xlfn.NORM.INV(RAND(),$M$7,$M$8)</f>
        <v>-1.3863975646387919E-2</v>
      </c>
    </row>
    <row r="9654" spans="6:7" x14ac:dyDescent="0.25">
      <c r="F9654">
        <v>9651</v>
      </c>
      <c r="G9654">
        <f ca="1">_xlfn.NORM.INV(RAND(),$M$7,$M$8)</f>
        <v>6.5738970330420123E-3</v>
      </c>
    </row>
    <row r="9655" spans="6:7" x14ac:dyDescent="0.25">
      <c r="F9655">
        <v>9652</v>
      </c>
      <c r="G9655">
        <f ca="1">_xlfn.NORM.INV(RAND(),$M$7,$M$8)</f>
        <v>1.8787281827787822E-3</v>
      </c>
    </row>
    <row r="9656" spans="6:7" x14ac:dyDescent="0.25">
      <c r="F9656">
        <v>9653</v>
      </c>
      <c r="G9656">
        <f ca="1">_xlfn.NORM.INV(RAND(),$M$7,$M$8)</f>
        <v>-6.0291943654009923E-2</v>
      </c>
    </row>
    <row r="9657" spans="6:7" x14ac:dyDescent="0.25">
      <c r="F9657">
        <v>9654</v>
      </c>
      <c r="G9657">
        <f ca="1">_xlfn.NORM.INV(RAND(),$M$7,$M$8)</f>
        <v>9.3370250908781042E-3</v>
      </c>
    </row>
    <row r="9658" spans="6:7" x14ac:dyDescent="0.25">
      <c r="F9658">
        <v>9655</v>
      </c>
      <c r="G9658">
        <f ca="1">_xlfn.NORM.INV(RAND(),$M$7,$M$8)</f>
        <v>5.080714702707009E-3</v>
      </c>
    </row>
    <row r="9659" spans="6:7" x14ac:dyDescent="0.25">
      <c r="F9659">
        <v>9656</v>
      </c>
      <c r="G9659">
        <f ca="1">_xlfn.NORM.INV(RAND(),$M$7,$M$8)</f>
        <v>2.4020644069440596E-2</v>
      </c>
    </row>
    <row r="9660" spans="6:7" x14ac:dyDescent="0.25">
      <c r="F9660">
        <v>9657</v>
      </c>
      <c r="G9660">
        <f ca="1">_xlfn.NORM.INV(RAND(),$M$7,$M$8)</f>
        <v>-1.7977954260009667E-2</v>
      </c>
    </row>
    <row r="9661" spans="6:7" x14ac:dyDescent="0.25">
      <c r="F9661">
        <v>9658</v>
      </c>
      <c r="G9661">
        <f ca="1">_xlfn.NORM.INV(RAND(),$M$7,$M$8)</f>
        <v>-1.3865204002074654E-2</v>
      </c>
    </row>
    <row r="9662" spans="6:7" x14ac:dyDescent="0.25">
      <c r="F9662">
        <v>9659</v>
      </c>
      <c r="G9662">
        <f ca="1">_xlfn.NORM.INV(RAND(),$M$7,$M$8)</f>
        <v>-1.4464508308371307E-2</v>
      </c>
    </row>
    <row r="9663" spans="6:7" x14ac:dyDescent="0.25">
      <c r="F9663">
        <v>9660</v>
      </c>
      <c r="G9663">
        <f ca="1">_xlfn.NORM.INV(RAND(),$M$7,$M$8)</f>
        <v>2.0835612712685223E-2</v>
      </c>
    </row>
    <row r="9664" spans="6:7" x14ac:dyDescent="0.25">
      <c r="F9664">
        <v>9661</v>
      </c>
      <c r="G9664">
        <f ca="1">_xlfn.NORM.INV(RAND(),$M$7,$M$8)</f>
        <v>1.3799671710852949E-2</v>
      </c>
    </row>
    <row r="9665" spans="6:7" x14ac:dyDescent="0.25">
      <c r="F9665">
        <v>9662</v>
      </c>
      <c r="G9665">
        <f ca="1">_xlfn.NORM.INV(RAND(),$M$7,$M$8)</f>
        <v>-1.3064273399369962E-2</v>
      </c>
    </row>
    <row r="9666" spans="6:7" x14ac:dyDescent="0.25">
      <c r="F9666">
        <v>9663</v>
      </c>
      <c r="G9666">
        <f ca="1">_xlfn.NORM.INV(RAND(),$M$7,$M$8)</f>
        <v>7.8314110540885808E-3</v>
      </c>
    </row>
    <row r="9667" spans="6:7" x14ac:dyDescent="0.25">
      <c r="F9667">
        <v>9664</v>
      </c>
      <c r="G9667">
        <f ca="1">_xlfn.NORM.INV(RAND(),$M$7,$M$8)</f>
        <v>2.0338487190177173E-3</v>
      </c>
    </row>
    <row r="9668" spans="6:7" x14ac:dyDescent="0.25">
      <c r="F9668">
        <v>9665</v>
      </c>
      <c r="G9668">
        <f ca="1">_xlfn.NORM.INV(RAND(),$M$7,$M$8)</f>
        <v>-8.8760995101577547E-3</v>
      </c>
    </row>
    <row r="9669" spans="6:7" x14ac:dyDescent="0.25">
      <c r="F9669">
        <v>9666</v>
      </c>
      <c r="G9669">
        <f ca="1">_xlfn.NORM.INV(RAND(),$M$7,$M$8)</f>
        <v>-2.9542739628674601E-3</v>
      </c>
    </row>
    <row r="9670" spans="6:7" x14ac:dyDescent="0.25">
      <c r="F9670">
        <v>9667</v>
      </c>
      <c r="G9670">
        <f ca="1">_xlfn.NORM.INV(RAND(),$M$7,$M$8)</f>
        <v>-3.7436002565647102E-2</v>
      </c>
    </row>
    <row r="9671" spans="6:7" x14ac:dyDescent="0.25">
      <c r="F9671">
        <v>9668</v>
      </c>
      <c r="G9671">
        <f ca="1">_xlfn.NORM.INV(RAND(),$M$7,$M$8)</f>
        <v>1.803924679534959E-2</v>
      </c>
    </row>
    <row r="9672" spans="6:7" x14ac:dyDescent="0.25">
      <c r="F9672">
        <v>9669</v>
      </c>
      <c r="G9672">
        <f ca="1">_xlfn.NORM.INV(RAND(),$M$7,$M$8)</f>
        <v>-2.1614217968247095E-2</v>
      </c>
    </row>
    <row r="9673" spans="6:7" x14ac:dyDescent="0.25">
      <c r="F9673">
        <v>9670</v>
      </c>
      <c r="G9673">
        <f ca="1">_xlfn.NORM.INV(RAND(),$M$7,$M$8)</f>
        <v>5.3439304073973307E-2</v>
      </c>
    </row>
    <row r="9674" spans="6:7" x14ac:dyDescent="0.25">
      <c r="F9674">
        <v>9671</v>
      </c>
      <c r="G9674">
        <f ca="1">_xlfn.NORM.INV(RAND(),$M$7,$M$8)</f>
        <v>-1.4654870357567736E-2</v>
      </c>
    </row>
    <row r="9675" spans="6:7" x14ac:dyDescent="0.25">
      <c r="F9675">
        <v>9672</v>
      </c>
      <c r="G9675">
        <f ca="1">_xlfn.NORM.INV(RAND(),$M$7,$M$8)</f>
        <v>-7.0809666063194904E-3</v>
      </c>
    </row>
    <row r="9676" spans="6:7" x14ac:dyDescent="0.25">
      <c r="F9676">
        <v>9673</v>
      </c>
      <c r="G9676">
        <f ca="1">_xlfn.NORM.INV(RAND(),$M$7,$M$8)</f>
        <v>6.14244313390277E-3</v>
      </c>
    </row>
    <row r="9677" spans="6:7" x14ac:dyDescent="0.25">
      <c r="F9677">
        <v>9674</v>
      </c>
      <c r="G9677">
        <f ca="1">_xlfn.NORM.INV(RAND(),$M$7,$M$8)</f>
        <v>1.1760344837590666E-2</v>
      </c>
    </row>
    <row r="9678" spans="6:7" x14ac:dyDescent="0.25">
      <c r="F9678">
        <v>9675</v>
      </c>
      <c r="G9678">
        <f ca="1">_xlfn.NORM.INV(RAND(),$M$7,$M$8)</f>
        <v>1.3835629645240745E-2</v>
      </c>
    </row>
    <row r="9679" spans="6:7" x14ac:dyDescent="0.25">
      <c r="F9679">
        <v>9676</v>
      </c>
      <c r="G9679">
        <f ca="1">_xlfn.NORM.INV(RAND(),$M$7,$M$8)</f>
        <v>-2.0537948655066977E-2</v>
      </c>
    </row>
    <row r="9680" spans="6:7" x14ac:dyDescent="0.25">
      <c r="F9680">
        <v>9677</v>
      </c>
      <c r="G9680">
        <f ca="1">_xlfn.NORM.INV(RAND(),$M$7,$M$8)</f>
        <v>-3.5641645320390908E-2</v>
      </c>
    </row>
    <row r="9681" spans="6:7" x14ac:dyDescent="0.25">
      <c r="F9681">
        <v>9678</v>
      </c>
      <c r="G9681">
        <f ca="1">_xlfn.NORM.INV(RAND(),$M$7,$M$8)</f>
        <v>-2.9186400481609066E-2</v>
      </c>
    </row>
    <row r="9682" spans="6:7" x14ac:dyDescent="0.25">
      <c r="F9682">
        <v>9679</v>
      </c>
      <c r="G9682">
        <f ca="1">_xlfn.NORM.INV(RAND(),$M$7,$M$8)</f>
        <v>2.3825854131653029E-2</v>
      </c>
    </row>
    <row r="9683" spans="6:7" x14ac:dyDescent="0.25">
      <c r="F9683">
        <v>9680</v>
      </c>
      <c r="G9683">
        <f ca="1">_xlfn.NORM.INV(RAND(),$M$7,$M$8)</f>
        <v>-1.58669653838578E-2</v>
      </c>
    </row>
    <row r="9684" spans="6:7" x14ac:dyDescent="0.25">
      <c r="F9684">
        <v>9681</v>
      </c>
      <c r="G9684">
        <f ca="1">_xlfn.NORM.INV(RAND(),$M$7,$M$8)</f>
        <v>-5.1653983195153498E-2</v>
      </c>
    </row>
    <row r="9685" spans="6:7" x14ac:dyDescent="0.25">
      <c r="F9685">
        <v>9682</v>
      </c>
      <c r="G9685">
        <f ca="1">_xlfn.NORM.INV(RAND(),$M$7,$M$8)</f>
        <v>1.6050791863705793E-2</v>
      </c>
    </row>
    <row r="9686" spans="6:7" x14ac:dyDescent="0.25">
      <c r="F9686">
        <v>9683</v>
      </c>
      <c r="G9686">
        <f ca="1">_xlfn.NORM.INV(RAND(),$M$7,$M$8)</f>
        <v>1.9280964907240603E-2</v>
      </c>
    </row>
    <row r="9687" spans="6:7" x14ac:dyDescent="0.25">
      <c r="F9687">
        <v>9684</v>
      </c>
      <c r="G9687">
        <f ca="1">_xlfn.NORM.INV(RAND(),$M$7,$M$8)</f>
        <v>-4.3460218110507848E-2</v>
      </c>
    </row>
    <row r="9688" spans="6:7" x14ac:dyDescent="0.25">
      <c r="F9688">
        <v>9685</v>
      </c>
      <c r="G9688">
        <f ca="1">_xlfn.NORM.INV(RAND(),$M$7,$M$8)</f>
        <v>-5.3899836888125878E-3</v>
      </c>
    </row>
    <row r="9689" spans="6:7" x14ac:dyDescent="0.25">
      <c r="F9689">
        <v>9686</v>
      </c>
      <c r="G9689">
        <f ca="1">_xlfn.NORM.INV(RAND(),$M$7,$M$8)</f>
        <v>-2.7410558906964481E-4</v>
      </c>
    </row>
    <row r="9690" spans="6:7" x14ac:dyDescent="0.25">
      <c r="F9690">
        <v>9687</v>
      </c>
      <c r="G9690">
        <f ca="1">_xlfn.NORM.INV(RAND(),$M$7,$M$8)</f>
        <v>-8.0613089960659912E-2</v>
      </c>
    </row>
    <row r="9691" spans="6:7" x14ac:dyDescent="0.25">
      <c r="F9691">
        <v>9688</v>
      </c>
      <c r="G9691">
        <f ca="1">_xlfn.NORM.INV(RAND(),$M$7,$M$8)</f>
        <v>7.5105986855983742E-2</v>
      </c>
    </row>
    <row r="9692" spans="6:7" x14ac:dyDescent="0.25">
      <c r="F9692">
        <v>9689</v>
      </c>
      <c r="G9692">
        <f ca="1">_xlfn.NORM.INV(RAND(),$M$7,$M$8)</f>
        <v>-1.0081719254309578E-2</v>
      </c>
    </row>
    <row r="9693" spans="6:7" x14ac:dyDescent="0.25">
      <c r="F9693">
        <v>9690</v>
      </c>
      <c r="G9693">
        <f ca="1">_xlfn.NORM.INV(RAND(),$M$7,$M$8)</f>
        <v>-4.2491935094804402E-2</v>
      </c>
    </row>
    <row r="9694" spans="6:7" x14ac:dyDescent="0.25">
      <c r="F9694">
        <v>9691</v>
      </c>
      <c r="G9694">
        <f ca="1">_xlfn.NORM.INV(RAND(),$M$7,$M$8)</f>
        <v>4.6384364169239661E-2</v>
      </c>
    </row>
    <row r="9695" spans="6:7" x14ac:dyDescent="0.25">
      <c r="F9695">
        <v>9692</v>
      </c>
      <c r="G9695">
        <f ca="1">_xlfn.NORM.INV(RAND(),$M$7,$M$8)</f>
        <v>-1.5832092512339858E-3</v>
      </c>
    </row>
    <row r="9696" spans="6:7" x14ac:dyDescent="0.25">
      <c r="F9696">
        <v>9693</v>
      </c>
      <c r="G9696">
        <f ca="1">_xlfn.NORM.INV(RAND(),$M$7,$M$8)</f>
        <v>-4.4532092950185648E-4</v>
      </c>
    </row>
    <row r="9697" spans="6:7" x14ac:dyDescent="0.25">
      <c r="F9697">
        <v>9694</v>
      </c>
      <c r="G9697">
        <f ca="1">_xlfn.NORM.INV(RAND(),$M$7,$M$8)</f>
        <v>2.6930475267581359E-3</v>
      </c>
    </row>
    <row r="9698" spans="6:7" x14ac:dyDescent="0.25">
      <c r="F9698">
        <v>9695</v>
      </c>
      <c r="G9698">
        <f ca="1">_xlfn.NORM.INV(RAND(),$M$7,$M$8)</f>
        <v>4.26895037087758E-3</v>
      </c>
    </row>
    <row r="9699" spans="6:7" x14ac:dyDescent="0.25">
      <c r="F9699">
        <v>9696</v>
      </c>
      <c r="G9699">
        <f ca="1">_xlfn.NORM.INV(RAND(),$M$7,$M$8)</f>
        <v>-1.9674167576544627E-2</v>
      </c>
    </row>
    <row r="9700" spans="6:7" x14ac:dyDescent="0.25">
      <c r="F9700">
        <v>9697</v>
      </c>
      <c r="G9700">
        <f ca="1">_xlfn.NORM.INV(RAND(),$M$7,$M$8)</f>
        <v>1.1687622875992088E-2</v>
      </c>
    </row>
    <row r="9701" spans="6:7" x14ac:dyDescent="0.25">
      <c r="F9701">
        <v>9698</v>
      </c>
      <c r="G9701">
        <f ca="1">_xlfn.NORM.INV(RAND(),$M$7,$M$8)</f>
        <v>-8.2717816147419247E-3</v>
      </c>
    </row>
    <row r="9702" spans="6:7" x14ac:dyDescent="0.25">
      <c r="F9702">
        <v>9699</v>
      </c>
      <c r="G9702">
        <f ca="1">_xlfn.NORM.INV(RAND(),$M$7,$M$8)</f>
        <v>6.9239101607289941E-4</v>
      </c>
    </row>
    <row r="9703" spans="6:7" x14ac:dyDescent="0.25">
      <c r="F9703">
        <v>9700</v>
      </c>
      <c r="G9703">
        <f ca="1">_xlfn.NORM.INV(RAND(),$M$7,$M$8)</f>
        <v>-2.5481433647819387E-3</v>
      </c>
    </row>
    <row r="9704" spans="6:7" x14ac:dyDescent="0.25">
      <c r="F9704">
        <v>9701</v>
      </c>
      <c r="G9704">
        <f ca="1">_xlfn.NORM.INV(RAND(),$M$7,$M$8)</f>
        <v>4.518532329346521E-3</v>
      </c>
    </row>
    <row r="9705" spans="6:7" x14ac:dyDescent="0.25">
      <c r="F9705">
        <v>9702</v>
      </c>
      <c r="G9705">
        <f ca="1">_xlfn.NORM.INV(RAND(),$M$7,$M$8)</f>
        <v>2.8373190507378254E-2</v>
      </c>
    </row>
    <row r="9706" spans="6:7" x14ac:dyDescent="0.25">
      <c r="F9706">
        <v>9703</v>
      </c>
      <c r="G9706">
        <f ca="1">_xlfn.NORM.INV(RAND(),$M$7,$M$8)</f>
        <v>-1.9116249056029572E-2</v>
      </c>
    </row>
    <row r="9707" spans="6:7" x14ac:dyDescent="0.25">
      <c r="F9707">
        <v>9704</v>
      </c>
      <c r="G9707">
        <f ca="1">_xlfn.NORM.INV(RAND(),$M$7,$M$8)</f>
        <v>-2.9148453244981338E-3</v>
      </c>
    </row>
    <row r="9708" spans="6:7" x14ac:dyDescent="0.25">
      <c r="F9708">
        <v>9705</v>
      </c>
      <c r="G9708">
        <f ca="1">_xlfn.NORM.INV(RAND(),$M$7,$M$8)</f>
        <v>-1.2211570588743899E-2</v>
      </c>
    </row>
    <row r="9709" spans="6:7" x14ac:dyDescent="0.25">
      <c r="F9709">
        <v>9706</v>
      </c>
      <c r="G9709">
        <f ca="1">_xlfn.NORM.INV(RAND(),$M$7,$M$8)</f>
        <v>5.397215804522143E-2</v>
      </c>
    </row>
    <row r="9710" spans="6:7" x14ac:dyDescent="0.25">
      <c r="F9710">
        <v>9707</v>
      </c>
      <c r="G9710">
        <f ca="1">_xlfn.NORM.INV(RAND(),$M$7,$M$8)</f>
        <v>-2.4868960434278067E-2</v>
      </c>
    </row>
    <row r="9711" spans="6:7" x14ac:dyDescent="0.25">
      <c r="F9711">
        <v>9708</v>
      </c>
      <c r="G9711">
        <f ca="1">_xlfn.NORM.INV(RAND(),$M$7,$M$8)</f>
        <v>8.9130632242138477E-3</v>
      </c>
    </row>
    <row r="9712" spans="6:7" x14ac:dyDescent="0.25">
      <c r="F9712">
        <v>9709</v>
      </c>
      <c r="G9712">
        <f ca="1">_xlfn.NORM.INV(RAND(),$M$7,$M$8)</f>
        <v>-2.8255151297489896E-2</v>
      </c>
    </row>
    <row r="9713" spans="6:7" x14ac:dyDescent="0.25">
      <c r="F9713">
        <v>9710</v>
      </c>
      <c r="G9713">
        <f ca="1">_xlfn.NORM.INV(RAND(),$M$7,$M$8)</f>
        <v>8.6164306412136616E-3</v>
      </c>
    </row>
    <row r="9714" spans="6:7" x14ac:dyDescent="0.25">
      <c r="F9714">
        <v>9711</v>
      </c>
      <c r="G9714">
        <f ca="1">_xlfn.NORM.INV(RAND(),$M$7,$M$8)</f>
        <v>-4.3790782788570078E-2</v>
      </c>
    </row>
    <row r="9715" spans="6:7" x14ac:dyDescent="0.25">
      <c r="F9715">
        <v>9712</v>
      </c>
      <c r="G9715">
        <f ca="1">_xlfn.NORM.INV(RAND(),$M$7,$M$8)</f>
        <v>-2.1872084692400776E-2</v>
      </c>
    </row>
    <row r="9716" spans="6:7" x14ac:dyDescent="0.25">
      <c r="F9716">
        <v>9713</v>
      </c>
      <c r="G9716">
        <f ca="1">_xlfn.NORM.INV(RAND(),$M$7,$M$8)</f>
        <v>-4.1088645403420498E-2</v>
      </c>
    </row>
    <row r="9717" spans="6:7" x14ac:dyDescent="0.25">
      <c r="F9717">
        <v>9714</v>
      </c>
      <c r="G9717">
        <f ca="1">_xlfn.NORM.INV(RAND(),$M$7,$M$8)</f>
        <v>1.6819151619643147E-2</v>
      </c>
    </row>
    <row r="9718" spans="6:7" x14ac:dyDescent="0.25">
      <c r="F9718">
        <v>9715</v>
      </c>
      <c r="G9718">
        <f ca="1">_xlfn.NORM.INV(RAND(),$M$7,$M$8)</f>
        <v>-1.8471507202098628E-2</v>
      </c>
    </row>
    <row r="9719" spans="6:7" x14ac:dyDescent="0.25">
      <c r="F9719">
        <v>9716</v>
      </c>
      <c r="G9719">
        <f ca="1">_xlfn.NORM.INV(RAND(),$M$7,$M$8)</f>
        <v>-2.3621610486153577E-2</v>
      </c>
    </row>
    <row r="9720" spans="6:7" x14ac:dyDescent="0.25">
      <c r="F9720">
        <v>9717</v>
      </c>
      <c r="G9720">
        <f ca="1">_xlfn.NORM.INV(RAND(),$M$7,$M$8)</f>
        <v>2.0026753356135142E-3</v>
      </c>
    </row>
    <row r="9721" spans="6:7" x14ac:dyDescent="0.25">
      <c r="F9721">
        <v>9718</v>
      </c>
      <c r="G9721">
        <f ca="1">_xlfn.NORM.INV(RAND(),$M$7,$M$8)</f>
        <v>2.7764905737057748E-2</v>
      </c>
    </row>
    <row r="9722" spans="6:7" x14ac:dyDescent="0.25">
      <c r="F9722">
        <v>9719</v>
      </c>
      <c r="G9722">
        <f ca="1">_xlfn.NORM.INV(RAND(),$M$7,$M$8)</f>
        <v>1.4524432296819507E-2</v>
      </c>
    </row>
    <row r="9723" spans="6:7" x14ac:dyDescent="0.25">
      <c r="F9723">
        <v>9720</v>
      </c>
      <c r="G9723">
        <f ca="1">_xlfn.NORM.INV(RAND(),$M$7,$M$8)</f>
        <v>1.3502242092614171E-2</v>
      </c>
    </row>
    <row r="9724" spans="6:7" x14ac:dyDescent="0.25">
      <c r="F9724">
        <v>9721</v>
      </c>
      <c r="G9724">
        <f ca="1">_xlfn.NORM.INV(RAND(),$M$7,$M$8)</f>
        <v>-5.5580607908497899E-2</v>
      </c>
    </row>
    <row r="9725" spans="6:7" x14ac:dyDescent="0.25">
      <c r="F9725">
        <v>9722</v>
      </c>
      <c r="G9725">
        <f ca="1">_xlfn.NORM.INV(RAND(),$M$7,$M$8)</f>
        <v>2.577461566886801E-3</v>
      </c>
    </row>
    <row r="9726" spans="6:7" x14ac:dyDescent="0.25">
      <c r="F9726">
        <v>9723</v>
      </c>
      <c r="G9726">
        <f ca="1">_xlfn.NORM.INV(RAND(),$M$7,$M$8)</f>
        <v>9.0295527339822948E-3</v>
      </c>
    </row>
    <row r="9727" spans="6:7" x14ac:dyDescent="0.25">
      <c r="F9727">
        <v>9724</v>
      </c>
      <c r="G9727">
        <f ca="1">_xlfn.NORM.INV(RAND(),$M$7,$M$8)</f>
        <v>5.2480813050105865E-2</v>
      </c>
    </row>
    <row r="9728" spans="6:7" x14ac:dyDescent="0.25">
      <c r="F9728">
        <v>9725</v>
      </c>
      <c r="G9728">
        <f ca="1">_xlfn.NORM.INV(RAND(),$M$7,$M$8)</f>
        <v>5.6130962674779761E-4</v>
      </c>
    </row>
    <row r="9729" spans="6:7" x14ac:dyDescent="0.25">
      <c r="F9729">
        <v>9726</v>
      </c>
      <c r="G9729">
        <f ca="1">_xlfn.NORM.INV(RAND(),$M$7,$M$8)</f>
        <v>-5.9266531298378979E-3</v>
      </c>
    </row>
    <row r="9730" spans="6:7" x14ac:dyDescent="0.25">
      <c r="F9730">
        <v>9727</v>
      </c>
      <c r="G9730">
        <f ca="1">_xlfn.NORM.INV(RAND(),$M$7,$M$8)</f>
        <v>1.5720352507493672E-2</v>
      </c>
    </row>
    <row r="9731" spans="6:7" x14ac:dyDescent="0.25">
      <c r="F9731">
        <v>9728</v>
      </c>
      <c r="G9731">
        <f ca="1">_xlfn.NORM.INV(RAND(),$M$7,$M$8)</f>
        <v>-1.3851514035370376E-2</v>
      </c>
    </row>
    <row r="9732" spans="6:7" x14ac:dyDescent="0.25">
      <c r="F9732">
        <v>9729</v>
      </c>
      <c r="G9732">
        <f ca="1">_xlfn.NORM.INV(RAND(),$M$7,$M$8)</f>
        <v>-2.0416356969634206E-2</v>
      </c>
    </row>
    <row r="9733" spans="6:7" x14ac:dyDescent="0.25">
      <c r="F9733">
        <v>9730</v>
      </c>
      <c r="G9733">
        <f ca="1">_xlfn.NORM.INV(RAND(),$M$7,$M$8)</f>
        <v>-4.3593375679930307E-3</v>
      </c>
    </row>
    <row r="9734" spans="6:7" x14ac:dyDescent="0.25">
      <c r="F9734">
        <v>9731</v>
      </c>
      <c r="G9734">
        <f ca="1">_xlfn.NORM.INV(RAND(),$M$7,$M$8)</f>
        <v>-3.597320668854833E-2</v>
      </c>
    </row>
    <row r="9735" spans="6:7" x14ac:dyDescent="0.25">
      <c r="F9735">
        <v>9732</v>
      </c>
      <c r="G9735">
        <f ca="1">_xlfn.NORM.INV(RAND(),$M$7,$M$8)</f>
        <v>4.0491944603079991E-2</v>
      </c>
    </row>
    <row r="9736" spans="6:7" x14ac:dyDescent="0.25">
      <c r="F9736">
        <v>9733</v>
      </c>
      <c r="G9736">
        <f ca="1">_xlfn.NORM.INV(RAND(),$M$7,$M$8)</f>
        <v>-1.5064700779684508E-2</v>
      </c>
    </row>
    <row r="9737" spans="6:7" x14ac:dyDescent="0.25">
      <c r="F9737">
        <v>9734</v>
      </c>
      <c r="G9737">
        <f ca="1">_xlfn.NORM.INV(RAND(),$M$7,$M$8)</f>
        <v>1.2960595284089072E-2</v>
      </c>
    </row>
    <row r="9738" spans="6:7" x14ac:dyDescent="0.25">
      <c r="F9738">
        <v>9735</v>
      </c>
      <c r="G9738">
        <f ca="1">_xlfn.NORM.INV(RAND(),$M$7,$M$8)</f>
        <v>4.2597301170421251E-2</v>
      </c>
    </row>
    <row r="9739" spans="6:7" x14ac:dyDescent="0.25">
      <c r="F9739">
        <v>9736</v>
      </c>
      <c r="G9739">
        <f ca="1">_xlfn.NORM.INV(RAND(),$M$7,$M$8)</f>
        <v>-6.8202317962012919E-3</v>
      </c>
    </row>
    <row r="9740" spans="6:7" x14ac:dyDescent="0.25">
      <c r="F9740">
        <v>9737</v>
      </c>
      <c r="G9740">
        <f ca="1">_xlfn.NORM.INV(RAND(),$M$7,$M$8)</f>
        <v>2.3449102270477987E-2</v>
      </c>
    </row>
    <row r="9741" spans="6:7" x14ac:dyDescent="0.25">
      <c r="F9741">
        <v>9738</v>
      </c>
      <c r="G9741">
        <f ca="1">_xlfn.NORM.INV(RAND(),$M$7,$M$8)</f>
        <v>-1.2622734362377179E-2</v>
      </c>
    </row>
    <row r="9742" spans="6:7" x14ac:dyDescent="0.25">
      <c r="F9742">
        <v>9739</v>
      </c>
      <c r="G9742">
        <f ca="1">_xlfn.NORM.INV(RAND(),$M$7,$M$8)</f>
        <v>-1.3820491566352441E-2</v>
      </c>
    </row>
    <row r="9743" spans="6:7" x14ac:dyDescent="0.25">
      <c r="F9743">
        <v>9740</v>
      </c>
      <c r="G9743">
        <f ca="1">_xlfn.NORM.INV(RAND(),$M$7,$M$8)</f>
        <v>1.1516737371976365E-2</v>
      </c>
    </row>
    <row r="9744" spans="6:7" x14ac:dyDescent="0.25">
      <c r="F9744">
        <v>9741</v>
      </c>
      <c r="G9744">
        <f ca="1">_xlfn.NORM.INV(RAND(),$M$7,$M$8)</f>
        <v>2.4110593163589492E-2</v>
      </c>
    </row>
    <row r="9745" spans="6:7" x14ac:dyDescent="0.25">
      <c r="F9745">
        <v>9742</v>
      </c>
      <c r="G9745">
        <f ca="1">_xlfn.NORM.INV(RAND(),$M$7,$M$8)</f>
        <v>-1.0865579604404172E-3</v>
      </c>
    </row>
    <row r="9746" spans="6:7" x14ac:dyDescent="0.25">
      <c r="F9746">
        <v>9743</v>
      </c>
      <c r="G9746">
        <f ca="1">_xlfn.NORM.INV(RAND(),$M$7,$M$8)</f>
        <v>-1.1190694482952981E-2</v>
      </c>
    </row>
    <row r="9747" spans="6:7" x14ac:dyDescent="0.25">
      <c r="F9747">
        <v>9744</v>
      </c>
      <c r="G9747">
        <f ca="1">_xlfn.NORM.INV(RAND(),$M$7,$M$8)</f>
        <v>2.3558077548409891E-2</v>
      </c>
    </row>
    <row r="9748" spans="6:7" x14ac:dyDescent="0.25">
      <c r="F9748">
        <v>9745</v>
      </c>
      <c r="G9748">
        <f ca="1">_xlfn.NORM.INV(RAND(),$M$7,$M$8)</f>
        <v>3.666673957108111E-2</v>
      </c>
    </row>
    <row r="9749" spans="6:7" x14ac:dyDescent="0.25">
      <c r="F9749">
        <v>9746</v>
      </c>
      <c r="G9749">
        <f ca="1">_xlfn.NORM.INV(RAND(),$M$7,$M$8)</f>
        <v>4.375035199985132E-3</v>
      </c>
    </row>
    <row r="9750" spans="6:7" x14ac:dyDescent="0.25">
      <c r="F9750">
        <v>9747</v>
      </c>
      <c r="G9750">
        <f ca="1">_xlfn.NORM.INV(RAND(),$M$7,$M$8)</f>
        <v>-3.2990588193650789E-6</v>
      </c>
    </row>
    <row r="9751" spans="6:7" x14ac:dyDescent="0.25">
      <c r="F9751">
        <v>9748</v>
      </c>
      <c r="G9751">
        <f ca="1">_xlfn.NORM.INV(RAND(),$M$7,$M$8)</f>
        <v>-2.9238486416370932E-2</v>
      </c>
    </row>
    <row r="9752" spans="6:7" x14ac:dyDescent="0.25">
      <c r="F9752">
        <v>9749</v>
      </c>
      <c r="G9752">
        <f ca="1">_xlfn.NORM.INV(RAND(),$M$7,$M$8)</f>
        <v>8.0887681321670981E-3</v>
      </c>
    </row>
    <row r="9753" spans="6:7" x14ac:dyDescent="0.25">
      <c r="F9753">
        <v>9750</v>
      </c>
      <c r="G9753">
        <f ca="1">_xlfn.NORM.INV(RAND(),$M$7,$M$8)</f>
        <v>-1.2156778770132591E-2</v>
      </c>
    </row>
    <row r="9754" spans="6:7" x14ac:dyDescent="0.25">
      <c r="F9754">
        <v>9751</v>
      </c>
      <c r="G9754">
        <f ca="1">_xlfn.NORM.INV(RAND(),$M$7,$M$8)</f>
        <v>1.5153699719954122E-2</v>
      </c>
    </row>
    <row r="9755" spans="6:7" x14ac:dyDescent="0.25">
      <c r="F9755">
        <v>9752</v>
      </c>
      <c r="G9755">
        <f ca="1">_xlfn.NORM.INV(RAND(),$M$7,$M$8)</f>
        <v>2.6051533277998626E-3</v>
      </c>
    </row>
    <row r="9756" spans="6:7" x14ac:dyDescent="0.25">
      <c r="F9756">
        <v>9753</v>
      </c>
      <c r="G9756">
        <f ca="1">_xlfn.NORM.INV(RAND(),$M$7,$M$8)</f>
        <v>1.6715309125835336E-2</v>
      </c>
    </row>
    <row r="9757" spans="6:7" x14ac:dyDescent="0.25">
      <c r="F9757">
        <v>9754</v>
      </c>
      <c r="G9757">
        <f ca="1">_xlfn.NORM.INV(RAND(),$M$7,$M$8)</f>
        <v>2.015963566028715E-2</v>
      </c>
    </row>
    <row r="9758" spans="6:7" x14ac:dyDescent="0.25">
      <c r="F9758">
        <v>9755</v>
      </c>
      <c r="G9758">
        <f ca="1">_xlfn.NORM.INV(RAND(),$M$7,$M$8)</f>
        <v>2.6405752986205566E-2</v>
      </c>
    </row>
    <row r="9759" spans="6:7" x14ac:dyDescent="0.25">
      <c r="F9759">
        <v>9756</v>
      </c>
      <c r="G9759">
        <f ca="1">_xlfn.NORM.INV(RAND(),$M$7,$M$8)</f>
        <v>5.7059083124357726E-3</v>
      </c>
    </row>
    <row r="9760" spans="6:7" x14ac:dyDescent="0.25">
      <c r="F9760">
        <v>9757</v>
      </c>
      <c r="G9760">
        <f ca="1">_xlfn.NORM.INV(RAND(),$M$7,$M$8)</f>
        <v>2.0363443012025292E-2</v>
      </c>
    </row>
    <row r="9761" spans="6:7" x14ac:dyDescent="0.25">
      <c r="F9761">
        <v>9758</v>
      </c>
      <c r="G9761">
        <f ca="1">_xlfn.NORM.INV(RAND(),$M$7,$M$8)</f>
        <v>1.339409464950401E-2</v>
      </c>
    </row>
    <row r="9762" spans="6:7" x14ac:dyDescent="0.25">
      <c r="F9762">
        <v>9759</v>
      </c>
      <c r="G9762">
        <f ca="1">_xlfn.NORM.INV(RAND(),$M$7,$M$8)</f>
        <v>-4.06393178578476E-3</v>
      </c>
    </row>
    <row r="9763" spans="6:7" x14ac:dyDescent="0.25">
      <c r="F9763">
        <v>9760</v>
      </c>
      <c r="G9763">
        <f ca="1">_xlfn.NORM.INV(RAND(),$M$7,$M$8)</f>
        <v>-1.8107989781115327E-2</v>
      </c>
    </row>
    <row r="9764" spans="6:7" x14ac:dyDescent="0.25">
      <c r="F9764">
        <v>9761</v>
      </c>
      <c r="G9764">
        <f ca="1">_xlfn.NORM.INV(RAND(),$M$7,$M$8)</f>
        <v>4.2439113001553452E-2</v>
      </c>
    </row>
    <row r="9765" spans="6:7" x14ac:dyDescent="0.25">
      <c r="F9765">
        <v>9762</v>
      </c>
      <c r="G9765">
        <f ca="1">_xlfn.NORM.INV(RAND(),$M$7,$M$8)</f>
        <v>4.9114133993604106E-2</v>
      </c>
    </row>
    <row r="9766" spans="6:7" x14ac:dyDescent="0.25">
      <c r="F9766">
        <v>9763</v>
      </c>
      <c r="G9766">
        <f ca="1">_xlfn.NORM.INV(RAND(),$M$7,$M$8)</f>
        <v>-7.9368702390502331E-3</v>
      </c>
    </row>
    <row r="9767" spans="6:7" x14ac:dyDescent="0.25">
      <c r="F9767">
        <v>9764</v>
      </c>
      <c r="G9767">
        <f ca="1">_xlfn.NORM.INV(RAND(),$M$7,$M$8)</f>
        <v>-1.382173869852057E-2</v>
      </c>
    </row>
    <row r="9768" spans="6:7" x14ac:dyDescent="0.25">
      <c r="F9768">
        <v>9765</v>
      </c>
      <c r="G9768">
        <f ca="1">_xlfn.NORM.INV(RAND(),$M$7,$M$8)</f>
        <v>-1.6377168518766302E-2</v>
      </c>
    </row>
    <row r="9769" spans="6:7" x14ac:dyDescent="0.25">
      <c r="F9769">
        <v>9766</v>
      </c>
      <c r="G9769">
        <f ca="1">_xlfn.NORM.INV(RAND(),$M$7,$M$8)</f>
        <v>-1.562116758059778E-2</v>
      </c>
    </row>
    <row r="9770" spans="6:7" x14ac:dyDescent="0.25">
      <c r="F9770">
        <v>9767</v>
      </c>
      <c r="G9770">
        <f ca="1">_xlfn.NORM.INV(RAND(),$M$7,$M$8)</f>
        <v>-5.627706976635008E-2</v>
      </c>
    </row>
    <row r="9771" spans="6:7" x14ac:dyDescent="0.25">
      <c r="F9771">
        <v>9768</v>
      </c>
      <c r="G9771">
        <f ca="1">_xlfn.NORM.INV(RAND(),$M$7,$M$8)</f>
        <v>6.2067512722940709E-3</v>
      </c>
    </row>
    <row r="9772" spans="6:7" x14ac:dyDescent="0.25">
      <c r="F9772">
        <v>9769</v>
      </c>
      <c r="G9772">
        <f ca="1">_xlfn.NORM.INV(RAND(),$M$7,$M$8)</f>
        <v>3.626315643860821E-2</v>
      </c>
    </row>
    <row r="9773" spans="6:7" x14ac:dyDescent="0.25">
      <c r="F9773">
        <v>9770</v>
      </c>
      <c r="G9773">
        <f ca="1">_xlfn.NORM.INV(RAND(),$M$7,$M$8)</f>
        <v>-3.6616850612376226E-2</v>
      </c>
    </row>
    <row r="9774" spans="6:7" x14ac:dyDescent="0.25">
      <c r="F9774">
        <v>9771</v>
      </c>
      <c r="G9774">
        <f ca="1">_xlfn.NORM.INV(RAND(),$M$7,$M$8)</f>
        <v>-2.7833215667546832E-3</v>
      </c>
    </row>
    <row r="9775" spans="6:7" x14ac:dyDescent="0.25">
      <c r="F9775">
        <v>9772</v>
      </c>
      <c r="G9775">
        <f ca="1">_xlfn.NORM.INV(RAND(),$M$7,$M$8)</f>
        <v>-3.4269547854670006E-2</v>
      </c>
    </row>
    <row r="9776" spans="6:7" x14ac:dyDescent="0.25">
      <c r="F9776">
        <v>9773</v>
      </c>
      <c r="G9776">
        <f ca="1">_xlfn.NORM.INV(RAND(),$M$7,$M$8)</f>
        <v>-3.3349256006132567E-2</v>
      </c>
    </row>
    <row r="9777" spans="6:7" x14ac:dyDescent="0.25">
      <c r="F9777">
        <v>9774</v>
      </c>
      <c r="G9777">
        <f ca="1">_xlfn.NORM.INV(RAND(),$M$7,$M$8)</f>
        <v>-2.5608499767175753E-2</v>
      </c>
    </row>
    <row r="9778" spans="6:7" x14ac:dyDescent="0.25">
      <c r="F9778">
        <v>9775</v>
      </c>
      <c r="G9778">
        <f ca="1">_xlfn.NORM.INV(RAND(),$M$7,$M$8)</f>
        <v>-4.8710543590203409E-2</v>
      </c>
    </row>
    <row r="9779" spans="6:7" x14ac:dyDescent="0.25">
      <c r="F9779">
        <v>9776</v>
      </c>
      <c r="G9779">
        <f ca="1">_xlfn.NORM.INV(RAND(),$M$7,$M$8)</f>
        <v>4.7925622848525126E-2</v>
      </c>
    </row>
    <row r="9780" spans="6:7" x14ac:dyDescent="0.25">
      <c r="F9780">
        <v>9777</v>
      </c>
      <c r="G9780">
        <f ca="1">_xlfn.NORM.INV(RAND(),$M$7,$M$8)</f>
        <v>-4.9558167780950116E-4</v>
      </c>
    </row>
    <row r="9781" spans="6:7" x14ac:dyDescent="0.25">
      <c r="F9781">
        <v>9778</v>
      </c>
      <c r="G9781">
        <f ca="1">_xlfn.NORM.INV(RAND(),$M$7,$M$8)</f>
        <v>2.5921912780436612E-3</v>
      </c>
    </row>
    <row r="9782" spans="6:7" x14ac:dyDescent="0.25">
      <c r="F9782">
        <v>9779</v>
      </c>
      <c r="G9782">
        <f ca="1">_xlfn.NORM.INV(RAND(),$M$7,$M$8)</f>
        <v>3.7250043046508551E-2</v>
      </c>
    </row>
    <row r="9783" spans="6:7" x14ac:dyDescent="0.25">
      <c r="F9783">
        <v>9780</v>
      </c>
      <c r="G9783">
        <f ca="1">_xlfn.NORM.INV(RAND(),$M$7,$M$8)</f>
        <v>-2.4699378399616726E-2</v>
      </c>
    </row>
    <row r="9784" spans="6:7" x14ac:dyDescent="0.25">
      <c r="F9784">
        <v>9781</v>
      </c>
      <c r="G9784">
        <f ca="1">_xlfn.NORM.INV(RAND(),$M$7,$M$8)</f>
        <v>3.272996662262476E-3</v>
      </c>
    </row>
    <row r="9785" spans="6:7" x14ac:dyDescent="0.25">
      <c r="F9785">
        <v>9782</v>
      </c>
      <c r="G9785">
        <f ca="1">_xlfn.NORM.INV(RAND(),$M$7,$M$8)</f>
        <v>-1.2517304640266452E-3</v>
      </c>
    </row>
    <row r="9786" spans="6:7" x14ac:dyDescent="0.25">
      <c r="F9786">
        <v>9783</v>
      </c>
      <c r="G9786">
        <f ca="1">_xlfn.NORM.INV(RAND(),$M$7,$M$8)</f>
        <v>1.9228563510606988E-2</v>
      </c>
    </row>
    <row r="9787" spans="6:7" x14ac:dyDescent="0.25">
      <c r="F9787">
        <v>9784</v>
      </c>
      <c r="G9787">
        <f ca="1">_xlfn.NORM.INV(RAND(),$M$7,$M$8)</f>
        <v>3.4996038153855109E-2</v>
      </c>
    </row>
    <row r="9788" spans="6:7" x14ac:dyDescent="0.25">
      <c r="F9788">
        <v>9785</v>
      </c>
      <c r="G9788">
        <f ca="1">_xlfn.NORM.INV(RAND(),$M$7,$M$8)</f>
        <v>-7.7015873289767479E-4</v>
      </c>
    </row>
    <row r="9789" spans="6:7" x14ac:dyDescent="0.25">
      <c r="F9789">
        <v>9786</v>
      </c>
      <c r="G9789">
        <f ca="1">_xlfn.NORM.INV(RAND(),$M$7,$M$8)</f>
        <v>-2.7120336717263317E-2</v>
      </c>
    </row>
    <row r="9790" spans="6:7" x14ac:dyDescent="0.25">
      <c r="F9790">
        <v>9787</v>
      </c>
      <c r="G9790">
        <f ca="1">_xlfn.NORM.INV(RAND(),$M$7,$M$8)</f>
        <v>-7.4510107514372346E-3</v>
      </c>
    </row>
    <row r="9791" spans="6:7" x14ac:dyDescent="0.25">
      <c r="F9791">
        <v>9788</v>
      </c>
      <c r="G9791">
        <f ca="1">_xlfn.NORM.INV(RAND(),$M$7,$M$8)</f>
        <v>1.8451982838959595E-2</v>
      </c>
    </row>
    <row r="9792" spans="6:7" x14ac:dyDescent="0.25">
      <c r="F9792">
        <v>9789</v>
      </c>
      <c r="G9792">
        <f ca="1">_xlfn.NORM.INV(RAND(),$M$7,$M$8)</f>
        <v>-3.8456428966618258E-3</v>
      </c>
    </row>
    <row r="9793" spans="6:7" x14ac:dyDescent="0.25">
      <c r="F9793">
        <v>9790</v>
      </c>
      <c r="G9793">
        <f ca="1">_xlfn.NORM.INV(RAND(),$M$7,$M$8)</f>
        <v>-4.187058362322045E-2</v>
      </c>
    </row>
    <row r="9794" spans="6:7" x14ac:dyDescent="0.25">
      <c r="F9794">
        <v>9791</v>
      </c>
      <c r="G9794">
        <f ca="1">_xlfn.NORM.INV(RAND(),$M$7,$M$8)</f>
        <v>-4.0290032515701103E-2</v>
      </c>
    </row>
    <row r="9795" spans="6:7" x14ac:dyDescent="0.25">
      <c r="F9795">
        <v>9792</v>
      </c>
      <c r="G9795">
        <f ca="1">_xlfn.NORM.INV(RAND(),$M$7,$M$8)</f>
        <v>-2.8087534869756105E-2</v>
      </c>
    </row>
    <row r="9796" spans="6:7" x14ac:dyDescent="0.25">
      <c r="F9796">
        <v>9793</v>
      </c>
      <c r="G9796">
        <f ca="1">_xlfn.NORM.INV(RAND(),$M$7,$M$8)</f>
        <v>1.4145139186555089E-3</v>
      </c>
    </row>
    <row r="9797" spans="6:7" x14ac:dyDescent="0.25">
      <c r="F9797">
        <v>9794</v>
      </c>
      <c r="G9797">
        <f ca="1">_xlfn.NORM.INV(RAND(),$M$7,$M$8)</f>
        <v>-4.314912580185128E-3</v>
      </c>
    </row>
    <row r="9798" spans="6:7" x14ac:dyDescent="0.25">
      <c r="F9798">
        <v>9795</v>
      </c>
      <c r="G9798">
        <f ca="1">_xlfn.NORM.INV(RAND(),$M$7,$M$8)</f>
        <v>-2.519482163067736E-2</v>
      </c>
    </row>
    <row r="9799" spans="6:7" x14ac:dyDescent="0.25">
      <c r="F9799">
        <v>9796</v>
      </c>
      <c r="G9799">
        <f ca="1">_xlfn.NORM.INV(RAND(),$M$7,$M$8)</f>
        <v>1.6854303647978925E-2</v>
      </c>
    </row>
    <row r="9800" spans="6:7" x14ac:dyDescent="0.25">
      <c r="F9800">
        <v>9797</v>
      </c>
      <c r="G9800">
        <f ca="1">_xlfn.NORM.INV(RAND(),$M$7,$M$8)</f>
        <v>-8.6968416793858343E-3</v>
      </c>
    </row>
    <row r="9801" spans="6:7" x14ac:dyDescent="0.25">
      <c r="F9801">
        <v>9798</v>
      </c>
      <c r="G9801">
        <f ca="1">_xlfn.NORM.INV(RAND(),$M$7,$M$8)</f>
        <v>-2.2295923901442565E-2</v>
      </c>
    </row>
    <row r="9802" spans="6:7" x14ac:dyDescent="0.25">
      <c r="F9802">
        <v>9799</v>
      </c>
      <c r="G9802">
        <f ca="1">_xlfn.NORM.INV(RAND(),$M$7,$M$8)</f>
        <v>1.7826857869893745E-2</v>
      </c>
    </row>
    <row r="9803" spans="6:7" x14ac:dyDescent="0.25">
      <c r="F9803">
        <v>9800</v>
      </c>
      <c r="G9803">
        <f ca="1">_xlfn.NORM.INV(RAND(),$M$7,$M$8)</f>
        <v>-4.2157639003196766E-2</v>
      </c>
    </row>
    <row r="9804" spans="6:7" x14ac:dyDescent="0.25">
      <c r="F9804">
        <v>9801</v>
      </c>
      <c r="G9804">
        <f ca="1">_xlfn.NORM.INV(RAND(),$M$7,$M$8)</f>
        <v>1.1236671621877534E-2</v>
      </c>
    </row>
    <row r="9805" spans="6:7" x14ac:dyDescent="0.25">
      <c r="F9805">
        <v>9802</v>
      </c>
      <c r="G9805">
        <f ca="1">_xlfn.NORM.INV(RAND(),$M$7,$M$8)</f>
        <v>-5.6157552779241993E-3</v>
      </c>
    </row>
    <row r="9806" spans="6:7" x14ac:dyDescent="0.25">
      <c r="F9806">
        <v>9803</v>
      </c>
      <c r="G9806">
        <f ca="1">_xlfn.NORM.INV(RAND(),$M$7,$M$8)</f>
        <v>2.0951291792435867E-2</v>
      </c>
    </row>
    <row r="9807" spans="6:7" x14ac:dyDescent="0.25">
      <c r="F9807">
        <v>9804</v>
      </c>
      <c r="G9807">
        <f ca="1">_xlfn.NORM.INV(RAND(),$M$7,$M$8)</f>
        <v>-1.580174338068599E-2</v>
      </c>
    </row>
    <row r="9808" spans="6:7" x14ac:dyDescent="0.25">
      <c r="F9808">
        <v>9805</v>
      </c>
      <c r="G9808">
        <f ca="1">_xlfn.NORM.INV(RAND(),$M$7,$M$8)</f>
        <v>-6.4663709283333971E-3</v>
      </c>
    </row>
    <row r="9809" spans="6:7" x14ac:dyDescent="0.25">
      <c r="F9809">
        <v>9806</v>
      </c>
      <c r="G9809">
        <f ca="1">_xlfn.NORM.INV(RAND(),$M$7,$M$8)</f>
        <v>8.8832608779710713E-3</v>
      </c>
    </row>
    <row r="9810" spans="6:7" x14ac:dyDescent="0.25">
      <c r="F9810">
        <v>9807</v>
      </c>
      <c r="G9810">
        <f ca="1">_xlfn.NORM.INV(RAND(),$M$7,$M$8)</f>
        <v>3.6032515852865835E-2</v>
      </c>
    </row>
    <row r="9811" spans="6:7" x14ac:dyDescent="0.25">
      <c r="F9811">
        <v>9808</v>
      </c>
      <c r="G9811">
        <f ca="1">_xlfn.NORM.INV(RAND(),$M$7,$M$8)</f>
        <v>-3.6668536188149491E-2</v>
      </c>
    </row>
    <row r="9812" spans="6:7" x14ac:dyDescent="0.25">
      <c r="F9812">
        <v>9809</v>
      </c>
      <c r="G9812">
        <f ca="1">_xlfn.NORM.INV(RAND(),$M$7,$M$8)</f>
        <v>-2.3738600168552997E-2</v>
      </c>
    </row>
    <row r="9813" spans="6:7" x14ac:dyDescent="0.25">
      <c r="F9813">
        <v>9810</v>
      </c>
      <c r="G9813">
        <f ca="1">_xlfn.NORM.INV(RAND(),$M$7,$M$8)</f>
        <v>-6.5295134589871944E-3</v>
      </c>
    </row>
    <row r="9814" spans="6:7" x14ac:dyDescent="0.25">
      <c r="F9814">
        <v>9811</v>
      </c>
      <c r="G9814">
        <f ca="1">_xlfn.NORM.INV(RAND(),$M$7,$M$8)</f>
        <v>-2.1423973676098437E-2</v>
      </c>
    </row>
    <row r="9815" spans="6:7" x14ac:dyDescent="0.25">
      <c r="F9815">
        <v>9812</v>
      </c>
      <c r="G9815">
        <f ca="1">_xlfn.NORM.INV(RAND(),$M$7,$M$8)</f>
        <v>4.2516690716655486E-4</v>
      </c>
    </row>
    <row r="9816" spans="6:7" x14ac:dyDescent="0.25">
      <c r="F9816">
        <v>9813</v>
      </c>
      <c r="G9816">
        <f ca="1">_xlfn.NORM.INV(RAND(),$M$7,$M$8)</f>
        <v>-4.2983598723511755E-3</v>
      </c>
    </row>
    <row r="9817" spans="6:7" x14ac:dyDescent="0.25">
      <c r="F9817">
        <v>9814</v>
      </c>
      <c r="G9817">
        <f ca="1">_xlfn.NORM.INV(RAND(),$M$7,$M$8)</f>
        <v>-8.8724359933490017E-3</v>
      </c>
    </row>
    <row r="9818" spans="6:7" x14ac:dyDescent="0.25">
      <c r="F9818">
        <v>9815</v>
      </c>
      <c r="G9818">
        <f ca="1">_xlfn.NORM.INV(RAND(),$M$7,$M$8)</f>
        <v>2.9647295966789371E-2</v>
      </c>
    </row>
    <row r="9819" spans="6:7" x14ac:dyDescent="0.25">
      <c r="F9819">
        <v>9816</v>
      </c>
      <c r="G9819">
        <f ca="1">_xlfn.NORM.INV(RAND(),$M$7,$M$8)</f>
        <v>2.3053270970621615E-2</v>
      </c>
    </row>
    <row r="9820" spans="6:7" x14ac:dyDescent="0.25">
      <c r="F9820">
        <v>9817</v>
      </c>
      <c r="G9820">
        <f ca="1">_xlfn.NORM.INV(RAND(),$M$7,$M$8)</f>
        <v>2.4546526153779884E-2</v>
      </c>
    </row>
    <row r="9821" spans="6:7" x14ac:dyDescent="0.25">
      <c r="F9821">
        <v>9818</v>
      </c>
      <c r="G9821">
        <f ca="1">_xlfn.NORM.INV(RAND(),$M$7,$M$8)</f>
        <v>1.0241026305369058E-2</v>
      </c>
    </row>
    <row r="9822" spans="6:7" x14ac:dyDescent="0.25">
      <c r="F9822">
        <v>9819</v>
      </c>
      <c r="G9822">
        <f ca="1">_xlfn.NORM.INV(RAND(),$M$7,$M$8)</f>
        <v>4.6222759019101757E-2</v>
      </c>
    </row>
    <row r="9823" spans="6:7" x14ac:dyDescent="0.25">
      <c r="F9823">
        <v>9820</v>
      </c>
      <c r="G9823">
        <f ca="1">_xlfn.NORM.INV(RAND(),$M$7,$M$8)</f>
        <v>-2.3522861050275616E-2</v>
      </c>
    </row>
    <row r="9824" spans="6:7" x14ac:dyDescent="0.25">
      <c r="F9824">
        <v>9821</v>
      </c>
      <c r="G9824">
        <f ca="1">_xlfn.NORM.INV(RAND(),$M$7,$M$8)</f>
        <v>-9.9349919753061906E-3</v>
      </c>
    </row>
    <row r="9825" spans="6:7" x14ac:dyDescent="0.25">
      <c r="F9825">
        <v>9822</v>
      </c>
      <c r="G9825">
        <f ca="1">_xlfn.NORM.INV(RAND(),$M$7,$M$8)</f>
        <v>-8.5604471737716556E-3</v>
      </c>
    </row>
    <row r="9826" spans="6:7" x14ac:dyDescent="0.25">
      <c r="F9826">
        <v>9823</v>
      </c>
      <c r="G9826">
        <f ca="1">_xlfn.NORM.INV(RAND(),$M$7,$M$8)</f>
        <v>6.9075596994789181E-3</v>
      </c>
    </row>
    <row r="9827" spans="6:7" x14ac:dyDescent="0.25">
      <c r="F9827">
        <v>9824</v>
      </c>
      <c r="G9827">
        <f ca="1">_xlfn.NORM.INV(RAND(),$M$7,$M$8)</f>
        <v>3.0674579841854271E-2</v>
      </c>
    </row>
    <row r="9828" spans="6:7" x14ac:dyDescent="0.25">
      <c r="F9828">
        <v>9825</v>
      </c>
      <c r="G9828">
        <f ca="1">_xlfn.NORM.INV(RAND(),$M$7,$M$8)</f>
        <v>1.7314006755876462E-2</v>
      </c>
    </row>
    <row r="9829" spans="6:7" x14ac:dyDescent="0.25">
      <c r="F9829">
        <v>9826</v>
      </c>
      <c r="G9829">
        <f ca="1">_xlfn.NORM.INV(RAND(),$M$7,$M$8)</f>
        <v>2.5719162820981669E-3</v>
      </c>
    </row>
    <row r="9830" spans="6:7" x14ac:dyDescent="0.25">
      <c r="F9830">
        <v>9827</v>
      </c>
      <c r="G9830">
        <f ca="1">_xlfn.NORM.INV(RAND(),$M$7,$M$8)</f>
        <v>-4.840224394432666E-3</v>
      </c>
    </row>
    <row r="9831" spans="6:7" x14ac:dyDescent="0.25">
      <c r="F9831">
        <v>9828</v>
      </c>
      <c r="G9831">
        <f ca="1">_xlfn.NORM.INV(RAND(),$M$7,$M$8)</f>
        <v>3.3315200203196921E-2</v>
      </c>
    </row>
    <row r="9832" spans="6:7" x14ac:dyDescent="0.25">
      <c r="F9832">
        <v>9829</v>
      </c>
      <c r="G9832">
        <f ca="1">_xlfn.NORM.INV(RAND(),$M$7,$M$8)</f>
        <v>-4.3336449135775765E-2</v>
      </c>
    </row>
    <row r="9833" spans="6:7" x14ac:dyDescent="0.25">
      <c r="F9833">
        <v>9830</v>
      </c>
      <c r="G9833">
        <f ca="1">_xlfn.NORM.INV(RAND(),$M$7,$M$8)</f>
        <v>1.8012920676500671E-4</v>
      </c>
    </row>
    <row r="9834" spans="6:7" x14ac:dyDescent="0.25">
      <c r="F9834">
        <v>9831</v>
      </c>
      <c r="G9834">
        <f ca="1">_xlfn.NORM.INV(RAND(),$M$7,$M$8)</f>
        <v>1.5034001753703629E-2</v>
      </c>
    </row>
    <row r="9835" spans="6:7" x14ac:dyDescent="0.25">
      <c r="F9835">
        <v>9832</v>
      </c>
      <c r="G9835">
        <f ca="1">_xlfn.NORM.INV(RAND(),$M$7,$M$8)</f>
        <v>-1.3532730359553815E-2</v>
      </c>
    </row>
    <row r="9836" spans="6:7" x14ac:dyDescent="0.25">
      <c r="F9836">
        <v>9833</v>
      </c>
      <c r="G9836">
        <f ca="1">_xlfn.NORM.INV(RAND(),$M$7,$M$8)</f>
        <v>-7.9267812699361766E-4</v>
      </c>
    </row>
    <row r="9837" spans="6:7" x14ac:dyDescent="0.25">
      <c r="F9837">
        <v>9834</v>
      </c>
      <c r="G9837">
        <f ca="1">_xlfn.NORM.INV(RAND(),$M$7,$M$8)</f>
        <v>2.7229053682784415E-2</v>
      </c>
    </row>
    <row r="9838" spans="6:7" x14ac:dyDescent="0.25">
      <c r="F9838">
        <v>9835</v>
      </c>
      <c r="G9838">
        <f ca="1">_xlfn.NORM.INV(RAND(),$M$7,$M$8)</f>
        <v>1.0634105034396723E-2</v>
      </c>
    </row>
    <row r="9839" spans="6:7" x14ac:dyDescent="0.25">
      <c r="F9839">
        <v>9836</v>
      </c>
      <c r="G9839">
        <f ca="1">_xlfn.NORM.INV(RAND(),$M$7,$M$8)</f>
        <v>1.8525091002130682E-2</v>
      </c>
    </row>
    <row r="9840" spans="6:7" x14ac:dyDescent="0.25">
      <c r="F9840">
        <v>9837</v>
      </c>
      <c r="G9840">
        <f ca="1">_xlfn.NORM.INV(RAND(),$M$7,$M$8)</f>
        <v>1.9681073236155446E-2</v>
      </c>
    </row>
    <row r="9841" spans="6:7" x14ac:dyDescent="0.25">
      <c r="F9841">
        <v>9838</v>
      </c>
      <c r="G9841">
        <f ca="1">_xlfn.NORM.INV(RAND(),$M$7,$M$8)</f>
        <v>4.9781446197689535E-3</v>
      </c>
    </row>
    <row r="9842" spans="6:7" x14ac:dyDescent="0.25">
      <c r="F9842">
        <v>9839</v>
      </c>
      <c r="G9842">
        <f ca="1">_xlfn.NORM.INV(RAND(),$M$7,$M$8)</f>
        <v>-3.5241695636975712E-2</v>
      </c>
    </row>
    <row r="9843" spans="6:7" x14ac:dyDescent="0.25">
      <c r="F9843">
        <v>9840</v>
      </c>
      <c r="G9843">
        <f ca="1">_xlfn.NORM.INV(RAND(),$M$7,$M$8)</f>
        <v>7.0957568963879339E-5</v>
      </c>
    </row>
    <row r="9844" spans="6:7" x14ac:dyDescent="0.25">
      <c r="F9844">
        <v>9841</v>
      </c>
      <c r="G9844">
        <f ca="1">_xlfn.NORM.INV(RAND(),$M$7,$M$8)</f>
        <v>-1.3059238576673892E-2</v>
      </c>
    </row>
    <row r="9845" spans="6:7" x14ac:dyDescent="0.25">
      <c r="F9845">
        <v>9842</v>
      </c>
      <c r="G9845">
        <f ca="1">_xlfn.NORM.INV(RAND(),$M$7,$M$8)</f>
        <v>-1.9255307110565578E-3</v>
      </c>
    </row>
    <row r="9846" spans="6:7" x14ac:dyDescent="0.25">
      <c r="F9846">
        <v>9843</v>
      </c>
      <c r="G9846">
        <f ca="1">_xlfn.NORM.INV(RAND(),$M$7,$M$8)</f>
        <v>-1.8451344809115554E-2</v>
      </c>
    </row>
    <row r="9847" spans="6:7" x14ac:dyDescent="0.25">
      <c r="F9847">
        <v>9844</v>
      </c>
      <c r="G9847">
        <f ca="1">_xlfn.NORM.INV(RAND(),$M$7,$M$8)</f>
        <v>-1.761782318981947E-2</v>
      </c>
    </row>
    <row r="9848" spans="6:7" x14ac:dyDescent="0.25">
      <c r="F9848">
        <v>9845</v>
      </c>
      <c r="G9848">
        <f ca="1">_xlfn.NORM.INV(RAND(),$M$7,$M$8)</f>
        <v>-3.0515394021223694E-2</v>
      </c>
    </row>
    <row r="9849" spans="6:7" x14ac:dyDescent="0.25">
      <c r="F9849">
        <v>9846</v>
      </c>
      <c r="G9849">
        <f ca="1">_xlfn.NORM.INV(RAND(),$M$7,$M$8)</f>
        <v>1.2979468558409608E-2</v>
      </c>
    </row>
    <row r="9850" spans="6:7" x14ac:dyDescent="0.25">
      <c r="F9850">
        <v>9847</v>
      </c>
      <c r="G9850">
        <f ca="1">_xlfn.NORM.INV(RAND(),$M$7,$M$8)</f>
        <v>3.3774095333528938E-2</v>
      </c>
    </row>
    <row r="9851" spans="6:7" x14ac:dyDescent="0.25">
      <c r="F9851">
        <v>9848</v>
      </c>
      <c r="G9851">
        <f ca="1">_xlfn.NORM.INV(RAND(),$M$7,$M$8)</f>
        <v>-1.3681065230512502E-2</v>
      </c>
    </row>
    <row r="9852" spans="6:7" x14ac:dyDescent="0.25">
      <c r="F9852">
        <v>9849</v>
      </c>
      <c r="G9852">
        <f ca="1">_xlfn.NORM.INV(RAND(),$M$7,$M$8)</f>
        <v>2.0255296090255608E-2</v>
      </c>
    </row>
    <row r="9853" spans="6:7" x14ac:dyDescent="0.25">
      <c r="F9853">
        <v>9850</v>
      </c>
      <c r="G9853">
        <f ca="1">_xlfn.NORM.INV(RAND(),$M$7,$M$8)</f>
        <v>-8.4885050438746647E-3</v>
      </c>
    </row>
    <row r="9854" spans="6:7" x14ac:dyDescent="0.25">
      <c r="F9854">
        <v>9851</v>
      </c>
      <c r="G9854">
        <f ca="1">_xlfn.NORM.INV(RAND(),$M$7,$M$8)</f>
        <v>1.595977969882987E-3</v>
      </c>
    </row>
    <row r="9855" spans="6:7" x14ac:dyDescent="0.25">
      <c r="F9855">
        <v>9852</v>
      </c>
      <c r="G9855">
        <f ca="1">_xlfn.NORM.INV(RAND(),$M$7,$M$8)</f>
        <v>6.1656742396604472E-3</v>
      </c>
    </row>
    <row r="9856" spans="6:7" x14ac:dyDescent="0.25">
      <c r="F9856">
        <v>9853</v>
      </c>
      <c r="G9856">
        <f ca="1">_xlfn.NORM.INV(RAND(),$M$7,$M$8)</f>
        <v>3.9819922490436484E-2</v>
      </c>
    </row>
    <row r="9857" spans="6:7" x14ac:dyDescent="0.25">
      <c r="F9857">
        <v>9854</v>
      </c>
      <c r="G9857">
        <f ca="1">_xlfn.NORM.INV(RAND(),$M$7,$M$8)</f>
        <v>1.271760741879548E-2</v>
      </c>
    </row>
    <row r="9858" spans="6:7" x14ac:dyDescent="0.25">
      <c r="F9858">
        <v>9855</v>
      </c>
      <c r="G9858">
        <f ca="1">_xlfn.NORM.INV(RAND(),$M$7,$M$8)</f>
        <v>5.8735917755503558E-3</v>
      </c>
    </row>
    <row r="9859" spans="6:7" x14ac:dyDescent="0.25">
      <c r="F9859">
        <v>9856</v>
      </c>
      <c r="G9859">
        <f ca="1">_xlfn.NORM.INV(RAND(),$M$7,$M$8)</f>
        <v>8.0443135774873643E-3</v>
      </c>
    </row>
    <row r="9860" spans="6:7" x14ac:dyDescent="0.25">
      <c r="F9860">
        <v>9857</v>
      </c>
      <c r="G9860">
        <f ca="1">_xlfn.NORM.INV(RAND(),$M$7,$M$8)</f>
        <v>3.5061517848513898E-2</v>
      </c>
    </row>
    <row r="9861" spans="6:7" x14ac:dyDescent="0.25">
      <c r="F9861">
        <v>9858</v>
      </c>
      <c r="G9861">
        <f ca="1">_xlfn.NORM.INV(RAND(),$M$7,$M$8)</f>
        <v>-1.5914282147327312E-2</v>
      </c>
    </row>
    <row r="9862" spans="6:7" x14ac:dyDescent="0.25">
      <c r="F9862">
        <v>9859</v>
      </c>
      <c r="G9862">
        <f ca="1">_xlfn.NORM.INV(RAND(),$M$7,$M$8)</f>
        <v>-8.7615434690202412E-3</v>
      </c>
    </row>
    <row r="9863" spans="6:7" x14ac:dyDescent="0.25">
      <c r="F9863">
        <v>9860</v>
      </c>
      <c r="G9863">
        <f ca="1">_xlfn.NORM.INV(RAND(),$M$7,$M$8)</f>
        <v>2.7747948449714403E-2</v>
      </c>
    </row>
    <row r="9864" spans="6:7" x14ac:dyDescent="0.25">
      <c r="F9864">
        <v>9861</v>
      </c>
      <c r="G9864">
        <f ca="1">_xlfn.NORM.INV(RAND(),$M$7,$M$8)</f>
        <v>-2.9551543798971933E-2</v>
      </c>
    </row>
    <row r="9865" spans="6:7" x14ac:dyDescent="0.25">
      <c r="F9865">
        <v>9862</v>
      </c>
      <c r="G9865">
        <f ca="1">_xlfn.NORM.INV(RAND(),$M$7,$M$8)</f>
        <v>4.3405648999049144E-3</v>
      </c>
    </row>
    <row r="9866" spans="6:7" x14ac:dyDescent="0.25">
      <c r="F9866">
        <v>9863</v>
      </c>
      <c r="G9866">
        <f ca="1">_xlfn.NORM.INV(RAND(),$M$7,$M$8)</f>
        <v>1.5695007473471925E-2</v>
      </c>
    </row>
    <row r="9867" spans="6:7" x14ac:dyDescent="0.25">
      <c r="F9867">
        <v>9864</v>
      </c>
      <c r="G9867">
        <f ca="1">_xlfn.NORM.INV(RAND(),$M$7,$M$8)</f>
        <v>3.9214836091016558E-2</v>
      </c>
    </row>
    <row r="9868" spans="6:7" x14ac:dyDescent="0.25">
      <c r="F9868">
        <v>9865</v>
      </c>
      <c r="G9868">
        <f ca="1">_xlfn.NORM.INV(RAND(),$M$7,$M$8)</f>
        <v>-1.8596309145553425E-2</v>
      </c>
    </row>
    <row r="9869" spans="6:7" x14ac:dyDescent="0.25">
      <c r="F9869">
        <v>9866</v>
      </c>
      <c r="G9869">
        <f ca="1">_xlfn.NORM.INV(RAND(),$M$7,$M$8)</f>
        <v>-1.0627326800668385E-2</v>
      </c>
    </row>
    <row r="9870" spans="6:7" x14ac:dyDescent="0.25">
      <c r="F9870">
        <v>9867</v>
      </c>
      <c r="G9870">
        <f ca="1">_xlfn.NORM.INV(RAND(),$M$7,$M$8)</f>
        <v>1.8496273147759257E-2</v>
      </c>
    </row>
    <row r="9871" spans="6:7" x14ac:dyDescent="0.25">
      <c r="F9871">
        <v>9868</v>
      </c>
      <c r="G9871">
        <f ca="1">_xlfn.NORM.INV(RAND(),$M$7,$M$8)</f>
        <v>-7.880312174320437E-3</v>
      </c>
    </row>
    <row r="9872" spans="6:7" x14ac:dyDescent="0.25">
      <c r="F9872">
        <v>9869</v>
      </c>
      <c r="G9872">
        <f ca="1">_xlfn.NORM.INV(RAND(),$M$7,$M$8)</f>
        <v>-2.676628235662663E-2</v>
      </c>
    </row>
    <row r="9873" spans="6:7" x14ac:dyDescent="0.25">
      <c r="F9873">
        <v>9870</v>
      </c>
      <c r="G9873">
        <f ca="1">_xlfn.NORM.INV(RAND(),$M$7,$M$8)</f>
        <v>-6.3706665090457228E-3</v>
      </c>
    </row>
    <row r="9874" spans="6:7" x14ac:dyDescent="0.25">
      <c r="F9874">
        <v>9871</v>
      </c>
      <c r="G9874">
        <f ca="1">_xlfn.NORM.INV(RAND(),$M$7,$M$8)</f>
        <v>-3.8139628563608973E-3</v>
      </c>
    </row>
    <row r="9875" spans="6:7" x14ac:dyDescent="0.25">
      <c r="F9875">
        <v>9872</v>
      </c>
      <c r="G9875">
        <f ca="1">_xlfn.NORM.INV(RAND(),$M$7,$M$8)</f>
        <v>1.8440909221982939E-4</v>
      </c>
    </row>
    <row r="9876" spans="6:7" x14ac:dyDescent="0.25">
      <c r="F9876">
        <v>9873</v>
      </c>
      <c r="G9876">
        <f ca="1">_xlfn.NORM.INV(RAND(),$M$7,$M$8)</f>
        <v>-1.4257371898720594E-2</v>
      </c>
    </row>
    <row r="9877" spans="6:7" x14ac:dyDescent="0.25">
      <c r="F9877">
        <v>9874</v>
      </c>
      <c r="G9877">
        <f ca="1">_xlfn.NORM.INV(RAND(),$M$7,$M$8)</f>
        <v>2.0439205930839994E-2</v>
      </c>
    </row>
    <row r="9878" spans="6:7" x14ac:dyDescent="0.25">
      <c r="F9878">
        <v>9875</v>
      </c>
      <c r="G9878">
        <f ca="1">_xlfn.NORM.INV(RAND(),$M$7,$M$8)</f>
        <v>-3.5427214173927177E-2</v>
      </c>
    </row>
    <row r="9879" spans="6:7" x14ac:dyDescent="0.25">
      <c r="F9879">
        <v>9876</v>
      </c>
      <c r="G9879">
        <f ca="1">_xlfn.NORM.INV(RAND(),$M$7,$M$8)</f>
        <v>4.4487413998083661E-2</v>
      </c>
    </row>
    <row r="9880" spans="6:7" x14ac:dyDescent="0.25">
      <c r="F9880">
        <v>9877</v>
      </c>
      <c r="G9880">
        <f ca="1">_xlfn.NORM.INV(RAND(),$M$7,$M$8)</f>
        <v>-8.4864596245125008E-3</v>
      </c>
    </row>
    <row r="9881" spans="6:7" x14ac:dyDescent="0.25">
      <c r="F9881">
        <v>9878</v>
      </c>
      <c r="G9881">
        <f ca="1">_xlfn.NORM.INV(RAND(),$M$7,$M$8)</f>
        <v>2.9339526540510714E-2</v>
      </c>
    </row>
    <row r="9882" spans="6:7" x14ac:dyDescent="0.25">
      <c r="F9882">
        <v>9879</v>
      </c>
      <c r="G9882">
        <f ca="1">_xlfn.NORM.INV(RAND(),$M$7,$M$8)</f>
        <v>1.1849968713464099E-2</v>
      </c>
    </row>
    <row r="9883" spans="6:7" x14ac:dyDescent="0.25">
      <c r="F9883">
        <v>9880</v>
      </c>
      <c r="G9883">
        <f ca="1">_xlfn.NORM.INV(RAND(),$M$7,$M$8)</f>
        <v>1.2380511009964982E-2</v>
      </c>
    </row>
    <row r="9884" spans="6:7" x14ac:dyDescent="0.25">
      <c r="F9884">
        <v>9881</v>
      </c>
      <c r="G9884">
        <f ca="1">_xlfn.NORM.INV(RAND(),$M$7,$M$8)</f>
        <v>4.466600196498749E-3</v>
      </c>
    </row>
    <row r="9885" spans="6:7" x14ac:dyDescent="0.25">
      <c r="F9885">
        <v>9882</v>
      </c>
      <c r="G9885">
        <f ca="1">_xlfn.NORM.INV(RAND(),$M$7,$M$8)</f>
        <v>5.2529391907677053E-2</v>
      </c>
    </row>
    <row r="9886" spans="6:7" x14ac:dyDescent="0.25">
      <c r="F9886">
        <v>9883</v>
      </c>
      <c r="G9886">
        <f ca="1">_xlfn.NORM.INV(RAND(),$M$7,$M$8)</f>
        <v>8.876538515611529E-3</v>
      </c>
    </row>
    <row r="9887" spans="6:7" x14ac:dyDescent="0.25">
      <c r="F9887">
        <v>9884</v>
      </c>
      <c r="G9887">
        <f ca="1">_xlfn.NORM.INV(RAND(),$M$7,$M$8)</f>
        <v>4.2366104690678419E-2</v>
      </c>
    </row>
    <row r="9888" spans="6:7" x14ac:dyDescent="0.25">
      <c r="F9888">
        <v>9885</v>
      </c>
      <c r="G9888">
        <f ca="1">_xlfn.NORM.INV(RAND(),$M$7,$M$8)</f>
        <v>8.5481505544023964E-3</v>
      </c>
    </row>
    <row r="9889" spans="6:7" x14ac:dyDescent="0.25">
      <c r="F9889">
        <v>9886</v>
      </c>
      <c r="G9889">
        <f ca="1">_xlfn.NORM.INV(RAND(),$M$7,$M$8)</f>
        <v>3.7386014241772833E-2</v>
      </c>
    </row>
    <row r="9890" spans="6:7" x14ac:dyDescent="0.25">
      <c r="F9890">
        <v>9887</v>
      </c>
      <c r="G9890">
        <f ca="1">_xlfn.NORM.INV(RAND(),$M$7,$M$8)</f>
        <v>7.1823613612772598E-3</v>
      </c>
    </row>
    <row r="9891" spans="6:7" x14ac:dyDescent="0.25">
      <c r="F9891">
        <v>9888</v>
      </c>
      <c r="G9891">
        <f ca="1">_xlfn.NORM.INV(RAND(),$M$7,$M$8)</f>
        <v>7.3531545690377186E-3</v>
      </c>
    </row>
    <row r="9892" spans="6:7" x14ac:dyDescent="0.25">
      <c r="F9892">
        <v>9889</v>
      </c>
      <c r="G9892">
        <f ca="1">_xlfn.NORM.INV(RAND(),$M$7,$M$8)</f>
        <v>-7.2631040245746815E-4</v>
      </c>
    </row>
    <row r="9893" spans="6:7" x14ac:dyDescent="0.25">
      <c r="F9893">
        <v>9890</v>
      </c>
      <c r="G9893">
        <f ca="1">_xlfn.NORM.INV(RAND(),$M$7,$M$8)</f>
        <v>-4.1665998756387872E-3</v>
      </c>
    </row>
    <row r="9894" spans="6:7" x14ac:dyDescent="0.25">
      <c r="F9894">
        <v>9891</v>
      </c>
      <c r="G9894">
        <f ca="1">_xlfn.NORM.INV(RAND(),$M$7,$M$8)</f>
        <v>-2.2343161783472731E-2</v>
      </c>
    </row>
    <row r="9895" spans="6:7" x14ac:dyDescent="0.25">
      <c r="F9895">
        <v>9892</v>
      </c>
      <c r="G9895">
        <f ca="1">_xlfn.NORM.INV(RAND(),$M$7,$M$8)</f>
        <v>9.388651186945313E-3</v>
      </c>
    </row>
    <row r="9896" spans="6:7" x14ac:dyDescent="0.25">
      <c r="F9896">
        <v>9893</v>
      </c>
      <c r="G9896">
        <f ca="1">_xlfn.NORM.INV(RAND(),$M$7,$M$8)</f>
        <v>-1.5605851779274708E-2</v>
      </c>
    </row>
    <row r="9897" spans="6:7" x14ac:dyDescent="0.25">
      <c r="F9897">
        <v>9894</v>
      </c>
      <c r="G9897">
        <f ca="1">_xlfn.NORM.INV(RAND(),$M$7,$M$8)</f>
        <v>-5.1458556123008966E-4</v>
      </c>
    </row>
    <row r="9898" spans="6:7" x14ac:dyDescent="0.25">
      <c r="F9898">
        <v>9895</v>
      </c>
      <c r="G9898">
        <f ca="1">_xlfn.NORM.INV(RAND(),$M$7,$M$8)</f>
        <v>1.0322887888314007E-2</v>
      </c>
    </row>
    <row r="9899" spans="6:7" x14ac:dyDescent="0.25">
      <c r="F9899">
        <v>9896</v>
      </c>
      <c r="G9899">
        <f ca="1">_xlfn.NORM.INV(RAND(),$M$7,$M$8)</f>
        <v>1.2834511675042369E-2</v>
      </c>
    </row>
    <row r="9900" spans="6:7" x14ac:dyDescent="0.25">
      <c r="F9900">
        <v>9897</v>
      </c>
      <c r="G9900">
        <f ca="1">_xlfn.NORM.INV(RAND(),$M$7,$M$8)</f>
        <v>-6.5223870749741859E-3</v>
      </c>
    </row>
    <row r="9901" spans="6:7" x14ac:dyDescent="0.25">
      <c r="F9901">
        <v>9898</v>
      </c>
      <c r="G9901">
        <f ca="1">_xlfn.NORM.INV(RAND(),$M$7,$M$8)</f>
        <v>1.3801934011718356E-2</v>
      </c>
    </row>
    <row r="9902" spans="6:7" x14ac:dyDescent="0.25">
      <c r="F9902">
        <v>9899</v>
      </c>
      <c r="G9902">
        <f ca="1">_xlfn.NORM.INV(RAND(),$M$7,$M$8)</f>
        <v>-9.1771714105089892E-3</v>
      </c>
    </row>
    <row r="9903" spans="6:7" x14ac:dyDescent="0.25">
      <c r="F9903">
        <v>9900</v>
      </c>
      <c r="G9903">
        <f ca="1">_xlfn.NORM.INV(RAND(),$M$7,$M$8)</f>
        <v>-1.6743380489697882E-2</v>
      </c>
    </row>
    <row r="9904" spans="6:7" x14ac:dyDescent="0.25">
      <c r="F9904">
        <v>9901</v>
      </c>
      <c r="G9904">
        <f ca="1">_xlfn.NORM.INV(RAND(),$M$7,$M$8)</f>
        <v>-6.1795062879362473E-3</v>
      </c>
    </row>
    <row r="9905" spans="6:7" x14ac:dyDescent="0.25">
      <c r="F9905">
        <v>9902</v>
      </c>
      <c r="G9905">
        <f ca="1">_xlfn.NORM.INV(RAND(),$M$7,$M$8)</f>
        <v>-1.9231462530856148E-2</v>
      </c>
    </row>
    <row r="9906" spans="6:7" x14ac:dyDescent="0.25">
      <c r="F9906">
        <v>9903</v>
      </c>
      <c r="G9906">
        <f ca="1">_xlfn.NORM.INV(RAND(),$M$7,$M$8)</f>
        <v>4.4176515820999442E-4</v>
      </c>
    </row>
    <row r="9907" spans="6:7" x14ac:dyDescent="0.25">
      <c r="F9907">
        <v>9904</v>
      </c>
      <c r="G9907">
        <f ca="1">_xlfn.NORM.INV(RAND(),$M$7,$M$8)</f>
        <v>-2.9691654917908011E-2</v>
      </c>
    </row>
    <row r="9908" spans="6:7" x14ac:dyDescent="0.25">
      <c r="F9908">
        <v>9905</v>
      </c>
      <c r="G9908">
        <f ca="1">_xlfn.NORM.INV(RAND(),$M$7,$M$8)</f>
        <v>5.0144803906222446E-3</v>
      </c>
    </row>
    <row r="9909" spans="6:7" x14ac:dyDescent="0.25">
      <c r="F9909">
        <v>9906</v>
      </c>
      <c r="G9909">
        <f ca="1">_xlfn.NORM.INV(RAND(),$M$7,$M$8)</f>
        <v>2.2865299823983519E-2</v>
      </c>
    </row>
    <row r="9910" spans="6:7" x14ac:dyDescent="0.25">
      <c r="F9910">
        <v>9907</v>
      </c>
      <c r="G9910">
        <f ca="1">_xlfn.NORM.INV(RAND(),$M$7,$M$8)</f>
        <v>8.0089610902664404E-3</v>
      </c>
    </row>
    <row r="9911" spans="6:7" x14ac:dyDescent="0.25">
      <c r="F9911">
        <v>9908</v>
      </c>
      <c r="G9911">
        <f ca="1">_xlfn.NORM.INV(RAND(),$M$7,$M$8)</f>
        <v>8.701463288519392E-3</v>
      </c>
    </row>
    <row r="9912" spans="6:7" x14ac:dyDescent="0.25">
      <c r="F9912">
        <v>9909</v>
      </c>
      <c r="G9912">
        <f ca="1">_xlfn.NORM.INV(RAND(),$M$7,$M$8)</f>
        <v>1.9033485562966693E-2</v>
      </c>
    </row>
    <row r="9913" spans="6:7" x14ac:dyDescent="0.25">
      <c r="F9913">
        <v>9910</v>
      </c>
      <c r="G9913">
        <f ca="1">_xlfn.NORM.INV(RAND(),$M$7,$M$8)</f>
        <v>-2.4781252762659176E-2</v>
      </c>
    </row>
    <row r="9914" spans="6:7" x14ac:dyDescent="0.25">
      <c r="F9914">
        <v>9911</v>
      </c>
      <c r="G9914">
        <f ca="1">_xlfn.NORM.INV(RAND(),$M$7,$M$8)</f>
        <v>-6.5651419363702678E-3</v>
      </c>
    </row>
    <row r="9915" spans="6:7" x14ac:dyDescent="0.25">
      <c r="F9915">
        <v>9912</v>
      </c>
      <c r="G9915">
        <f ca="1">_xlfn.NORM.INV(RAND(),$M$7,$M$8)</f>
        <v>-2.3536432429170504E-2</v>
      </c>
    </row>
    <row r="9916" spans="6:7" x14ac:dyDescent="0.25">
      <c r="F9916">
        <v>9913</v>
      </c>
      <c r="G9916">
        <f ca="1">_xlfn.NORM.INV(RAND(),$M$7,$M$8)</f>
        <v>-2.9385810438404585E-2</v>
      </c>
    </row>
    <row r="9917" spans="6:7" x14ac:dyDescent="0.25">
      <c r="F9917">
        <v>9914</v>
      </c>
      <c r="G9917">
        <f ca="1">_xlfn.NORM.INV(RAND(),$M$7,$M$8)</f>
        <v>-1.2816405321110411E-3</v>
      </c>
    </row>
    <row r="9918" spans="6:7" x14ac:dyDescent="0.25">
      <c r="F9918">
        <v>9915</v>
      </c>
      <c r="G9918">
        <f ca="1">_xlfn.NORM.INV(RAND(),$M$7,$M$8)</f>
        <v>-1.7215468557256877E-2</v>
      </c>
    </row>
    <row r="9919" spans="6:7" x14ac:dyDescent="0.25">
      <c r="F9919">
        <v>9916</v>
      </c>
      <c r="G9919">
        <f ca="1">_xlfn.NORM.INV(RAND(),$M$7,$M$8)</f>
        <v>-2.1674260795066746E-2</v>
      </c>
    </row>
    <row r="9920" spans="6:7" x14ac:dyDescent="0.25">
      <c r="F9920">
        <v>9917</v>
      </c>
      <c r="G9920">
        <f ca="1">_xlfn.NORM.INV(RAND(),$M$7,$M$8)</f>
        <v>-5.9100103267129694E-2</v>
      </c>
    </row>
    <row r="9921" spans="6:7" x14ac:dyDescent="0.25">
      <c r="F9921">
        <v>9918</v>
      </c>
      <c r="G9921">
        <f ca="1">_xlfn.NORM.INV(RAND(),$M$7,$M$8)</f>
        <v>-2.7084066434036016E-2</v>
      </c>
    </row>
    <row r="9922" spans="6:7" x14ac:dyDescent="0.25">
      <c r="F9922">
        <v>9919</v>
      </c>
      <c r="G9922">
        <f ca="1">_xlfn.NORM.INV(RAND(),$M$7,$M$8)</f>
        <v>-3.0159401596010271E-2</v>
      </c>
    </row>
    <row r="9923" spans="6:7" x14ac:dyDescent="0.25">
      <c r="F9923">
        <v>9920</v>
      </c>
      <c r="G9923">
        <f ca="1">_xlfn.NORM.INV(RAND(),$M$7,$M$8)</f>
        <v>-2.1943418697707513E-2</v>
      </c>
    </row>
    <row r="9924" spans="6:7" x14ac:dyDescent="0.25">
      <c r="F9924">
        <v>9921</v>
      </c>
      <c r="G9924">
        <f ca="1">_xlfn.NORM.INV(RAND(),$M$7,$M$8)</f>
        <v>1.6258124580174907E-2</v>
      </c>
    </row>
    <row r="9925" spans="6:7" x14ac:dyDescent="0.25">
      <c r="F9925">
        <v>9922</v>
      </c>
      <c r="G9925">
        <f ca="1">_xlfn.NORM.INV(RAND(),$M$7,$M$8)</f>
        <v>1.05693976740978E-2</v>
      </c>
    </row>
    <row r="9926" spans="6:7" x14ac:dyDescent="0.25">
      <c r="F9926">
        <v>9923</v>
      </c>
      <c r="G9926">
        <f ca="1">_xlfn.NORM.INV(RAND(),$M$7,$M$8)</f>
        <v>6.7548632921227095E-3</v>
      </c>
    </row>
    <row r="9927" spans="6:7" x14ac:dyDescent="0.25">
      <c r="F9927">
        <v>9924</v>
      </c>
      <c r="G9927">
        <f ca="1">_xlfn.NORM.INV(RAND(),$M$7,$M$8)</f>
        <v>3.9014443029533699E-3</v>
      </c>
    </row>
    <row r="9928" spans="6:7" x14ac:dyDescent="0.25">
      <c r="F9928">
        <v>9925</v>
      </c>
      <c r="G9928">
        <f ca="1">_xlfn.NORM.INV(RAND(),$M$7,$M$8)</f>
        <v>1.2223565918573185E-2</v>
      </c>
    </row>
    <row r="9929" spans="6:7" x14ac:dyDescent="0.25">
      <c r="F9929">
        <v>9926</v>
      </c>
      <c r="G9929">
        <f ca="1">_xlfn.NORM.INV(RAND(),$M$7,$M$8)</f>
        <v>-2.0154128383879678E-3</v>
      </c>
    </row>
    <row r="9930" spans="6:7" x14ac:dyDescent="0.25">
      <c r="F9930">
        <v>9927</v>
      </c>
      <c r="G9930">
        <f ca="1">_xlfn.NORM.INV(RAND(),$M$7,$M$8)</f>
        <v>-2.7770012929784319E-2</v>
      </c>
    </row>
    <row r="9931" spans="6:7" x14ac:dyDescent="0.25">
      <c r="F9931">
        <v>9928</v>
      </c>
      <c r="G9931">
        <f ca="1">_xlfn.NORM.INV(RAND(),$M$7,$M$8)</f>
        <v>4.6197290275214915E-2</v>
      </c>
    </row>
    <row r="9932" spans="6:7" x14ac:dyDescent="0.25">
      <c r="F9932">
        <v>9929</v>
      </c>
      <c r="G9932">
        <f ca="1">_xlfn.NORM.INV(RAND(),$M$7,$M$8)</f>
        <v>-5.9105864134333518E-2</v>
      </c>
    </row>
    <row r="9933" spans="6:7" x14ac:dyDescent="0.25">
      <c r="F9933">
        <v>9930</v>
      </c>
      <c r="G9933">
        <f ca="1">_xlfn.NORM.INV(RAND(),$M$7,$M$8)</f>
        <v>1.7504361402364822E-2</v>
      </c>
    </row>
    <row r="9934" spans="6:7" x14ac:dyDescent="0.25">
      <c r="F9934">
        <v>9931</v>
      </c>
      <c r="G9934">
        <f ca="1">_xlfn.NORM.INV(RAND(),$M$7,$M$8)</f>
        <v>-2.1812473523167611E-3</v>
      </c>
    </row>
    <row r="9935" spans="6:7" x14ac:dyDescent="0.25">
      <c r="F9935">
        <v>9932</v>
      </c>
      <c r="G9935">
        <f ca="1">_xlfn.NORM.INV(RAND(),$M$7,$M$8)</f>
        <v>-2.5107260089673521E-2</v>
      </c>
    </row>
    <row r="9936" spans="6:7" x14ac:dyDescent="0.25">
      <c r="F9936">
        <v>9933</v>
      </c>
      <c r="G9936">
        <f ca="1">_xlfn.NORM.INV(RAND(),$M$7,$M$8)</f>
        <v>-8.8675622767098498E-4</v>
      </c>
    </row>
    <row r="9937" spans="6:7" x14ac:dyDescent="0.25">
      <c r="F9937">
        <v>9934</v>
      </c>
      <c r="G9937">
        <f ca="1">_xlfn.NORM.INV(RAND(),$M$7,$M$8)</f>
        <v>2.7713278030905755E-3</v>
      </c>
    </row>
    <row r="9938" spans="6:7" x14ac:dyDescent="0.25">
      <c r="F9938">
        <v>9935</v>
      </c>
      <c r="G9938">
        <f ca="1">_xlfn.NORM.INV(RAND(),$M$7,$M$8)</f>
        <v>-3.6830763997491286E-2</v>
      </c>
    </row>
    <row r="9939" spans="6:7" x14ac:dyDescent="0.25">
      <c r="F9939">
        <v>9936</v>
      </c>
      <c r="G9939">
        <f ca="1">_xlfn.NORM.INV(RAND(),$M$7,$M$8)</f>
        <v>3.2717497217987668E-2</v>
      </c>
    </row>
    <row r="9940" spans="6:7" x14ac:dyDescent="0.25">
      <c r="F9940">
        <v>9937</v>
      </c>
      <c r="G9940">
        <f ca="1">_xlfn.NORM.INV(RAND(),$M$7,$M$8)</f>
        <v>-3.2300038848906858E-2</v>
      </c>
    </row>
    <row r="9941" spans="6:7" x14ac:dyDescent="0.25">
      <c r="F9941">
        <v>9938</v>
      </c>
      <c r="G9941">
        <f ca="1">_xlfn.NORM.INV(RAND(),$M$7,$M$8)</f>
        <v>2.7352876928066433E-4</v>
      </c>
    </row>
    <row r="9942" spans="6:7" x14ac:dyDescent="0.25">
      <c r="F9942">
        <v>9939</v>
      </c>
      <c r="G9942">
        <f ca="1">_xlfn.NORM.INV(RAND(),$M$7,$M$8)</f>
        <v>1.8519505728281916E-2</v>
      </c>
    </row>
    <row r="9943" spans="6:7" x14ac:dyDescent="0.25">
      <c r="F9943">
        <v>9940</v>
      </c>
      <c r="G9943">
        <f ca="1">_xlfn.NORM.INV(RAND(),$M$7,$M$8)</f>
        <v>-2.944288287553876E-2</v>
      </c>
    </row>
    <row r="9944" spans="6:7" x14ac:dyDescent="0.25">
      <c r="F9944">
        <v>9941</v>
      </c>
      <c r="G9944">
        <f ca="1">_xlfn.NORM.INV(RAND(),$M$7,$M$8)</f>
        <v>-1.3370441886095217E-2</v>
      </c>
    </row>
    <row r="9945" spans="6:7" x14ac:dyDescent="0.25">
      <c r="F9945">
        <v>9942</v>
      </c>
      <c r="G9945">
        <f ca="1">_xlfn.NORM.INV(RAND(),$M$7,$M$8)</f>
        <v>-7.8338697303415167E-3</v>
      </c>
    </row>
    <row r="9946" spans="6:7" x14ac:dyDescent="0.25">
      <c r="F9946">
        <v>9943</v>
      </c>
      <c r="G9946">
        <f ca="1">_xlfn.NORM.INV(RAND(),$M$7,$M$8)</f>
        <v>1.8554408282017515E-2</v>
      </c>
    </row>
    <row r="9947" spans="6:7" x14ac:dyDescent="0.25">
      <c r="F9947">
        <v>9944</v>
      </c>
      <c r="G9947">
        <f ca="1">_xlfn.NORM.INV(RAND(),$M$7,$M$8)</f>
        <v>-1.8343795529995103E-2</v>
      </c>
    </row>
    <row r="9948" spans="6:7" x14ac:dyDescent="0.25">
      <c r="F9948">
        <v>9945</v>
      </c>
      <c r="G9948">
        <f ca="1">_xlfn.NORM.INV(RAND(),$M$7,$M$8)</f>
        <v>-7.2568790117992638E-3</v>
      </c>
    </row>
    <row r="9949" spans="6:7" x14ac:dyDescent="0.25">
      <c r="F9949">
        <v>9946</v>
      </c>
      <c r="G9949">
        <f ca="1">_xlfn.NORM.INV(RAND(),$M$7,$M$8)</f>
        <v>-2.1188309773665401E-2</v>
      </c>
    </row>
    <row r="9950" spans="6:7" x14ac:dyDescent="0.25">
      <c r="F9950">
        <v>9947</v>
      </c>
      <c r="G9950">
        <f ca="1">_xlfn.NORM.INV(RAND(),$M$7,$M$8)</f>
        <v>-5.7014613354754183E-2</v>
      </c>
    </row>
    <row r="9951" spans="6:7" x14ac:dyDescent="0.25">
      <c r="F9951">
        <v>9948</v>
      </c>
      <c r="G9951">
        <f ca="1">_xlfn.NORM.INV(RAND(),$M$7,$M$8)</f>
        <v>-2.9403573624793206E-2</v>
      </c>
    </row>
    <row r="9952" spans="6:7" x14ac:dyDescent="0.25">
      <c r="F9952">
        <v>9949</v>
      </c>
      <c r="G9952">
        <f ca="1">_xlfn.NORM.INV(RAND(),$M$7,$M$8)</f>
        <v>1.616626601429277E-2</v>
      </c>
    </row>
    <row r="9953" spans="6:7" x14ac:dyDescent="0.25">
      <c r="F9953">
        <v>9950</v>
      </c>
      <c r="G9953">
        <f ca="1">_xlfn.NORM.INV(RAND(),$M$7,$M$8)</f>
        <v>7.8342377077619679E-3</v>
      </c>
    </row>
    <row r="9954" spans="6:7" x14ac:dyDescent="0.25">
      <c r="F9954">
        <v>9951</v>
      </c>
      <c r="G9954">
        <f ca="1">_xlfn.NORM.INV(RAND(),$M$7,$M$8)</f>
        <v>3.5433044197865811E-2</v>
      </c>
    </row>
    <row r="9955" spans="6:7" x14ac:dyDescent="0.25">
      <c r="F9955">
        <v>9952</v>
      </c>
      <c r="G9955">
        <f ca="1">_xlfn.NORM.INV(RAND(),$M$7,$M$8)</f>
        <v>-2.6147141077343596E-2</v>
      </c>
    </row>
    <row r="9956" spans="6:7" x14ac:dyDescent="0.25">
      <c r="F9956">
        <v>9953</v>
      </c>
      <c r="G9956">
        <f ca="1">_xlfn.NORM.INV(RAND(),$M$7,$M$8)</f>
        <v>2.7575463680163188E-2</v>
      </c>
    </row>
    <row r="9957" spans="6:7" x14ac:dyDescent="0.25">
      <c r="F9957">
        <v>9954</v>
      </c>
      <c r="G9957">
        <f ca="1">_xlfn.NORM.INV(RAND(),$M$7,$M$8)</f>
        <v>-3.7157730088736816E-2</v>
      </c>
    </row>
    <row r="9958" spans="6:7" x14ac:dyDescent="0.25">
      <c r="F9958">
        <v>9955</v>
      </c>
      <c r="G9958">
        <f ca="1">_xlfn.NORM.INV(RAND(),$M$7,$M$8)</f>
        <v>-7.8927864704636599E-3</v>
      </c>
    </row>
    <row r="9959" spans="6:7" x14ac:dyDescent="0.25">
      <c r="F9959">
        <v>9956</v>
      </c>
      <c r="G9959">
        <f ca="1">_xlfn.NORM.INV(RAND(),$M$7,$M$8)</f>
        <v>2.7887568623401419E-2</v>
      </c>
    </row>
    <row r="9960" spans="6:7" x14ac:dyDescent="0.25">
      <c r="F9960">
        <v>9957</v>
      </c>
      <c r="G9960">
        <f ca="1">_xlfn.NORM.INV(RAND(),$M$7,$M$8)</f>
        <v>-3.2913137813002688E-2</v>
      </c>
    </row>
    <row r="9961" spans="6:7" x14ac:dyDescent="0.25">
      <c r="F9961">
        <v>9958</v>
      </c>
      <c r="G9961">
        <f ca="1">_xlfn.NORM.INV(RAND(),$M$7,$M$8)</f>
        <v>9.2949389044248657E-3</v>
      </c>
    </row>
    <row r="9962" spans="6:7" x14ac:dyDescent="0.25">
      <c r="F9962">
        <v>9959</v>
      </c>
      <c r="G9962">
        <f ca="1">_xlfn.NORM.INV(RAND(),$M$7,$M$8)</f>
        <v>-1.1849728446902843E-2</v>
      </c>
    </row>
    <row r="9963" spans="6:7" x14ac:dyDescent="0.25">
      <c r="F9963">
        <v>9960</v>
      </c>
      <c r="G9963">
        <f ca="1">_xlfn.NORM.INV(RAND(),$M$7,$M$8)</f>
        <v>2.1122737740181353E-2</v>
      </c>
    </row>
    <row r="9964" spans="6:7" x14ac:dyDescent="0.25">
      <c r="F9964">
        <v>9961</v>
      </c>
      <c r="G9964">
        <f ca="1">_xlfn.NORM.INV(RAND(),$M$7,$M$8)</f>
        <v>1.1811330513775397E-2</v>
      </c>
    </row>
    <row r="9965" spans="6:7" x14ac:dyDescent="0.25">
      <c r="F9965">
        <v>9962</v>
      </c>
      <c r="G9965">
        <f ca="1">_xlfn.NORM.INV(RAND(),$M$7,$M$8)</f>
        <v>1.0655920867341072E-2</v>
      </c>
    </row>
    <row r="9966" spans="6:7" x14ac:dyDescent="0.25">
      <c r="F9966">
        <v>9963</v>
      </c>
      <c r="G9966">
        <f ca="1">_xlfn.NORM.INV(RAND(),$M$7,$M$8)</f>
        <v>1.8988408397143393E-2</v>
      </c>
    </row>
    <row r="9967" spans="6:7" x14ac:dyDescent="0.25">
      <c r="F9967">
        <v>9964</v>
      </c>
      <c r="G9967">
        <f ca="1">_xlfn.NORM.INV(RAND(),$M$7,$M$8)</f>
        <v>1.0345633955891591E-2</v>
      </c>
    </row>
    <row r="9968" spans="6:7" x14ac:dyDescent="0.25">
      <c r="F9968">
        <v>9965</v>
      </c>
      <c r="G9968">
        <f ca="1">_xlfn.NORM.INV(RAND(),$M$7,$M$8)</f>
        <v>1.1646549338486488E-3</v>
      </c>
    </row>
    <row r="9969" spans="6:7" x14ac:dyDescent="0.25">
      <c r="F9969">
        <v>9966</v>
      </c>
      <c r="G9969">
        <f ca="1">_xlfn.NORM.INV(RAND(),$M$7,$M$8)</f>
        <v>-4.9063472138689106E-3</v>
      </c>
    </row>
    <row r="9970" spans="6:7" x14ac:dyDescent="0.25">
      <c r="F9970">
        <v>9967</v>
      </c>
      <c r="G9970">
        <f ca="1">_xlfn.NORM.INV(RAND(),$M$7,$M$8)</f>
        <v>-3.1901951433455215E-3</v>
      </c>
    </row>
    <row r="9971" spans="6:7" x14ac:dyDescent="0.25">
      <c r="F9971">
        <v>9968</v>
      </c>
      <c r="G9971">
        <f ca="1">_xlfn.NORM.INV(RAND(),$M$7,$M$8)</f>
        <v>-2.0267294860448468E-2</v>
      </c>
    </row>
    <row r="9972" spans="6:7" x14ac:dyDescent="0.25">
      <c r="F9972">
        <v>9969</v>
      </c>
      <c r="G9972">
        <f ca="1">_xlfn.NORM.INV(RAND(),$M$7,$M$8)</f>
        <v>-3.8777072669738975E-2</v>
      </c>
    </row>
    <row r="9973" spans="6:7" x14ac:dyDescent="0.25">
      <c r="F9973">
        <v>9970</v>
      </c>
      <c r="G9973">
        <f ca="1">_xlfn.NORM.INV(RAND(),$M$7,$M$8)</f>
        <v>1.3190464721774578E-2</v>
      </c>
    </row>
    <row r="9974" spans="6:7" x14ac:dyDescent="0.25">
      <c r="F9974">
        <v>9971</v>
      </c>
      <c r="G9974">
        <f ca="1">_xlfn.NORM.INV(RAND(),$M$7,$M$8)</f>
        <v>-4.5535041537162174E-2</v>
      </c>
    </row>
    <row r="9975" spans="6:7" x14ac:dyDescent="0.25">
      <c r="F9975">
        <v>9972</v>
      </c>
      <c r="G9975">
        <f ca="1">_xlfn.NORM.INV(RAND(),$M$7,$M$8)</f>
        <v>1.6918553732026751E-2</v>
      </c>
    </row>
    <row r="9976" spans="6:7" x14ac:dyDescent="0.25">
      <c r="F9976">
        <v>9973</v>
      </c>
      <c r="G9976">
        <f ca="1">_xlfn.NORM.INV(RAND(),$M$7,$M$8)</f>
        <v>3.0950165570374461E-2</v>
      </c>
    </row>
    <row r="9977" spans="6:7" x14ac:dyDescent="0.25">
      <c r="F9977">
        <v>9974</v>
      </c>
      <c r="G9977">
        <f ca="1">_xlfn.NORM.INV(RAND(),$M$7,$M$8)</f>
        <v>8.7901823141624015E-3</v>
      </c>
    </row>
    <row r="9978" spans="6:7" x14ac:dyDescent="0.25">
      <c r="F9978">
        <v>9975</v>
      </c>
      <c r="G9978">
        <f ca="1">_xlfn.NORM.INV(RAND(),$M$7,$M$8)</f>
        <v>2.7595949128682094E-2</v>
      </c>
    </row>
    <row r="9979" spans="6:7" x14ac:dyDescent="0.25">
      <c r="F9979">
        <v>9976</v>
      </c>
      <c r="G9979">
        <f ca="1">_xlfn.NORM.INV(RAND(),$M$7,$M$8)</f>
        <v>2.7766218297657137E-2</v>
      </c>
    </row>
    <row r="9980" spans="6:7" x14ac:dyDescent="0.25">
      <c r="F9980">
        <v>9977</v>
      </c>
      <c r="G9980">
        <f ca="1">_xlfn.NORM.INV(RAND(),$M$7,$M$8)</f>
        <v>2.1797746305308231E-3</v>
      </c>
    </row>
    <row r="9981" spans="6:7" x14ac:dyDescent="0.25">
      <c r="F9981">
        <v>9978</v>
      </c>
      <c r="G9981">
        <f ca="1">_xlfn.NORM.INV(RAND(),$M$7,$M$8)</f>
        <v>-1.0909458409543694E-2</v>
      </c>
    </row>
    <row r="9982" spans="6:7" x14ac:dyDescent="0.25">
      <c r="F9982">
        <v>9979</v>
      </c>
      <c r="G9982">
        <f ca="1">_xlfn.NORM.INV(RAND(),$M$7,$M$8)</f>
        <v>-3.1467124049810173E-3</v>
      </c>
    </row>
    <row r="9983" spans="6:7" x14ac:dyDescent="0.25">
      <c r="F9983">
        <v>9980</v>
      </c>
      <c r="G9983">
        <f ca="1">_xlfn.NORM.INV(RAND(),$M$7,$M$8)</f>
        <v>1.4389855136111653E-2</v>
      </c>
    </row>
    <row r="9984" spans="6:7" x14ac:dyDescent="0.25">
      <c r="F9984">
        <v>9981</v>
      </c>
      <c r="G9984">
        <f ca="1">_xlfn.NORM.INV(RAND(),$M$7,$M$8)</f>
        <v>-7.4292788906501327E-3</v>
      </c>
    </row>
    <row r="9985" spans="6:7" x14ac:dyDescent="0.25">
      <c r="F9985">
        <v>9982</v>
      </c>
      <c r="G9985">
        <f ca="1">_xlfn.NORM.INV(RAND(),$M$7,$M$8)</f>
        <v>-2.9856477734219518E-2</v>
      </c>
    </row>
    <row r="9986" spans="6:7" x14ac:dyDescent="0.25">
      <c r="F9986">
        <v>9983</v>
      </c>
      <c r="G9986">
        <f ca="1">_xlfn.NORM.INV(RAND(),$M$7,$M$8)</f>
        <v>-2.6570931977185304E-2</v>
      </c>
    </row>
    <row r="9987" spans="6:7" x14ac:dyDescent="0.25">
      <c r="F9987">
        <v>9984</v>
      </c>
      <c r="G9987">
        <f ca="1">_xlfn.NORM.INV(RAND(),$M$7,$M$8)</f>
        <v>3.025890006639937E-2</v>
      </c>
    </row>
    <row r="9988" spans="6:7" x14ac:dyDescent="0.25">
      <c r="F9988">
        <v>9985</v>
      </c>
      <c r="G9988">
        <f ca="1">_xlfn.NORM.INV(RAND(),$M$7,$M$8)</f>
        <v>3.0423670064770057E-2</v>
      </c>
    </row>
    <row r="9989" spans="6:7" x14ac:dyDescent="0.25">
      <c r="F9989">
        <v>9986</v>
      </c>
      <c r="G9989">
        <f ca="1">_xlfn.NORM.INV(RAND(),$M$7,$M$8)</f>
        <v>-8.5001047436730152E-3</v>
      </c>
    </row>
    <row r="9990" spans="6:7" x14ac:dyDescent="0.25">
      <c r="F9990">
        <v>9987</v>
      </c>
      <c r="G9990">
        <f ca="1">_xlfn.NORM.INV(RAND(),$M$7,$M$8)</f>
        <v>3.4350636510761791E-2</v>
      </c>
    </row>
    <row r="9991" spans="6:7" x14ac:dyDescent="0.25">
      <c r="F9991">
        <v>9988</v>
      </c>
      <c r="G9991">
        <f ca="1">_xlfn.NORM.INV(RAND(),$M$7,$M$8)</f>
        <v>-2.9812092263968106E-2</v>
      </c>
    </row>
    <row r="9992" spans="6:7" x14ac:dyDescent="0.25">
      <c r="F9992">
        <v>9989</v>
      </c>
      <c r="G9992">
        <f ca="1">_xlfn.NORM.INV(RAND(),$M$7,$M$8)</f>
        <v>2.3045490460080708E-2</v>
      </c>
    </row>
    <row r="9993" spans="6:7" x14ac:dyDescent="0.25">
      <c r="F9993">
        <v>9990</v>
      </c>
      <c r="G9993">
        <f ca="1">_xlfn.NORM.INV(RAND(),$M$7,$M$8)</f>
        <v>1.7435829709446026E-2</v>
      </c>
    </row>
    <row r="9994" spans="6:7" x14ac:dyDescent="0.25">
      <c r="F9994">
        <v>9991</v>
      </c>
      <c r="G9994">
        <f ca="1">_xlfn.NORM.INV(RAND(),$M$7,$M$8)</f>
        <v>-8.8613466454119851E-3</v>
      </c>
    </row>
    <row r="9995" spans="6:7" x14ac:dyDescent="0.25">
      <c r="F9995">
        <v>9992</v>
      </c>
      <c r="G9995">
        <f ca="1">_xlfn.NORM.INV(RAND(),$M$7,$M$8)</f>
        <v>-2.8842597966886263E-2</v>
      </c>
    </row>
    <row r="9996" spans="6:7" x14ac:dyDescent="0.25">
      <c r="F9996">
        <v>9993</v>
      </c>
      <c r="G9996">
        <f ca="1">_xlfn.NORM.INV(RAND(),$M$7,$M$8)</f>
        <v>3.306970212019085E-2</v>
      </c>
    </row>
    <row r="9997" spans="6:7" x14ac:dyDescent="0.25">
      <c r="F9997">
        <v>9994</v>
      </c>
      <c r="G9997">
        <f ca="1">_xlfn.NORM.INV(RAND(),$M$7,$M$8)</f>
        <v>2.8287767432089009E-2</v>
      </c>
    </row>
    <row r="9998" spans="6:7" x14ac:dyDescent="0.25">
      <c r="F9998">
        <v>9995</v>
      </c>
      <c r="G9998">
        <f ca="1">_xlfn.NORM.INV(RAND(),$M$7,$M$8)</f>
        <v>-2.4497673331507649E-2</v>
      </c>
    </row>
    <row r="9999" spans="6:7" x14ac:dyDescent="0.25">
      <c r="F9999">
        <v>9996</v>
      </c>
      <c r="G9999">
        <f ca="1">_xlfn.NORM.INV(RAND(),$M$7,$M$8)</f>
        <v>1.6034639538035321E-2</v>
      </c>
    </row>
    <row r="10000" spans="6:7" x14ac:dyDescent="0.25">
      <c r="F10000">
        <v>9997</v>
      </c>
      <c r="G10000">
        <f ca="1">_xlfn.NORM.INV(RAND(),$M$7,$M$8)</f>
        <v>1.1353025081525761E-2</v>
      </c>
    </row>
    <row r="10001" spans="6:7" x14ac:dyDescent="0.25">
      <c r="F10001">
        <v>9998</v>
      </c>
      <c r="G10001">
        <f ca="1">_xlfn.NORM.INV(RAND(),$M$7,$M$8)</f>
        <v>-2.3985304089578011E-2</v>
      </c>
    </row>
    <row r="10002" spans="6:7" x14ac:dyDescent="0.25">
      <c r="F10002">
        <v>9999</v>
      </c>
      <c r="G10002">
        <f ca="1">_xlfn.NORM.INV(RAND(),$M$7,$M$8)</f>
        <v>2.1672330941551543E-3</v>
      </c>
    </row>
    <row r="10003" spans="6:7" x14ac:dyDescent="0.25">
      <c r="F10003">
        <v>10000</v>
      </c>
      <c r="G10003">
        <f ca="1">_xlfn.NORM.INV(RAND(),$M$7,$M$8)</f>
        <v>4.0381740225903864E-2</v>
      </c>
    </row>
  </sheetData>
  <mergeCells count="1">
    <mergeCell ref="I3:M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93"/>
  <sheetViews>
    <sheetView zoomScale="120" zoomScaleNormal="120" zoomScalePageLayoutView="120" workbookViewId="0">
      <pane xSplit="1" ySplit="1" topLeftCell="B44" activePane="bottomRight" state="frozen"/>
      <selection activeCell="C4" sqref="C4"/>
      <selection pane="topRight" activeCell="C4" sqref="C4"/>
      <selection pane="bottomLeft" activeCell="C4" sqref="C4"/>
      <selection pane="bottomRight" activeCell="E17" sqref="E17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63</v>
      </c>
      <c r="E1" s="250" t="str">
        <f>IF(B2&lt;&gt;B3, "A NEW VERSION OF THE WORKSHEET IS AVAILABLE", "")</f>
        <v/>
      </c>
      <c r="F1" s="250"/>
      <c r="G1" s="250"/>
      <c r="H1" s="250"/>
      <c r="I1" s="250"/>
      <c r="J1" s="250"/>
      <c r="K1" s="250"/>
    </row>
    <row r="2" spans="1:11" x14ac:dyDescent="0.25">
      <c r="A2" s="1" t="s">
        <v>61</v>
      </c>
      <c r="B2" s="5">
        <v>2.1</v>
      </c>
      <c r="E2" s="251" t="s">
        <v>36</v>
      </c>
      <c r="F2" s="251"/>
      <c r="G2" s="251"/>
      <c r="H2" s="251"/>
      <c r="I2" s="251"/>
      <c r="J2" s="251"/>
      <c r="K2" s="251"/>
    </row>
    <row r="3" spans="1:11" x14ac:dyDescent="0.25">
      <c r="A3" s="1" t="s">
        <v>62</v>
      </c>
      <c r="B3" s="5">
        <v>2.1</v>
      </c>
    </row>
    <row r="4" spans="1:11" x14ac:dyDescent="0.25">
      <c r="A4" s="1"/>
      <c r="D4" s="5">
        <f>TRANSPOSE('Data Sheet'!B17:K17)</f>
        <v>282506.11</v>
      </c>
    </row>
    <row r="5" spans="1:11" x14ac:dyDescent="0.25">
      <c r="A5" s="1" t="s">
        <v>64</v>
      </c>
    </row>
    <row r="6" spans="1:11" x14ac:dyDescent="0.25">
      <c r="A6" s="5" t="s">
        <v>42</v>
      </c>
      <c r="B6" s="5">
        <f>IF(B9&gt;0, B9/B8, 0)</f>
        <v>1258.0285829795837</v>
      </c>
    </row>
    <row r="7" spans="1:11" x14ac:dyDescent="0.25">
      <c r="A7" s="5" t="s">
        <v>31</v>
      </c>
      <c r="B7">
        <v>5</v>
      </c>
    </row>
    <row r="8" spans="1:11" x14ac:dyDescent="0.25">
      <c r="A8" s="5" t="s">
        <v>43</v>
      </c>
      <c r="B8">
        <v>247.35</v>
      </c>
    </row>
    <row r="9" spans="1:11" x14ac:dyDescent="0.25">
      <c r="A9" s="5" t="s">
        <v>79</v>
      </c>
      <c r="B9">
        <v>311173.37</v>
      </c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42094</v>
      </c>
      <c r="C16" s="16">
        <v>42460</v>
      </c>
      <c r="D16" s="16">
        <v>42825</v>
      </c>
      <c r="E16" s="16">
        <v>43190</v>
      </c>
      <c r="F16" s="16">
        <v>43555</v>
      </c>
      <c r="G16" s="16">
        <v>43921</v>
      </c>
      <c r="H16" s="16">
        <v>44286</v>
      </c>
      <c r="I16" s="16">
        <v>44651</v>
      </c>
      <c r="J16" s="16">
        <v>45016</v>
      </c>
      <c r="K16" s="16">
        <v>45382</v>
      </c>
    </row>
    <row r="17" spans="1:11" s="9" customFormat="1" x14ac:dyDescent="0.25">
      <c r="A17" s="9" t="s">
        <v>6</v>
      </c>
      <c r="B17">
        <v>160922.64000000001</v>
      </c>
      <c r="C17">
        <v>124035.71</v>
      </c>
      <c r="D17">
        <v>282506.11</v>
      </c>
      <c r="E17">
        <v>322705.76</v>
      </c>
      <c r="F17">
        <v>421623.93</v>
      </c>
      <c r="G17">
        <v>396727.91</v>
      </c>
      <c r="H17">
        <v>303848.90999999997</v>
      </c>
      <c r="I17">
        <v>491246.24</v>
      </c>
      <c r="J17">
        <v>632291.18000000005</v>
      </c>
      <c r="K17">
        <v>591396.26</v>
      </c>
    </row>
    <row r="18" spans="1:11" s="9" customFormat="1" x14ac:dyDescent="0.25">
      <c r="A18" s="5" t="s">
        <v>80</v>
      </c>
      <c r="B18">
        <v>61912.639999999999</v>
      </c>
      <c r="C18">
        <v>36666.93</v>
      </c>
      <c r="D18">
        <v>175376.73</v>
      </c>
      <c r="E18">
        <v>202298.51</v>
      </c>
      <c r="F18">
        <v>275523.61</v>
      </c>
      <c r="G18">
        <v>269975.37</v>
      </c>
      <c r="H18">
        <v>205913.12</v>
      </c>
      <c r="I18">
        <v>225616.93</v>
      </c>
      <c r="J18">
        <v>266120.03999999998</v>
      </c>
      <c r="K18">
        <v>230469.53</v>
      </c>
    </row>
    <row r="19" spans="1:11" s="9" customFormat="1" x14ac:dyDescent="0.25">
      <c r="A19" s="5" t="s">
        <v>81</v>
      </c>
      <c r="B19">
        <v>-1722.92</v>
      </c>
      <c r="C19">
        <v>-756.02</v>
      </c>
      <c r="D19">
        <v>4784.6899999999996</v>
      </c>
      <c r="E19">
        <v>8.17</v>
      </c>
      <c r="F19">
        <v>3095.62</v>
      </c>
      <c r="G19">
        <v>-1145.56</v>
      </c>
      <c r="H19">
        <v>10047.09</v>
      </c>
      <c r="I19">
        <v>2303.0700000000002</v>
      </c>
      <c r="J19">
        <v>-2566.08</v>
      </c>
      <c r="K19">
        <v>4433.93</v>
      </c>
    </row>
    <row r="20" spans="1:11" s="9" customFormat="1" x14ac:dyDescent="0.25">
      <c r="A20" s="5" t="s">
        <v>82</v>
      </c>
      <c r="B20">
        <v>876.3</v>
      </c>
      <c r="C20">
        <v>1182.3800000000001</v>
      </c>
      <c r="D20">
        <v>1957.93</v>
      </c>
      <c r="E20">
        <v>2177.5</v>
      </c>
      <c r="F20">
        <v>2139.73</v>
      </c>
      <c r="G20">
        <v>2078.92</v>
      </c>
      <c r="H20">
        <v>1980.44</v>
      </c>
      <c r="I20">
        <v>2239.16</v>
      </c>
      <c r="J20">
        <v>2174.44</v>
      </c>
      <c r="K20">
        <v>3018.32</v>
      </c>
    </row>
    <row r="21" spans="1:11" s="9" customFormat="1" x14ac:dyDescent="0.25">
      <c r="A21" s="5" t="s">
        <v>83</v>
      </c>
      <c r="B21">
        <v>8171.9</v>
      </c>
      <c r="C21">
        <v>9085.9500000000007</v>
      </c>
      <c r="D21">
        <v>16260.06</v>
      </c>
      <c r="E21">
        <v>18372.259999999998</v>
      </c>
      <c r="F21">
        <v>19178.34</v>
      </c>
      <c r="G21">
        <v>20949.650000000001</v>
      </c>
      <c r="H21">
        <v>19726.55</v>
      </c>
      <c r="I21">
        <v>136419.70000000001</v>
      </c>
      <c r="J21">
        <v>222102.21</v>
      </c>
      <c r="K21">
        <v>209079.88</v>
      </c>
    </row>
    <row r="22" spans="1:11" s="9" customFormat="1" x14ac:dyDescent="0.25">
      <c r="A22" s="5" t="s">
        <v>84</v>
      </c>
      <c r="B22">
        <v>9361.34</v>
      </c>
      <c r="C22">
        <v>9230.17</v>
      </c>
      <c r="D22">
        <v>15128.16</v>
      </c>
      <c r="E22">
        <v>14970.72</v>
      </c>
      <c r="F22">
        <v>15850.5</v>
      </c>
      <c r="G22">
        <v>15531.26</v>
      </c>
      <c r="H22">
        <v>14135.12</v>
      </c>
      <c r="I22">
        <v>15235.74</v>
      </c>
      <c r="J22">
        <v>14898.79</v>
      </c>
      <c r="K22">
        <v>15281.06</v>
      </c>
    </row>
    <row r="23" spans="1:11" s="9" customFormat="1" x14ac:dyDescent="0.25">
      <c r="A23" s="5" t="s">
        <v>85</v>
      </c>
      <c r="B23">
        <v>41281.42</v>
      </c>
      <c r="C23">
        <v>35735.31</v>
      </c>
      <c r="D23">
        <v>36378.9</v>
      </c>
      <c r="E23">
        <v>34331.58</v>
      </c>
      <c r="F23">
        <v>39621.440000000002</v>
      </c>
      <c r="G23">
        <v>29357.66</v>
      </c>
      <c r="H23">
        <v>23004.080000000002</v>
      </c>
      <c r="I23">
        <v>36347.61</v>
      </c>
      <c r="J23">
        <v>44365.47</v>
      </c>
      <c r="K23">
        <v>38145.51</v>
      </c>
    </row>
    <row r="24" spans="1:11" s="9" customFormat="1" x14ac:dyDescent="0.25">
      <c r="A24" s="5" t="s">
        <v>86</v>
      </c>
      <c r="B24">
        <v>-4716.2</v>
      </c>
      <c r="C24">
        <v>-7755.68</v>
      </c>
      <c r="D24">
        <v>-10614.65</v>
      </c>
      <c r="E24">
        <v>-6325.7</v>
      </c>
      <c r="F24">
        <v>-2413.06</v>
      </c>
      <c r="G24">
        <v>5584.51</v>
      </c>
      <c r="H24">
        <v>-336.75</v>
      </c>
      <c r="I24">
        <v>-2183.42</v>
      </c>
      <c r="J24">
        <v>4537.16</v>
      </c>
      <c r="K24">
        <v>-2999.55</v>
      </c>
    </row>
    <row r="25" spans="1:11" s="9" customFormat="1" x14ac:dyDescent="0.25">
      <c r="A25" s="9" t="s">
        <v>9</v>
      </c>
      <c r="B25">
        <v>5954.76</v>
      </c>
      <c r="C25">
        <v>1067.26</v>
      </c>
      <c r="D25">
        <v>12724.18</v>
      </c>
      <c r="E25">
        <v>10429.39</v>
      </c>
      <c r="F25">
        <v>9567.1</v>
      </c>
      <c r="G25">
        <v>981.69</v>
      </c>
      <c r="H25">
        <v>11270.51</v>
      </c>
      <c r="I25">
        <v>6796.72</v>
      </c>
      <c r="J25">
        <v>-29.82</v>
      </c>
      <c r="K25">
        <v>12981.54</v>
      </c>
    </row>
    <row r="26" spans="1:11" s="9" customFormat="1" x14ac:dyDescent="0.25">
      <c r="A26" s="9" t="s">
        <v>10</v>
      </c>
      <c r="B26">
        <v>18032.97</v>
      </c>
      <c r="C26">
        <v>16384.060000000001</v>
      </c>
      <c r="D26">
        <v>20219.2</v>
      </c>
      <c r="E26">
        <v>23111.91</v>
      </c>
      <c r="F26">
        <v>23703.7</v>
      </c>
      <c r="G26">
        <v>26634.880000000001</v>
      </c>
      <c r="H26">
        <v>25538.47</v>
      </c>
      <c r="I26">
        <v>26883.16</v>
      </c>
      <c r="J26">
        <v>24557.06</v>
      </c>
      <c r="K26">
        <v>28762.75</v>
      </c>
    </row>
    <row r="27" spans="1:11" s="9" customFormat="1" x14ac:dyDescent="0.25">
      <c r="A27" s="9" t="s">
        <v>11</v>
      </c>
      <c r="B27">
        <v>2863.75</v>
      </c>
      <c r="C27">
        <v>3765.58</v>
      </c>
      <c r="D27">
        <v>3591.11</v>
      </c>
      <c r="E27">
        <v>4999.04</v>
      </c>
      <c r="F27">
        <v>5836.73</v>
      </c>
      <c r="G27">
        <v>7489.34</v>
      </c>
      <c r="H27">
        <v>5079.03</v>
      </c>
      <c r="I27">
        <v>5696.04</v>
      </c>
      <c r="J27">
        <v>7889.36</v>
      </c>
      <c r="K27">
        <v>10194.17</v>
      </c>
    </row>
    <row r="28" spans="1:11" s="9" customFormat="1" x14ac:dyDescent="0.25">
      <c r="A28" s="9" t="s">
        <v>12</v>
      </c>
      <c r="B28">
        <v>27370.36</v>
      </c>
      <c r="C28">
        <v>20052.25</v>
      </c>
      <c r="D28">
        <v>41717.54</v>
      </c>
      <c r="E28">
        <v>39207.5</v>
      </c>
      <c r="F28">
        <v>54845.66</v>
      </c>
      <c r="G28">
        <v>18962.45</v>
      </c>
      <c r="H28">
        <v>30126.45</v>
      </c>
      <c r="I28">
        <v>54091.11</v>
      </c>
      <c r="J28">
        <v>43050.75</v>
      </c>
      <c r="K28">
        <v>76860.06</v>
      </c>
    </row>
    <row r="29" spans="1:11" s="9" customFormat="1" x14ac:dyDescent="0.25">
      <c r="A29" s="9" t="s">
        <v>13</v>
      </c>
      <c r="B29">
        <v>9697.41</v>
      </c>
      <c r="C29">
        <v>6950.7</v>
      </c>
      <c r="D29">
        <v>12548.42</v>
      </c>
      <c r="E29">
        <v>13139.52</v>
      </c>
      <c r="F29">
        <v>20907.650000000001</v>
      </c>
      <c r="G29">
        <v>7506.19</v>
      </c>
      <c r="H29">
        <v>8766.2000000000007</v>
      </c>
      <c r="I29">
        <v>4797.04</v>
      </c>
      <c r="J29">
        <v>10273.15</v>
      </c>
      <c r="K29">
        <v>19759.23</v>
      </c>
    </row>
    <row r="30" spans="1:11" s="9" customFormat="1" x14ac:dyDescent="0.25">
      <c r="A30" s="9" t="s">
        <v>14</v>
      </c>
      <c r="B30">
        <v>18333.52</v>
      </c>
      <c r="C30">
        <v>12875.21</v>
      </c>
      <c r="D30">
        <v>24419.25</v>
      </c>
      <c r="E30">
        <v>22105.93</v>
      </c>
      <c r="F30">
        <v>30546.04</v>
      </c>
      <c r="G30">
        <v>10803.6</v>
      </c>
      <c r="H30">
        <v>16304.4</v>
      </c>
      <c r="I30">
        <v>45522.11</v>
      </c>
      <c r="J30">
        <v>35440.480000000003</v>
      </c>
      <c r="K30">
        <v>49221.38</v>
      </c>
    </row>
    <row r="31" spans="1:11" s="9" customFormat="1" x14ac:dyDescent="0.25">
      <c r="A31" s="9" t="s">
        <v>70</v>
      </c>
      <c r="B31">
        <v>8127.74</v>
      </c>
      <c r="C31">
        <v>7272.19</v>
      </c>
      <c r="D31">
        <v>9689.11</v>
      </c>
      <c r="E31">
        <v>8469.9500000000007</v>
      </c>
      <c r="F31">
        <v>8806.2099999999991</v>
      </c>
      <c r="G31">
        <v>6290.15</v>
      </c>
      <c r="H31">
        <v>4528.8999999999996</v>
      </c>
      <c r="I31">
        <v>13209.29</v>
      </c>
      <c r="J31">
        <v>14152.82</v>
      </c>
      <c r="K31">
        <v>15410.84</v>
      </c>
    </row>
    <row r="32" spans="1:11" x14ac:dyDescent="0.25">
      <c r="A32" s="5" t="s">
        <v>103</v>
      </c>
      <c r="B32" s="5">
        <f t="shared" ref="B32:K32" si="0">B30+B26+B27+B29</f>
        <v>48927.650000000009</v>
      </c>
      <c r="C32" s="5">
        <f t="shared" si="0"/>
        <v>39975.549999999996</v>
      </c>
      <c r="D32" s="5">
        <f t="shared" si="0"/>
        <v>60777.979999999996</v>
      </c>
      <c r="E32" s="5">
        <f t="shared" si="0"/>
        <v>63356.399999999994</v>
      </c>
      <c r="F32" s="5">
        <f t="shared" si="0"/>
        <v>80994.12</v>
      </c>
      <c r="G32" s="5">
        <f t="shared" si="0"/>
        <v>52434.010000000009</v>
      </c>
      <c r="H32" s="5">
        <f t="shared" si="0"/>
        <v>55688.100000000006</v>
      </c>
      <c r="I32" s="5">
        <f t="shared" si="0"/>
        <v>82898.349999999991</v>
      </c>
      <c r="J32" s="5">
        <f t="shared" si="0"/>
        <v>78160.05</v>
      </c>
      <c r="K32" s="5">
        <f t="shared" si="0"/>
        <v>107937.53</v>
      </c>
    </row>
    <row r="33" spans="1:11" x14ac:dyDescent="0.25">
      <c r="A33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44834</v>
      </c>
      <c r="C41" s="16">
        <v>44926</v>
      </c>
      <c r="D41" s="16">
        <v>45016</v>
      </c>
      <c r="E41" s="16">
        <v>45107</v>
      </c>
      <c r="F41" s="16">
        <v>45199</v>
      </c>
      <c r="G41" s="16">
        <v>45291</v>
      </c>
      <c r="H41" s="16">
        <v>45382</v>
      </c>
      <c r="I41" s="16">
        <v>45473</v>
      </c>
      <c r="J41" s="16">
        <v>45565</v>
      </c>
      <c r="K41" s="16">
        <v>45657</v>
      </c>
    </row>
    <row r="42" spans="1:11" s="9" customFormat="1" x14ac:dyDescent="0.25">
      <c r="A42" s="9" t="s">
        <v>6</v>
      </c>
      <c r="B42">
        <v>168656.12</v>
      </c>
      <c r="C42">
        <v>169212.63</v>
      </c>
      <c r="D42">
        <v>164066.72</v>
      </c>
      <c r="E42">
        <v>163823.59</v>
      </c>
      <c r="F42">
        <v>147613.68</v>
      </c>
      <c r="G42">
        <v>167356.63</v>
      </c>
      <c r="H42">
        <v>166770.63</v>
      </c>
      <c r="I42">
        <v>168024.8</v>
      </c>
      <c r="J42">
        <v>158329.1</v>
      </c>
      <c r="K42">
        <v>166096.68</v>
      </c>
    </row>
    <row r="43" spans="1:11" s="9" customFormat="1" x14ac:dyDescent="0.25">
      <c r="A43" s="9" t="s">
        <v>7</v>
      </c>
      <c r="B43">
        <v>155310.59</v>
      </c>
      <c r="C43">
        <v>147345.51999999999</v>
      </c>
      <c r="D43">
        <v>143527.29</v>
      </c>
      <c r="E43">
        <v>133028.63</v>
      </c>
      <c r="F43">
        <v>119533.64</v>
      </c>
      <c r="G43">
        <v>146996.46</v>
      </c>
      <c r="H43">
        <v>143545.42000000001</v>
      </c>
      <c r="I43">
        <v>146398.25</v>
      </c>
      <c r="J43">
        <v>137834.41</v>
      </c>
      <c r="K43">
        <v>141818.62</v>
      </c>
    </row>
    <row r="44" spans="1:11" s="9" customFormat="1" x14ac:dyDescent="0.25">
      <c r="A44" s="9" t="s">
        <v>9</v>
      </c>
      <c r="B44">
        <v>2314.59</v>
      </c>
      <c r="C44">
        <v>2807.3</v>
      </c>
      <c r="D44">
        <v>-4786.26</v>
      </c>
      <c r="E44">
        <v>3069.28</v>
      </c>
      <c r="F44">
        <v>3672.87</v>
      </c>
      <c r="G44">
        <v>4299.03</v>
      </c>
      <c r="H44">
        <v>2548.87</v>
      </c>
      <c r="I44">
        <v>3615.38</v>
      </c>
      <c r="J44">
        <v>4163.42</v>
      </c>
      <c r="K44">
        <v>2411.09</v>
      </c>
    </row>
    <row r="45" spans="1:11" s="9" customFormat="1" x14ac:dyDescent="0.25">
      <c r="A45" s="9" t="s">
        <v>10</v>
      </c>
      <c r="B45">
        <v>4442.76</v>
      </c>
      <c r="C45">
        <v>6784.01</v>
      </c>
      <c r="D45">
        <v>6743.59</v>
      </c>
      <c r="E45">
        <v>7078.28</v>
      </c>
      <c r="F45">
        <v>7078.57</v>
      </c>
      <c r="G45">
        <v>7494.27</v>
      </c>
      <c r="H45">
        <v>7862.89</v>
      </c>
      <c r="I45">
        <v>8456.43</v>
      </c>
      <c r="J45">
        <v>8209.01</v>
      </c>
      <c r="K45">
        <v>9497.2199999999993</v>
      </c>
    </row>
    <row r="46" spans="1:11" s="9" customFormat="1" x14ac:dyDescent="0.25">
      <c r="A46" s="9" t="s">
        <v>11</v>
      </c>
      <c r="B46">
        <v>1992.94</v>
      </c>
      <c r="C46">
        <v>2188.4299999999998</v>
      </c>
      <c r="D46">
        <v>2068.11</v>
      </c>
      <c r="E46">
        <v>2363.94</v>
      </c>
      <c r="F46">
        <v>3243.32</v>
      </c>
      <c r="G46">
        <v>3203.18</v>
      </c>
      <c r="H46">
        <v>2682.77</v>
      </c>
      <c r="I46">
        <v>3615.9</v>
      </c>
      <c r="J46">
        <v>3748.99</v>
      </c>
      <c r="K46">
        <v>3669.74</v>
      </c>
    </row>
    <row r="47" spans="1:11" s="9" customFormat="1" x14ac:dyDescent="0.25">
      <c r="A47" s="9" t="s">
        <v>12</v>
      </c>
      <c r="B47">
        <v>9224.42</v>
      </c>
      <c r="C47">
        <v>15701.97</v>
      </c>
      <c r="D47">
        <v>6941.47</v>
      </c>
      <c r="E47">
        <v>24422.02</v>
      </c>
      <c r="F47">
        <v>21431.02</v>
      </c>
      <c r="G47">
        <v>13961.75</v>
      </c>
      <c r="H47">
        <v>15228.42</v>
      </c>
      <c r="I47">
        <v>13169.6</v>
      </c>
      <c r="J47">
        <v>12700.11</v>
      </c>
      <c r="K47">
        <v>13522.19</v>
      </c>
    </row>
    <row r="48" spans="1:11" s="9" customFormat="1" x14ac:dyDescent="0.25">
      <c r="A48" s="9" t="s">
        <v>13</v>
      </c>
      <c r="B48">
        <v>2394.2600000000002</v>
      </c>
      <c r="C48">
        <v>4036.73</v>
      </c>
      <c r="D48">
        <v>463.24</v>
      </c>
      <c r="E48">
        <v>6528.54</v>
      </c>
      <c r="F48">
        <v>5259.72</v>
      </c>
      <c r="G48">
        <v>3450.52</v>
      </c>
      <c r="H48">
        <v>3701.89</v>
      </c>
      <c r="I48">
        <v>3359.42</v>
      </c>
      <c r="J48">
        <v>2821.67</v>
      </c>
      <c r="K48">
        <v>3738.55</v>
      </c>
    </row>
    <row r="49" spans="1:11" s="9" customFormat="1" x14ac:dyDescent="0.25">
      <c r="A49" s="9" t="s">
        <v>14</v>
      </c>
      <c r="B49">
        <v>8299.3700000000008</v>
      </c>
      <c r="C49">
        <v>11488.99</v>
      </c>
      <c r="D49">
        <v>4492.25</v>
      </c>
      <c r="E49">
        <v>14644.43</v>
      </c>
      <c r="F49">
        <v>13703.38</v>
      </c>
      <c r="G49">
        <v>10703.17</v>
      </c>
      <c r="H49">
        <v>10107.36</v>
      </c>
      <c r="I49">
        <v>10008.6</v>
      </c>
      <c r="J49">
        <v>10272.5</v>
      </c>
      <c r="K49">
        <v>8621.69</v>
      </c>
    </row>
    <row r="50" spans="1:11" x14ac:dyDescent="0.25">
      <c r="A50" s="9" t="s">
        <v>8</v>
      </c>
      <c r="B50">
        <v>13345.53</v>
      </c>
      <c r="C50">
        <v>21867.11</v>
      </c>
      <c r="D50">
        <v>20539.43</v>
      </c>
      <c r="E50">
        <v>30794.959999999999</v>
      </c>
      <c r="F50">
        <v>28080.04</v>
      </c>
      <c r="G50">
        <v>20360.169999999998</v>
      </c>
      <c r="H50">
        <v>23225.21</v>
      </c>
      <c r="I50">
        <v>21626.55</v>
      </c>
      <c r="J50">
        <v>20494.689999999999</v>
      </c>
      <c r="K50">
        <v>24278.06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42094</v>
      </c>
      <c r="C56" s="16">
        <v>42460</v>
      </c>
      <c r="D56" s="16">
        <v>42825</v>
      </c>
      <c r="E56" s="16">
        <v>43190</v>
      </c>
      <c r="F56" s="16">
        <v>43555</v>
      </c>
      <c r="G56" s="16">
        <v>43921</v>
      </c>
      <c r="H56" s="16">
        <v>44286</v>
      </c>
      <c r="I56" s="16">
        <v>44651</v>
      </c>
      <c r="J56" s="16">
        <v>45016</v>
      </c>
      <c r="K56" s="16">
        <v>45382</v>
      </c>
    </row>
    <row r="57" spans="1:11" x14ac:dyDescent="0.25">
      <c r="A57" s="9" t="s">
        <v>24</v>
      </c>
      <c r="B57">
        <v>4277.76</v>
      </c>
      <c r="C57">
        <v>4277.76</v>
      </c>
      <c r="D57">
        <v>6416.63</v>
      </c>
      <c r="E57">
        <v>6416.63</v>
      </c>
      <c r="F57">
        <v>6290.15</v>
      </c>
      <c r="G57">
        <v>6290.15</v>
      </c>
      <c r="H57">
        <v>6290.14</v>
      </c>
      <c r="I57">
        <v>6290.14</v>
      </c>
      <c r="J57">
        <v>6290.14</v>
      </c>
      <c r="K57">
        <v>6290.14</v>
      </c>
    </row>
    <row r="58" spans="1:11" x14ac:dyDescent="0.25">
      <c r="A58" s="9" t="s">
        <v>25</v>
      </c>
      <c r="B58">
        <v>176176.64000000001</v>
      </c>
      <c r="C58">
        <v>193535.88</v>
      </c>
      <c r="D58">
        <v>187968.59</v>
      </c>
      <c r="E58">
        <v>197602.3</v>
      </c>
      <c r="F58">
        <v>210644.5</v>
      </c>
      <c r="G58">
        <v>198814.45</v>
      </c>
      <c r="H58">
        <v>214690.85</v>
      </c>
      <c r="I58">
        <v>253212.77</v>
      </c>
      <c r="J58">
        <v>274357.15999999997</v>
      </c>
      <c r="K58">
        <v>330780.09000000003</v>
      </c>
    </row>
    <row r="59" spans="1:11" x14ac:dyDescent="0.25">
      <c r="A59" s="9" t="s">
        <v>71</v>
      </c>
      <c r="B59">
        <v>53944.47</v>
      </c>
      <c r="C59">
        <v>45500.17</v>
      </c>
      <c r="D59">
        <v>80029.27</v>
      </c>
      <c r="E59">
        <v>106549.94</v>
      </c>
      <c r="F59">
        <v>107741.69</v>
      </c>
      <c r="G59">
        <v>129472.52</v>
      </c>
      <c r="H59">
        <v>133186.92000000001</v>
      </c>
      <c r="I59">
        <v>121985.86</v>
      </c>
      <c r="J59">
        <v>142254.81</v>
      </c>
      <c r="K59">
        <v>153180.53</v>
      </c>
    </row>
    <row r="60" spans="1:11" x14ac:dyDescent="0.25">
      <c r="A60" s="9" t="s">
        <v>72</v>
      </c>
      <c r="B60">
        <v>103447.69</v>
      </c>
      <c r="C60">
        <v>98458.57</v>
      </c>
      <c r="D60">
        <v>170110.83</v>
      </c>
      <c r="E60">
        <v>148663.53</v>
      </c>
      <c r="F60">
        <v>167666.95000000001</v>
      </c>
      <c r="G60">
        <v>173786.92</v>
      </c>
      <c r="H60">
        <v>187579.74</v>
      </c>
      <c r="I60">
        <v>201770.75</v>
      </c>
      <c r="J60">
        <v>190212.41</v>
      </c>
      <c r="K60">
        <v>219523.17</v>
      </c>
    </row>
    <row r="61" spans="1:11" s="1" customFormat="1" x14ac:dyDescent="0.25">
      <c r="A61" s="1" t="s">
        <v>26</v>
      </c>
      <c r="B61">
        <v>337846.56</v>
      </c>
      <c r="C61">
        <v>341772.38</v>
      </c>
      <c r="D61">
        <v>444525.32</v>
      </c>
      <c r="E61">
        <v>459232.4</v>
      </c>
      <c r="F61">
        <v>492343.29</v>
      </c>
      <c r="G61">
        <v>508364.04</v>
      </c>
      <c r="H61">
        <v>541747.65</v>
      </c>
      <c r="I61">
        <v>583259.52</v>
      </c>
      <c r="J61">
        <v>613114.52</v>
      </c>
      <c r="K61">
        <v>709773.93</v>
      </c>
    </row>
    <row r="62" spans="1:11" x14ac:dyDescent="0.25">
      <c r="A62" s="9" t="s">
        <v>27</v>
      </c>
      <c r="B62">
        <v>179932.96</v>
      </c>
      <c r="C62">
        <v>166276.73000000001</v>
      </c>
      <c r="D62">
        <v>211125.43</v>
      </c>
      <c r="E62">
        <v>226057.68</v>
      </c>
      <c r="F62">
        <v>230390.7</v>
      </c>
      <c r="G62">
        <v>243891.96</v>
      </c>
      <c r="H62">
        <v>243746.36</v>
      </c>
      <c r="I62">
        <v>254402.17</v>
      </c>
      <c r="J62">
        <v>250819.44</v>
      </c>
      <c r="K62">
        <v>298454.36</v>
      </c>
    </row>
    <row r="63" spans="1:11" x14ac:dyDescent="0.25">
      <c r="A63" s="9" t="s">
        <v>28</v>
      </c>
      <c r="B63">
        <v>63393.37</v>
      </c>
      <c r="C63">
        <v>57668.480000000003</v>
      </c>
      <c r="D63">
        <v>59042.48</v>
      </c>
      <c r="E63">
        <v>61511.87</v>
      </c>
      <c r="F63">
        <v>69056.44</v>
      </c>
      <c r="G63">
        <v>83832.399999999994</v>
      </c>
      <c r="H63">
        <v>100308.82</v>
      </c>
      <c r="I63">
        <v>106719.23</v>
      </c>
      <c r="J63">
        <v>113944.61</v>
      </c>
      <c r="K63">
        <v>116021.68</v>
      </c>
    </row>
    <row r="64" spans="1:11" x14ac:dyDescent="0.25">
      <c r="A64" s="9" t="s">
        <v>29</v>
      </c>
      <c r="B64">
        <v>4749.1400000000003</v>
      </c>
      <c r="C64">
        <v>33386.85</v>
      </c>
      <c r="D64">
        <v>70745.67</v>
      </c>
      <c r="E64">
        <v>67334.61</v>
      </c>
      <c r="F64">
        <v>66908.92</v>
      </c>
      <c r="G64">
        <v>56755.18</v>
      </c>
      <c r="H64">
        <v>60320.36</v>
      </c>
      <c r="I64">
        <v>66642.14</v>
      </c>
      <c r="J64">
        <v>78872.61</v>
      </c>
      <c r="K64">
        <v>102207.2</v>
      </c>
    </row>
    <row r="65" spans="1:11" x14ac:dyDescent="0.25">
      <c r="A65" s="9" t="s">
        <v>73</v>
      </c>
      <c r="B65">
        <v>89771.09</v>
      </c>
      <c r="C65">
        <v>84440.320000000007</v>
      </c>
      <c r="D65">
        <v>103611.74</v>
      </c>
      <c r="E65">
        <v>104328.24</v>
      </c>
      <c r="F65">
        <v>125987.23</v>
      </c>
      <c r="G65">
        <v>123884.5</v>
      </c>
      <c r="H65">
        <v>137372.10999999999</v>
      </c>
      <c r="I65">
        <v>155495.98000000001</v>
      </c>
      <c r="J65">
        <v>169477.86</v>
      </c>
      <c r="K65">
        <v>193090.69</v>
      </c>
    </row>
    <row r="66" spans="1:11" s="1" customFormat="1" x14ac:dyDescent="0.25">
      <c r="A66" s="1" t="s">
        <v>26</v>
      </c>
      <c r="B66">
        <v>337846.56</v>
      </c>
      <c r="C66">
        <v>341772.38</v>
      </c>
      <c r="D66">
        <v>444525.32</v>
      </c>
      <c r="E66">
        <v>459232.4</v>
      </c>
      <c r="F66">
        <v>492343.29</v>
      </c>
      <c r="G66">
        <v>508364.04</v>
      </c>
      <c r="H66">
        <v>541747.65</v>
      </c>
      <c r="I66">
        <v>583259.52</v>
      </c>
      <c r="J66">
        <v>613114.52</v>
      </c>
      <c r="K66">
        <v>709773.93</v>
      </c>
    </row>
    <row r="67" spans="1:11" s="9" customFormat="1" x14ac:dyDescent="0.25">
      <c r="A67" s="9" t="s">
        <v>78</v>
      </c>
      <c r="B67">
        <v>18815.82</v>
      </c>
      <c r="C67">
        <v>8331.7099999999991</v>
      </c>
      <c r="D67">
        <v>12547.12</v>
      </c>
      <c r="E67">
        <v>13899.17</v>
      </c>
      <c r="F67">
        <v>15396.46</v>
      </c>
      <c r="G67">
        <v>9173.41</v>
      </c>
      <c r="H67">
        <v>16015.83</v>
      </c>
      <c r="I67">
        <v>19187.28</v>
      </c>
      <c r="J67">
        <v>18751.580000000002</v>
      </c>
      <c r="K67">
        <v>19762.95</v>
      </c>
    </row>
    <row r="68" spans="1:11" x14ac:dyDescent="0.25">
      <c r="A68" s="9" t="s">
        <v>45</v>
      </c>
      <c r="B68">
        <v>11354.86</v>
      </c>
      <c r="C68">
        <v>10761.97</v>
      </c>
      <c r="D68">
        <v>30555.38</v>
      </c>
      <c r="E68">
        <v>31253.57</v>
      </c>
      <c r="F68">
        <v>35949.410000000003</v>
      </c>
      <c r="G68">
        <v>34065.120000000003</v>
      </c>
      <c r="H68">
        <v>45735.85</v>
      </c>
      <c r="I68">
        <v>55360.27</v>
      </c>
      <c r="J68">
        <v>45238.45</v>
      </c>
      <c r="K68">
        <v>53255.24</v>
      </c>
    </row>
    <row r="69" spans="1:11" x14ac:dyDescent="0.25">
      <c r="A69" s="5" t="s">
        <v>87</v>
      </c>
      <c r="B69">
        <v>16096.92</v>
      </c>
      <c r="C69">
        <v>24689.040000000001</v>
      </c>
      <c r="D69">
        <v>13212.64</v>
      </c>
      <c r="E69">
        <v>5062.84</v>
      </c>
      <c r="F69">
        <v>4819.66</v>
      </c>
      <c r="G69">
        <v>9640.24</v>
      </c>
      <c r="H69">
        <v>7192.26</v>
      </c>
      <c r="I69">
        <v>6840.94</v>
      </c>
      <c r="J69">
        <v>29140.33</v>
      </c>
      <c r="K69">
        <v>36689.64</v>
      </c>
    </row>
    <row r="70" spans="1:11" x14ac:dyDescent="0.25">
      <c r="A70" s="5" t="s">
        <v>74</v>
      </c>
      <c r="B70">
        <v>8555520120</v>
      </c>
      <c r="C70">
        <v>8555520120</v>
      </c>
      <c r="D70">
        <v>12833265180</v>
      </c>
      <c r="E70">
        <v>12833265180</v>
      </c>
      <c r="F70">
        <v>12580309206</v>
      </c>
      <c r="G70">
        <v>12580309206</v>
      </c>
      <c r="H70">
        <v>12580279206</v>
      </c>
      <c r="I70">
        <v>12580279206</v>
      </c>
      <c r="J70">
        <v>12580279206</v>
      </c>
      <c r="K70">
        <v>12580279206</v>
      </c>
    </row>
    <row r="71" spans="1:11" x14ac:dyDescent="0.25">
      <c r="A71" s="5" t="s">
        <v>75</v>
      </c>
      <c r="D71">
        <v>4277745060</v>
      </c>
    </row>
    <row r="72" spans="1:11" x14ac:dyDescent="0.25">
      <c r="A72" s="5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5" t="s">
        <v>73</v>
      </c>
      <c r="B74" s="5">
        <f>B65-SUM(B67:B69)</f>
        <v>43503.49</v>
      </c>
      <c r="C74" s="5">
        <f t="shared" ref="C74:K74" si="1">C65-SUM(C67:C69)</f>
        <v>40657.600000000006</v>
      </c>
      <c r="D74" s="5">
        <f t="shared" si="1"/>
        <v>47296.600000000006</v>
      </c>
      <c r="E74" s="5">
        <f t="shared" si="1"/>
        <v>54112.66</v>
      </c>
      <c r="F74" s="5">
        <f t="shared" si="1"/>
        <v>69821.7</v>
      </c>
      <c r="G74" s="5">
        <f t="shared" si="1"/>
        <v>71005.73000000001</v>
      </c>
      <c r="H74" s="5">
        <f t="shared" si="1"/>
        <v>68428.169999999984</v>
      </c>
      <c r="I74" s="5">
        <f t="shared" si="1"/>
        <v>74107.49000000002</v>
      </c>
      <c r="J74" s="5">
        <f t="shared" si="1"/>
        <v>76347.499999999985</v>
      </c>
      <c r="K74" s="5">
        <f t="shared" si="1"/>
        <v>83382.86</v>
      </c>
    </row>
    <row r="75" spans="1:11" x14ac:dyDescent="0.25">
      <c r="A75" s="9"/>
    </row>
    <row r="76" spans="1:11" x14ac:dyDescent="0.25">
      <c r="A76" s="5" t="s">
        <v>123</v>
      </c>
      <c r="B76" s="5">
        <f>B61</f>
        <v>337846.56</v>
      </c>
      <c r="C76" s="5">
        <f t="shared" ref="C76:K76" si="2">C61</f>
        <v>341772.38</v>
      </c>
      <c r="D76" s="5">
        <f t="shared" si="2"/>
        <v>444525.32</v>
      </c>
      <c r="E76" s="5">
        <f t="shared" si="2"/>
        <v>459232.4</v>
      </c>
      <c r="F76" s="5">
        <f t="shared" si="2"/>
        <v>492343.29</v>
      </c>
      <c r="G76" s="5">
        <f t="shared" si="2"/>
        <v>508364.04</v>
      </c>
      <c r="H76" s="5">
        <f t="shared" si="2"/>
        <v>541747.65</v>
      </c>
      <c r="I76" s="5">
        <f t="shared" si="2"/>
        <v>583259.52</v>
      </c>
      <c r="J76" s="5">
        <f t="shared" si="2"/>
        <v>613114.52</v>
      </c>
      <c r="K76" s="5">
        <f t="shared" si="2"/>
        <v>709773.93</v>
      </c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42094</v>
      </c>
      <c r="C81" s="16">
        <v>42460</v>
      </c>
      <c r="D81" s="16">
        <v>42825</v>
      </c>
      <c r="E81" s="16">
        <v>43190</v>
      </c>
      <c r="F81" s="16">
        <v>43555</v>
      </c>
      <c r="G81" s="16">
        <v>43921</v>
      </c>
      <c r="H81" s="16">
        <v>44286</v>
      </c>
      <c r="I81" s="16">
        <v>44651</v>
      </c>
      <c r="J81" s="16">
        <v>45016</v>
      </c>
      <c r="K81" s="16">
        <v>45382</v>
      </c>
    </row>
    <row r="82" spans="1:11" s="1" customFormat="1" x14ac:dyDescent="0.25">
      <c r="A82" s="9" t="s">
        <v>32</v>
      </c>
      <c r="B82">
        <v>33950.42</v>
      </c>
      <c r="C82">
        <v>46292.49</v>
      </c>
      <c r="D82">
        <v>45780.480000000003</v>
      </c>
      <c r="E82">
        <v>56792.1</v>
      </c>
      <c r="F82">
        <v>61457.599999999999</v>
      </c>
      <c r="G82">
        <v>70592.98</v>
      </c>
      <c r="H82">
        <v>47185.19</v>
      </c>
      <c r="I82">
        <v>78248.25</v>
      </c>
      <c r="J82">
        <v>86062.1</v>
      </c>
      <c r="K82">
        <v>99262.69</v>
      </c>
    </row>
    <row r="83" spans="1:11" s="9" customFormat="1" x14ac:dyDescent="0.25">
      <c r="A83" s="9" t="s">
        <v>33</v>
      </c>
      <c r="B83">
        <v>-30058.33</v>
      </c>
      <c r="C83">
        <v>-38255.870000000003</v>
      </c>
      <c r="D83">
        <v>-43814.55</v>
      </c>
      <c r="E83">
        <v>-66798.14</v>
      </c>
      <c r="F83">
        <v>-37131.629999999997</v>
      </c>
      <c r="G83">
        <v>-53159.05</v>
      </c>
      <c r="H83">
        <v>-39141.15</v>
      </c>
      <c r="I83">
        <v>-41197.15</v>
      </c>
      <c r="J83">
        <v>-74689.86</v>
      </c>
      <c r="K83">
        <v>-57203.42</v>
      </c>
    </row>
    <row r="84" spans="1:11" s="9" customFormat="1" x14ac:dyDescent="0.25">
      <c r="A84" s="9" t="s">
        <v>34</v>
      </c>
      <c r="B84">
        <v>-10640.78</v>
      </c>
      <c r="C84">
        <v>-8972</v>
      </c>
      <c r="D84">
        <v>-1867.05</v>
      </c>
      <c r="E84">
        <v>9909.36</v>
      </c>
      <c r="F84">
        <v>-23324.5</v>
      </c>
      <c r="G84">
        <v>-16726.36</v>
      </c>
      <c r="H84">
        <v>-8239.48</v>
      </c>
      <c r="I84">
        <v>-35790.019999999997</v>
      </c>
      <c r="J84">
        <v>-12876.23</v>
      </c>
      <c r="K84">
        <v>-45650.29</v>
      </c>
    </row>
    <row r="85" spans="1:11" s="1" customFormat="1" x14ac:dyDescent="0.25">
      <c r="A85" s="9" t="s">
        <v>35</v>
      </c>
      <c r="B85">
        <v>-6748.68</v>
      </c>
      <c r="C85">
        <v>-935.38</v>
      </c>
      <c r="D85">
        <v>98.87</v>
      </c>
      <c r="E85">
        <v>-96.69</v>
      </c>
      <c r="F85">
        <v>1001.47</v>
      </c>
      <c r="G85">
        <v>707.57</v>
      </c>
      <c r="H85">
        <v>-195.44</v>
      </c>
      <c r="I85">
        <v>1261.0899999999999</v>
      </c>
      <c r="J85">
        <v>-1503.98</v>
      </c>
      <c r="K85">
        <v>-3591.02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77</v>
      </c>
      <c r="B90">
        <v>204.23</v>
      </c>
      <c r="C90">
        <v>142.72999999999999</v>
      </c>
      <c r="D90">
        <v>185</v>
      </c>
      <c r="E90">
        <v>177.8</v>
      </c>
      <c r="F90">
        <v>159.75</v>
      </c>
      <c r="G90">
        <v>68.3</v>
      </c>
      <c r="H90">
        <v>102.15</v>
      </c>
      <c r="I90">
        <v>163.9</v>
      </c>
      <c r="J90">
        <v>151.05000000000001</v>
      </c>
      <c r="K90">
        <v>268.05</v>
      </c>
    </row>
    <row r="92" spans="1:11" s="1" customFormat="1" x14ac:dyDescent="0.25">
      <c r="A92" s="1" t="s">
        <v>76</v>
      </c>
    </row>
    <row r="93" spans="1:11" x14ac:dyDescent="0.25">
      <c r="A93" s="5" t="s">
        <v>89</v>
      </c>
      <c r="B93" s="31">
        <v>1283.32</v>
      </c>
      <c r="C93" s="31">
        <v>1283.32</v>
      </c>
      <c r="D93" s="31">
        <v>1283.32</v>
      </c>
      <c r="E93" s="31">
        <v>1283.32</v>
      </c>
      <c r="F93" s="31">
        <v>1258.03</v>
      </c>
      <c r="G93" s="31">
        <v>1258.03</v>
      </c>
      <c r="H93" s="31">
        <v>1258.03</v>
      </c>
      <c r="I93" s="31">
        <v>1258.03</v>
      </c>
      <c r="J93" s="31">
        <v>1258.03</v>
      </c>
      <c r="K93" s="31">
        <v>1258.03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7"/>
  <sheetViews>
    <sheetView showGridLines="0" topLeftCell="A32" zoomScale="115" zoomScaleNormal="115" workbookViewId="0">
      <selection activeCell="B8" sqref="B8:I13"/>
    </sheetView>
  </sheetViews>
  <sheetFormatPr defaultRowHeight="15" x14ac:dyDescent="0.25"/>
  <cols>
    <col min="1" max="1" width="1.85546875" customWidth="1"/>
    <col min="2" max="2" width="36.28515625" customWidth="1"/>
  </cols>
  <sheetData>
    <row r="2" spans="2:9" ht="42.75" customHeight="1" x14ac:dyDescent="0.25">
      <c r="B2" s="262" t="str">
        <f>'Data Sheet'!B1</f>
        <v>OIL &amp; NATURAL GAS CORPN LTD</v>
      </c>
      <c r="C2" s="262"/>
      <c r="D2" s="262"/>
      <c r="E2" s="262"/>
    </row>
    <row r="3" spans="2:9" x14ac:dyDescent="0.25">
      <c r="B3" s="263" t="s">
        <v>444</v>
      </c>
      <c r="C3" s="119"/>
      <c r="D3" s="119"/>
      <c r="E3" s="119"/>
    </row>
    <row r="4" spans="2:9" x14ac:dyDescent="0.25">
      <c r="B4" s="121" t="s">
        <v>446</v>
      </c>
      <c r="C4" s="119"/>
      <c r="D4" s="119"/>
      <c r="E4" s="119"/>
    </row>
    <row r="5" spans="2:9" ht="15.75" thickBot="1" x14ac:dyDescent="0.3">
      <c r="B5" s="264" t="s">
        <v>445</v>
      </c>
      <c r="C5" s="264"/>
      <c r="D5" s="264"/>
      <c r="E5" s="264"/>
      <c r="F5" s="159"/>
      <c r="G5" s="159"/>
      <c r="H5" s="159"/>
      <c r="I5" s="159"/>
    </row>
    <row r="6" spans="2:9" ht="6" customHeight="1" x14ac:dyDescent="0.25"/>
    <row r="7" spans="2:9" ht="15.75" x14ac:dyDescent="0.25">
      <c r="B7" s="271" t="s">
        <v>447</v>
      </c>
    </row>
    <row r="8" spans="2:9" ht="15.75" customHeight="1" x14ac:dyDescent="0.25">
      <c r="B8" s="266" t="s">
        <v>448</v>
      </c>
      <c r="C8" s="266"/>
      <c r="D8" s="266"/>
      <c r="E8" s="266"/>
      <c r="F8" s="266"/>
      <c r="G8" s="266"/>
      <c r="H8" s="266"/>
      <c r="I8" s="266"/>
    </row>
    <row r="9" spans="2:9" x14ac:dyDescent="0.25">
      <c r="B9" s="266"/>
      <c r="C9" s="266"/>
      <c r="D9" s="266"/>
      <c r="E9" s="266"/>
      <c r="F9" s="266"/>
      <c r="G9" s="266"/>
      <c r="H9" s="266"/>
      <c r="I9" s="266"/>
    </row>
    <row r="10" spans="2:9" x14ac:dyDescent="0.25">
      <c r="B10" s="266"/>
      <c r="C10" s="266"/>
      <c r="D10" s="266"/>
      <c r="E10" s="266"/>
      <c r="F10" s="266"/>
      <c r="G10" s="266"/>
      <c r="H10" s="266"/>
      <c r="I10" s="266"/>
    </row>
    <row r="11" spans="2:9" x14ac:dyDescent="0.25">
      <c r="B11" s="266"/>
      <c r="C11" s="266"/>
      <c r="D11" s="266"/>
      <c r="E11" s="266"/>
      <c r="F11" s="266"/>
      <c r="G11" s="266"/>
      <c r="H11" s="266"/>
      <c r="I11" s="266"/>
    </row>
    <row r="12" spans="2:9" x14ac:dyDescent="0.25">
      <c r="B12" s="266"/>
      <c r="C12" s="266"/>
      <c r="D12" s="266"/>
      <c r="E12" s="266"/>
      <c r="F12" s="266"/>
      <c r="G12" s="266"/>
      <c r="H12" s="266"/>
      <c r="I12" s="266"/>
    </row>
    <row r="13" spans="2:9" x14ac:dyDescent="0.25">
      <c r="B13" s="266"/>
      <c r="C13" s="266"/>
      <c r="D13" s="266"/>
      <c r="E13" s="266"/>
      <c r="F13" s="266"/>
      <c r="G13" s="266"/>
      <c r="H13" s="266"/>
      <c r="I13" s="266"/>
    </row>
    <row r="14" spans="2:9" ht="6" customHeight="1" x14ac:dyDescent="0.25"/>
    <row r="15" spans="2:9" ht="15.75" x14ac:dyDescent="0.25">
      <c r="B15" s="265" t="s">
        <v>461</v>
      </c>
    </row>
    <row r="39" spans="2:9" ht="15.75" x14ac:dyDescent="0.25">
      <c r="B39" s="267" t="s">
        <v>449</v>
      </c>
      <c r="C39" s="267"/>
      <c r="D39" s="267"/>
      <c r="E39" s="267"/>
      <c r="F39" s="267"/>
      <c r="G39" s="267"/>
      <c r="H39" s="267"/>
      <c r="I39" s="267"/>
    </row>
    <row r="40" spans="2:9" x14ac:dyDescent="0.25">
      <c r="C40" s="268">
        <f>'Historical FS'!F3</f>
        <v>43190</v>
      </c>
      <c r="D40" s="268">
        <f>'Historical FS'!G3</f>
        <v>43555</v>
      </c>
      <c r="E40" s="268">
        <f>'Historical FS'!H3</f>
        <v>43921</v>
      </c>
      <c r="F40" s="268">
        <f>'Historical FS'!I3</f>
        <v>44286</v>
      </c>
      <c r="G40" s="268">
        <f>'Historical FS'!J3</f>
        <v>44651</v>
      </c>
      <c r="H40" s="268">
        <f>'Historical FS'!K3</f>
        <v>45016</v>
      </c>
      <c r="I40" s="268">
        <f>'Historical FS'!L3</f>
        <v>45382</v>
      </c>
    </row>
    <row r="41" spans="2:9" x14ac:dyDescent="0.25">
      <c r="B41" t="s">
        <v>113</v>
      </c>
      <c r="C41" s="50">
        <f>'Data Sheet'!E30</f>
        <v>22105.93</v>
      </c>
      <c r="D41" s="50">
        <f>'Data Sheet'!F30</f>
        <v>30546.04</v>
      </c>
      <c r="E41" s="50">
        <f>'Data Sheet'!G30</f>
        <v>10803.6</v>
      </c>
      <c r="F41" s="50">
        <f>'Data Sheet'!H30</f>
        <v>16304.4</v>
      </c>
      <c r="G41" s="50">
        <f>'Data Sheet'!I30</f>
        <v>45522.11</v>
      </c>
      <c r="H41" s="50">
        <f>'Data Sheet'!J30</f>
        <v>35440.480000000003</v>
      </c>
      <c r="I41" s="50">
        <f>'Data Sheet'!K30</f>
        <v>49221.38</v>
      </c>
    </row>
    <row r="42" spans="2:9" x14ac:dyDescent="0.25">
      <c r="B42" t="s">
        <v>450</v>
      </c>
      <c r="C42" s="50">
        <f>(('Data Sheet'!E57+'Data Sheet'!E58)+('Data Sheet'!D57+'Data Sheet'!D58))/2</f>
        <v>199202.07500000001</v>
      </c>
      <c r="D42" s="50">
        <f>(('Data Sheet'!F57+'Data Sheet'!F58)+('Data Sheet'!E57+'Data Sheet'!E58))/2</f>
        <v>210476.78999999998</v>
      </c>
      <c r="E42" s="50">
        <f>(('Data Sheet'!G57+'Data Sheet'!G58)+('Data Sheet'!F57+'Data Sheet'!F58))/2</f>
        <v>211019.625</v>
      </c>
      <c r="F42" s="50">
        <f>(('Data Sheet'!H57+'Data Sheet'!H58)+('Data Sheet'!G57+'Data Sheet'!G58))/2</f>
        <v>213042.79500000001</v>
      </c>
      <c r="G42" s="50">
        <f>(('Data Sheet'!I57+'Data Sheet'!I58)+('Data Sheet'!H57+'Data Sheet'!H58))/2</f>
        <v>240241.95</v>
      </c>
      <c r="H42" s="50">
        <f>(('Data Sheet'!J57+'Data Sheet'!J58)+('Data Sheet'!I57+'Data Sheet'!I58))/2</f>
        <v>270075.10499999998</v>
      </c>
      <c r="I42" s="50">
        <f>(('Data Sheet'!K57+'Data Sheet'!K58)+('Data Sheet'!J57+'Data Sheet'!J58))/2</f>
        <v>308858.76500000001</v>
      </c>
    </row>
    <row r="43" spans="2:9" x14ac:dyDescent="0.25">
      <c r="B43" s="39" t="s">
        <v>449</v>
      </c>
      <c r="C43" s="269">
        <f>C41/C42</f>
        <v>0.11097238821432959</v>
      </c>
      <c r="D43" s="269">
        <f t="shared" ref="D43:I43" si="0">D41/D42</f>
        <v>0.14512783095941365</v>
      </c>
      <c r="E43" s="269">
        <f t="shared" si="0"/>
        <v>5.1197133915862093E-2</v>
      </c>
      <c r="F43" s="269">
        <f t="shared" si="0"/>
        <v>7.6531102589036157E-2</v>
      </c>
      <c r="G43" s="269">
        <f t="shared" si="0"/>
        <v>0.18948443433796636</v>
      </c>
      <c r="H43" s="269">
        <f t="shared" si="0"/>
        <v>0.13122453474562198</v>
      </c>
      <c r="I43" s="269">
        <f t="shared" si="0"/>
        <v>0.15936533321306259</v>
      </c>
    </row>
    <row r="45" spans="2:9" ht="15.75" x14ac:dyDescent="0.25">
      <c r="B45" s="267" t="s">
        <v>451</v>
      </c>
      <c r="C45" s="267"/>
      <c r="D45" s="267"/>
      <c r="E45" s="267"/>
      <c r="F45" s="267"/>
      <c r="G45" s="267"/>
      <c r="H45" s="267"/>
      <c r="I45" s="267"/>
    </row>
    <row r="46" spans="2:9" x14ac:dyDescent="0.25">
      <c r="C46" s="268">
        <f>C40</f>
        <v>43190</v>
      </c>
      <c r="D46" s="268">
        <f t="shared" ref="D46:I46" si="1">D40</f>
        <v>43555</v>
      </c>
      <c r="E46" s="268">
        <f t="shared" si="1"/>
        <v>43921</v>
      </c>
      <c r="F46" s="268">
        <f t="shared" si="1"/>
        <v>44286</v>
      </c>
      <c r="G46" s="268">
        <f t="shared" si="1"/>
        <v>44651</v>
      </c>
      <c r="H46" s="268">
        <f t="shared" si="1"/>
        <v>45016</v>
      </c>
      <c r="I46" s="268">
        <f t="shared" si="1"/>
        <v>45382</v>
      </c>
    </row>
    <row r="47" spans="2:9" x14ac:dyDescent="0.25">
      <c r="B47" t="s">
        <v>113</v>
      </c>
      <c r="C47" s="50">
        <f>C41</f>
        <v>22105.93</v>
      </c>
      <c r="D47" s="50">
        <f t="shared" ref="D47:I47" si="2">D41</f>
        <v>30546.04</v>
      </c>
      <c r="E47" s="50">
        <f t="shared" si="2"/>
        <v>10803.6</v>
      </c>
      <c r="F47" s="50">
        <f t="shared" si="2"/>
        <v>16304.4</v>
      </c>
      <c r="G47" s="50">
        <f t="shared" si="2"/>
        <v>45522.11</v>
      </c>
      <c r="H47" s="50">
        <f t="shared" si="2"/>
        <v>35440.480000000003</v>
      </c>
      <c r="I47" s="50">
        <f t="shared" si="2"/>
        <v>49221.38</v>
      </c>
    </row>
    <row r="48" spans="2:9" x14ac:dyDescent="0.25">
      <c r="B48" t="s">
        <v>373</v>
      </c>
      <c r="C48" s="50">
        <f>'Data Sheet'!E17</f>
        <v>322705.76</v>
      </c>
      <c r="D48" s="50">
        <f>'Data Sheet'!F17</f>
        <v>421623.93</v>
      </c>
      <c r="E48" s="50">
        <f>'Data Sheet'!G17</f>
        <v>396727.91</v>
      </c>
      <c r="F48" s="50">
        <f>'Data Sheet'!H17</f>
        <v>303848.90999999997</v>
      </c>
      <c r="G48" s="50">
        <f>'Data Sheet'!I17</f>
        <v>491246.24</v>
      </c>
      <c r="H48" s="50">
        <f>'Data Sheet'!J17</f>
        <v>632291.18000000005</v>
      </c>
      <c r="I48" s="50">
        <f>'Data Sheet'!K17</f>
        <v>591396.26</v>
      </c>
    </row>
    <row r="49" spans="2:9" x14ac:dyDescent="0.25">
      <c r="B49" s="39" t="s">
        <v>452</v>
      </c>
      <c r="C49" s="269">
        <f>C47/C48</f>
        <v>6.8501814160367019E-2</v>
      </c>
      <c r="D49" s="269">
        <f t="shared" ref="D49" si="3">D47/D48</f>
        <v>7.2448544369860604E-2</v>
      </c>
      <c r="E49" s="269">
        <f t="shared" ref="E49" si="4">E47/E48</f>
        <v>2.7231761939814119E-2</v>
      </c>
      <c r="F49" s="269">
        <f t="shared" ref="F49" si="5">F47/F48</f>
        <v>5.3659563893120439E-2</v>
      </c>
      <c r="G49" s="269">
        <f t="shared" ref="G49" si="6">G47/G48</f>
        <v>9.2666582038368375E-2</v>
      </c>
      <c r="H49" s="269">
        <f t="shared" ref="H49" si="7">H47/H48</f>
        <v>5.6050884657287171E-2</v>
      </c>
      <c r="I49" s="269">
        <f t="shared" ref="I49" si="8">I47/I48</f>
        <v>8.3229102598653557E-2</v>
      </c>
    </row>
    <row r="51" spans="2:9" x14ac:dyDescent="0.25">
      <c r="B51" t="s">
        <v>373</v>
      </c>
      <c r="C51" s="50">
        <f>C48</f>
        <v>322705.76</v>
      </c>
      <c r="D51" s="50">
        <f t="shared" ref="D51:I51" si="9">D48</f>
        <v>421623.93</v>
      </c>
      <c r="E51" s="50">
        <f t="shared" si="9"/>
        <v>396727.91</v>
      </c>
      <c r="F51" s="50">
        <f t="shared" si="9"/>
        <v>303848.90999999997</v>
      </c>
      <c r="G51" s="50">
        <f t="shared" si="9"/>
        <v>491246.24</v>
      </c>
      <c r="H51" s="50">
        <f t="shared" si="9"/>
        <v>632291.18000000005</v>
      </c>
      <c r="I51" s="50">
        <f t="shared" si="9"/>
        <v>591396.26</v>
      </c>
    </row>
    <row r="52" spans="2:9" x14ac:dyDescent="0.25">
      <c r="B52" t="s">
        <v>453</v>
      </c>
      <c r="C52" s="50">
        <f>('Data Sheet'!D66+'Data Sheet'!E66)/2</f>
        <v>451878.86</v>
      </c>
      <c r="D52" s="50">
        <f>('Data Sheet'!E66+'Data Sheet'!F66)/2</f>
        <v>475787.84499999997</v>
      </c>
      <c r="E52" s="50">
        <f>('Data Sheet'!F66+'Data Sheet'!G66)/2</f>
        <v>500353.66499999998</v>
      </c>
      <c r="F52" s="50">
        <f>('Data Sheet'!G66+'Data Sheet'!H66)/2</f>
        <v>525055.84499999997</v>
      </c>
      <c r="G52" s="50">
        <f>('Data Sheet'!H66+'Data Sheet'!I66)/2</f>
        <v>562503.58499999996</v>
      </c>
      <c r="H52" s="50">
        <f>('Data Sheet'!I66+'Data Sheet'!J66)/2</f>
        <v>598187.02</v>
      </c>
      <c r="I52" s="50">
        <f>('Data Sheet'!J66+'Data Sheet'!K66)/2</f>
        <v>661444.22500000009</v>
      </c>
    </row>
    <row r="53" spans="2:9" x14ac:dyDescent="0.25">
      <c r="B53" s="39" t="s">
        <v>454</v>
      </c>
      <c r="C53" s="270">
        <f>C51/C52</f>
        <v>0.7141421928877133</v>
      </c>
      <c r="D53" s="270">
        <f t="shared" ref="D53:I53" si="10">D51/D52</f>
        <v>0.88615952347416527</v>
      </c>
      <c r="E53" s="270">
        <f t="shared" si="10"/>
        <v>0.79289498159267002</v>
      </c>
      <c r="F53" s="270">
        <f t="shared" si="10"/>
        <v>0.57869827160956566</v>
      </c>
      <c r="G53" s="270">
        <f t="shared" si="10"/>
        <v>0.87332108292252042</v>
      </c>
      <c r="H53" s="270">
        <f t="shared" si="10"/>
        <v>1.0570125376508503</v>
      </c>
      <c r="I53" s="270">
        <f t="shared" si="10"/>
        <v>0.89409845554249101</v>
      </c>
    </row>
    <row r="55" spans="2:9" x14ac:dyDescent="0.25">
      <c r="B55" t="s">
        <v>453</v>
      </c>
      <c r="C55" s="50">
        <f>C52</f>
        <v>451878.86</v>
      </c>
      <c r="D55" s="50">
        <f t="shared" ref="D55:I55" si="11">D52</f>
        <v>475787.84499999997</v>
      </c>
      <c r="E55" s="50">
        <f t="shared" si="11"/>
        <v>500353.66499999998</v>
      </c>
      <c r="F55" s="50">
        <f t="shared" si="11"/>
        <v>525055.84499999997</v>
      </c>
      <c r="G55" s="50">
        <f t="shared" si="11"/>
        <v>562503.58499999996</v>
      </c>
      <c r="H55" s="50">
        <f t="shared" si="11"/>
        <v>598187.02</v>
      </c>
      <c r="I55" s="50">
        <f t="shared" si="11"/>
        <v>661444.22500000009</v>
      </c>
    </row>
    <row r="56" spans="2:9" x14ac:dyDescent="0.25">
      <c r="B56" t="s">
        <v>450</v>
      </c>
      <c r="C56" s="50">
        <f t="shared" ref="C56:I56" si="12">C42</f>
        <v>199202.07500000001</v>
      </c>
      <c r="D56" s="50">
        <f t="shared" si="12"/>
        <v>210476.78999999998</v>
      </c>
      <c r="E56" s="50">
        <f t="shared" si="12"/>
        <v>211019.625</v>
      </c>
      <c r="F56" s="50">
        <f t="shared" si="12"/>
        <v>213042.79500000001</v>
      </c>
      <c r="G56" s="50">
        <f t="shared" si="12"/>
        <v>240241.95</v>
      </c>
      <c r="H56" s="50">
        <f t="shared" si="12"/>
        <v>270075.10499999998</v>
      </c>
      <c r="I56" s="50">
        <f>I42</f>
        <v>308858.76500000001</v>
      </c>
    </row>
    <row r="57" spans="2:9" x14ac:dyDescent="0.25">
      <c r="B57" s="39" t="s">
        <v>456</v>
      </c>
      <c r="C57" s="270">
        <f>C55/C56</f>
        <v>2.2684445430601059</v>
      </c>
      <c r="D57" s="270">
        <f t="shared" ref="D57:I57" si="13">D55/D56</f>
        <v>2.2605240463806009</v>
      </c>
      <c r="E57" s="270">
        <f t="shared" si="13"/>
        <v>2.3711238468933873</v>
      </c>
      <c r="F57" s="270">
        <f t="shared" si="13"/>
        <v>2.4645557480599143</v>
      </c>
      <c r="G57" s="270">
        <f t="shared" si="13"/>
        <v>2.3414045090792843</v>
      </c>
      <c r="H57" s="270">
        <f t="shared" si="13"/>
        <v>2.2148913725313557</v>
      </c>
      <c r="I57" s="270">
        <f t="shared" si="13"/>
        <v>2.1415750496833077</v>
      </c>
    </row>
    <row r="59" spans="2:9" x14ac:dyDescent="0.25">
      <c r="B59" s="39" t="s">
        <v>455</v>
      </c>
      <c r="C59" s="269">
        <f>C57*C53*C49</f>
        <v>0.11097238821432957</v>
      </c>
      <c r="D59" s="269">
        <f t="shared" ref="D59:I59" si="14">D57*D53*D49</f>
        <v>0.14512783095941362</v>
      </c>
      <c r="E59" s="269">
        <f t="shared" si="14"/>
        <v>5.11971339158621E-2</v>
      </c>
      <c r="F59" s="269">
        <f t="shared" si="14"/>
        <v>7.6531102589036171E-2</v>
      </c>
      <c r="G59" s="269">
        <f t="shared" si="14"/>
        <v>0.18948443433796636</v>
      </c>
      <c r="H59" s="269">
        <f t="shared" si="14"/>
        <v>0.13122453474562196</v>
      </c>
      <c r="I59" s="269">
        <f t="shared" si="14"/>
        <v>0.15936533321306259</v>
      </c>
    </row>
    <row r="61" spans="2:9" ht="15.75" x14ac:dyDescent="0.25">
      <c r="B61" s="267" t="s">
        <v>457</v>
      </c>
      <c r="C61" s="267"/>
      <c r="D61" s="267"/>
      <c r="E61" s="267"/>
      <c r="F61" s="267"/>
      <c r="G61" s="267"/>
      <c r="H61" s="267"/>
      <c r="I61" s="267"/>
    </row>
    <row r="62" spans="2:9" x14ac:dyDescent="0.25">
      <c r="C62" s="268">
        <f>C46</f>
        <v>43190</v>
      </c>
      <c r="D62" s="268">
        <f t="shared" ref="D62:I62" si="15">D46</f>
        <v>43555</v>
      </c>
      <c r="E62" s="268">
        <f t="shared" si="15"/>
        <v>43921</v>
      </c>
      <c r="F62" s="268">
        <f t="shared" si="15"/>
        <v>44286</v>
      </c>
      <c r="G62" s="268">
        <f t="shared" si="15"/>
        <v>44651</v>
      </c>
      <c r="H62" s="268">
        <f t="shared" si="15"/>
        <v>45016</v>
      </c>
      <c r="I62" s="268">
        <f t="shared" si="15"/>
        <v>45382</v>
      </c>
    </row>
    <row r="63" spans="2:9" x14ac:dyDescent="0.25">
      <c r="B63" t="s">
        <v>113</v>
      </c>
      <c r="C63" s="50">
        <f>C41</f>
        <v>22105.93</v>
      </c>
      <c r="D63" s="50">
        <f t="shared" ref="D63:I63" si="16">D41</f>
        <v>30546.04</v>
      </c>
      <c r="E63" s="50">
        <f t="shared" si="16"/>
        <v>10803.6</v>
      </c>
      <c r="F63" s="50">
        <f t="shared" si="16"/>
        <v>16304.4</v>
      </c>
      <c r="G63" s="50">
        <f t="shared" si="16"/>
        <v>45522.11</v>
      </c>
      <c r="H63" s="50">
        <f t="shared" si="16"/>
        <v>35440.480000000003</v>
      </c>
      <c r="I63" s="50">
        <f t="shared" si="16"/>
        <v>49221.38</v>
      </c>
    </row>
    <row r="64" spans="2:9" x14ac:dyDescent="0.25">
      <c r="B64" t="s">
        <v>458</v>
      </c>
      <c r="C64" s="50">
        <f>C52</f>
        <v>451878.86</v>
      </c>
      <c r="D64" s="50">
        <f t="shared" ref="D64:I64" si="17">D52</f>
        <v>475787.84499999997</v>
      </c>
      <c r="E64" s="50">
        <f t="shared" si="17"/>
        <v>500353.66499999998</v>
      </c>
      <c r="F64" s="50">
        <f t="shared" si="17"/>
        <v>525055.84499999997</v>
      </c>
      <c r="G64" s="50">
        <f t="shared" si="17"/>
        <v>562503.58499999996</v>
      </c>
      <c r="H64" s="50">
        <f t="shared" si="17"/>
        <v>598187.02</v>
      </c>
      <c r="I64" s="50">
        <f t="shared" si="17"/>
        <v>661444.22500000009</v>
      </c>
    </row>
    <row r="65" spans="2:9" x14ac:dyDescent="0.25">
      <c r="B65" s="39" t="s">
        <v>452</v>
      </c>
      <c r="C65" s="269">
        <f>C63/C64</f>
        <v>4.8920035781271118E-2</v>
      </c>
      <c r="D65" s="269">
        <f t="shared" ref="D65:I65" si="18">D63/D64</f>
        <v>6.4200967555192598E-2</v>
      </c>
      <c r="E65" s="269">
        <f t="shared" si="18"/>
        <v>2.1591927382004886E-2</v>
      </c>
      <c r="F65" s="269">
        <f t="shared" si="18"/>
        <v>3.105269688027185E-2</v>
      </c>
      <c r="G65" s="269">
        <f t="shared" si="18"/>
        <v>8.0927679776476455E-2</v>
      </c>
      <c r="H65" s="269">
        <f t="shared" si="18"/>
        <v>5.924648782917423E-2</v>
      </c>
      <c r="I65" s="269">
        <f t="shared" si="18"/>
        <v>7.441501208964367E-2</v>
      </c>
    </row>
    <row r="67" spans="2:9" ht="15.75" x14ac:dyDescent="0.25">
      <c r="B67" s="267" t="s">
        <v>459</v>
      </c>
      <c r="C67" s="267"/>
      <c r="D67" s="267"/>
      <c r="E67" s="267"/>
      <c r="F67" s="267"/>
      <c r="G67" s="267"/>
      <c r="H67" s="267"/>
      <c r="I67" s="267"/>
    </row>
    <row r="68" spans="2:9" x14ac:dyDescent="0.25">
      <c r="C68" s="268">
        <f>C62</f>
        <v>43190</v>
      </c>
      <c r="D68" s="268">
        <f t="shared" ref="D68:I68" si="19">D62</f>
        <v>43555</v>
      </c>
      <c r="E68" s="268">
        <f t="shared" si="19"/>
        <v>43921</v>
      </c>
      <c r="F68" s="268">
        <f t="shared" si="19"/>
        <v>44286</v>
      </c>
      <c r="G68" s="268">
        <f t="shared" si="19"/>
        <v>44651</v>
      </c>
      <c r="H68" s="268">
        <f t="shared" si="19"/>
        <v>45016</v>
      </c>
      <c r="I68" s="268">
        <f t="shared" si="19"/>
        <v>45382</v>
      </c>
    </row>
    <row r="69" spans="2:9" x14ac:dyDescent="0.25">
      <c r="B69" t="s">
        <v>113</v>
      </c>
      <c r="C69" s="50">
        <f>C63</f>
        <v>22105.93</v>
      </c>
      <c r="D69" s="50">
        <f t="shared" ref="D69:I69" si="20">D63</f>
        <v>30546.04</v>
      </c>
      <c r="E69" s="50">
        <f t="shared" si="20"/>
        <v>10803.6</v>
      </c>
      <c r="F69" s="50">
        <f t="shared" si="20"/>
        <v>16304.4</v>
      </c>
      <c r="G69" s="50">
        <f t="shared" si="20"/>
        <v>45522.11</v>
      </c>
      <c r="H69" s="50">
        <f t="shared" si="20"/>
        <v>35440.480000000003</v>
      </c>
      <c r="I69" s="50">
        <f t="shared" si="20"/>
        <v>49221.38</v>
      </c>
    </row>
    <row r="70" spans="2:9" x14ac:dyDescent="0.25">
      <c r="B70" t="s">
        <v>373</v>
      </c>
      <c r="C70" s="50">
        <f>C48</f>
        <v>322705.76</v>
      </c>
      <c r="D70" s="50">
        <f t="shared" ref="D70:I70" si="21">D48</f>
        <v>421623.93</v>
      </c>
      <c r="E70" s="50">
        <f t="shared" si="21"/>
        <v>396727.91</v>
      </c>
      <c r="F70" s="50">
        <f t="shared" si="21"/>
        <v>303848.90999999997</v>
      </c>
      <c r="G70" s="50">
        <f t="shared" si="21"/>
        <v>491246.24</v>
      </c>
      <c r="H70" s="50">
        <f t="shared" si="21"/>
        <v>632291.18000000005</v>
      </c>
      <c r="I70" s="50">
        <f t="shared" si="21"/>
        <v>591396.26</v>
      </c>
    </row>
    <row r="71" spans="2:9" x14ac:dyDescent="0.25">
      <c r="B71" s="39" t="s">
        <v>452</v>
      </c>
      <c r="C71" s="269">
        <f>C69/C70</f>
        <v>6.8501814160367019E-2</v>
      </c>
      <c r="D71" s="269">
        <f t="shared" ref="D71" si="22">D69/D70</f>
        <v>7.2448544369860604E-2</v>
      </c>
      <c r="E71" s="269">
        <f t="shared" ref="E71" si="23">E69/E70</f>
        <v>2.7231761939814119E-2</v>
      </c>
      <c r="F71" s="269">
        <f t="shared" ref="F71" si="24">F69/F70</f>
        <v>5.3659563893120439E-2</v>
      </c>
      <c r="G71" s="269">
        <f t="shared" ref="G71" si="25">G69/G70</f>
        <v>9.2666582038368375E-2</v>
      </c>
      <c r="H71" s="269">
        <f t="shared" ref="H71" si="26">H69/H70</f>
        <v>5.6050884657287171E-2</v>
      </c>
      <c r="I71" s="269">
        <f t="shared" ref="I71" si="27">I69/I70</f>
        <v>8.3229102598653557E-2</v>
      </c>
    </row>
    <row r="73" spans="2:9" x14ac:dyDescent="0.25">
      <c r="B73" t="s">
        <v>373</v>
      </c>
      <c r="C73" s="50">
        <f>C70</f>
        <v>322705.76</v>
      </c>
      <c r="D73" s="50">
        <f t="shared" ref="D73:I73" si="28">D70</f>
        <v>421623.93</v>
      </c>
      <c r="E73" s="50">
        <f t="shared" si="28"/>
        <v>396727.91</v>
      </c>
      <c r="F73" s="50">
        <f t="shared" si="28"/>
        <v>303848.90999999997</v>
      </c>
      <c r="G73" s="50">
        <f t="shared" si="28"/>
        <v>491246.24</v>
      </c>
      <c r="H73" s="50">
        <f t="shared" si="28"/>
        <v>632291.18000000005</v>
      </c>
      <c r="I73" s="50">
        <f t="shared" si="28"/>
        <v>591396.26</v>
      </c>
    </row>
    <row r="74" spans="2:9" x14ac:dyDescent="0.25">
      <c r="B74" t="s">
        <v>453</v>
      </c>
      <c r="C74" s="50">
        <f>C64</f>
        <v>451878.86</v>
      </c>
      <c r="D74" s="50">
        <f t="shared" ref="D74:I74" si="29">D64</f>
        <v>475787.84499999997</v>
      </c>
      <c r="E74" s="50">
        <f t="shared" si="29"/>
        <v>500353.66499999998</v>
      </c>
      <c r="F74" s="50">
        <f t="shared" si="29"/>
        <v>525055.84499999997</v>
      </c>
      <c r="G74" s="50">
        <f t="shared" si="29"/>
        <v>562503.58499999996</v>
      </c>
      <c r="H74" s="50">
        <f t="shared" si="29"/>
        <v>598187.02</v>
      </c>
      <c r="I74" s="50">
        <f t="shared" si="29"/>
        <v>661444.22500000009</v>
      </c>
    </row>
    <row r="75" spans="2:9" x14ac:dyDescent="0.25">
      <c r="B75" s="39" t="s">
        <v>454</v>
      </c>
      <c r="C75" s="270">
        <f>C73/C74</f>
        <v>0.7141421928877133</v>
      </c>
      <c r="D75" s="270">
        <f t="shared" ref="D75" si="30">D73/D74</f>
        <v>0.88615952347416527</v>
      </c>
      <c r="E75" s="270">
        <f t="shared" ref="E75" si="31">E73/E74</f>
        <v>0.79289498159267002</v>
      </c>
      <c r="F75" s="270">
        <f t="shared" ref="F75" si="32">F73/F74</f>
        <v>0.57869827160956566</v>
      </c>
      <c r="G75" s="270">
        <f t="shared" ref="G75" si="33">G73/G74</f>
        <v>0.87332108292252042</v>
      </c>
      <c r="H75" s="270">
        <f t="shared" ref="H75" si="34">H73/H74</f>
        <v>1.0570125376508503</v>
      </c>
      <c r="I75" s="270">
        <f t="shared" ref="I75" si="35">I73/I74</f>
        <v>0.89409845554249101</v>
      </c>
    </row>
    <row r="77" spans="2:9" x14ac:dyDescent="0.25">
      <c r="B77" s="39" t="s">
        <v>460</v>
      </c>
      <c r="C77" s="269">
        <f>C75*C71</f>
        <v>4.8920035781271111E-2</v>
      </c>
      <c r="D77" s="269">
        <f t="shared" ref="D77:I77" si="36">D75*D71</f>
        <v>6.4200967555192598E-2</v>
      </c>
      <c r="E77" s="269">
        <f t="shared" si="36"/>
        <v>2.1591927382004886E-2</v>
      </c>
      <c r="F77" s="269">
        <f t="shared" si="36"/>
        <v>3.1052696880271853E-2</v>
      </c>
      <c r="G77" s="269">
        <f t="shared" si="36"/>
        <v>8.0927679776476455E-2</v>
      </c>
      <c r="H77" s="269">
        <f t="shared" si="36"/>
        <v>5.924648782917423E-2</v>
      </c>
      <c r="I77" s="269">
        <f t="shared" si="36"/>
        <v>7.441501208964367E-2</v>
      </c>
    </row>
  </sheetData>
  <mergeCells count="5">
    <mergeCell ref="B45:I45"/>
    <mergeCell ref="B61:I61"/>
    <mergeCell ref="B67:I67"/>
    <mergeCell ref="B8:I13"/>
    <mergeCell ref="B39:I39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0"/>
  <sheetViews>
    <sheetView showGridLines="0" zoomScale="130" zoomScaleNormal="130" workbookViewId="0">
      <selection activeCell="H9" sqref="H9"/>
    </sheetView>
  </sheetViews>
  <sheetFormatPr defaultRowHeight="15" x14ac:dyDescent="0.25"/>
  <cols>
    <col min="1" max="1" width="1.85546875" customWidth="1"/>
    <col min="7" max="7" width="10.7109375" customWidth="1"/>
  </cols>
  <sheetData>
    <row r="3" spans="2:7" x14ac:dyDescent="0.25">
      <c r="B3" t="s">
        <v>359</v>
      </c>
    </row>
    <row r="4" spans="2:7" x14ac:dyDescent="0.25">
      <c r="B4" s="121" t="s">
        <v>357</v>
      </c>
      <c r="C4" s="137" t="s">
        <v>358</v>
      </c>
    </row>
    <row r="5" spans="2:7" x14ac:dyDescent="0.25">
      <c r="B5" s="119">
        <v>2000</v>
      </c>
      <c r="C5" s="57">
        <v>-0.14649999999999999</v>
      </c>
      <c r="E5" t="s">
        <v>360</v>
      </c>
      <c r="G5" s="57">
        <f>AVERAGE(C5:C29)</f>
        <v>0.15334799999999998</v>
      </c>
    </row>
    <row r="6" spans="2:7" x14ac:dyDescent="0.25">
      <c r="B6" s="119">
        <v>2001</v>
      </c>
      <c r="C6" s="57">
        <v>-0.1618</v>
      </c>
      <c r="E6" t="s">
        <v>361</v>
      </c>
      <c r="G6" s="57">
        <v>1.3899999999999999E-2</v>
      </c>
    </row>
    <row r="7" spans="2:7" x14ac:dyDescent="0.25">
      <c r="B7" s="119">
        <v>2002</v>
      </c>
      <c r="C7" s="57">
        <v>3.2500000000000001E-2</v>
      </c>
      <c r="E7" s="43" t="s">
        <v>362</v>
      </c>
      <c r="F7" s="137"/>
      <c r="G7" s="137">
        <f>G6+G5</f>
        <v>0.16724799999999998</v>
      </c>
    </row>
    <row r="8" spans="2:7" x14ac:dyDescent="0.25">
      <c r="B8" s="119">
        <v>2003</v>
      </c>
      <c r="C8" s="57">
        <v>0.71900000000000008</v>
      </c>
    </row>
    <row r="9" spans="2:7" x14ac:dyDescent="0.25">
      <c r="B9" s="119">
        <v>2004</v>
      </c>
      <c r="C9" s="57">
        <v>0.10679999999999999</v>
      </c>
    </row>
    <row r="10" spans="2:7" x14ac:dyDescent="0.25">
      <c r="B10" s="119">
        <v>2005</v>
      </c>
      <c r="C10" s="57">
        <v>0.36340000000000006</v>
      </c>
    </row>
    <row r="11" spans="2:7" x14ac:dyDescent="0.25">
      <c r="B11" s="119">
        <v>2006</v>
      </c>
      <c r="C11" s="57">
        <v>0.39829999999999999</v>
      </c>
    </row>
    <row r="12" spans="2:7" x14ac:dyDescent="0.25">
      <c r="B12" s="119">
        <v>2007</v>
      </c>
      <c r="C12" s="57">
        <v>0.54770000000000008</v>
      </c>
    </row>
    <row r="13" spans="2:7" x14ac:dyDescent="0.25">
      <c r="B13" s="119">
        <v>2008</v>
      </c>
      <c r="C13" s="57">
        <v>-0.51790000000000003</v>
      </c>
      <c r="G13" s="57"/>
    </row>
    <row r="14" spans="2:7" x14ac:dyDescent="0.25">
      <c r="B14" s="119">
        <v>2009</v>
      </c>
      <c r="C14" s="57">
        <v>0.75760000000000005</v>
      </c>
    </row>
    <row r="15" spans="2:7" x14ac:dyDescent="0.25">
      <c r="B15" s="119">
        <v>2010</v>
      </c>
      <c r="C15" s="57">
        <v>0.17949999999999999</v>
      </c>
    </row>
    <row r="16" spans="2:7" x14ac:dyDescent="0.25">
      <c r="B16" s="119">
        <v>2011</v>
      </c>
      <c r="C16" s="57">
        <v>-0.2462</v>
      </c>
    </row>
    <row r="17" spans="2:3" x14ac:dyDescent="0.25">
      <c r="B17" s="119">
        <v>2012</v>
      </c>
      <c r="C17" s="57">
        <v>0.27699999999999997</v>
      </c>
    </row>
    <row r="18" spans="2:3" x14ac:dyDescent="0.25">
      <c r="B18" s="119">
        <v>2013</v>
      </c>
      <c r="C18" s="57">
        <v>6.7599999999999993E-2</v>
      </c>
    </row>
    <row r="19" spans="2:3" x14ac:dyDescent="0.25">
      <c r="B19" s="119">
        <v>2014</v>
      </c>
      <c r="C19" s="57">
        <v>0.31390000000000001</v>
      </c>
    </row>
    <row r="20" spans="2:3" x14ac:dyDescent="0.25">
      <c r="B20" s="119">
        <v>2015</v>
      </c>
      <c r="C20" s="57">
        <v>-4.0599999999999997E-2</v>
      </c>
    </row>
    <row r="21" spans="2:3" x14ac:dyDescent="0.25">
      <c r="B21" s="119">
        <v>2016</v>
      </c>
      <c r="C21" s="57">
        <v>3.0099999999999998E-2</v>
      </c>
    </row>
    <row r="22" spans="2:3" x14ac:dyDescent="0.25">
      <c r="B22" s="119">
        <v>2017</v>
      </c>
      <c r="C22" s="57">
        <v>0.28649999999999998</v>
      </c>
    </row>
    <row r="23" spans="2:3" x14ac:dyDescent="0.25">
      <c r="B23" s="119">
        <v>2018</v>
      </c>
      <c r="C23" s="57">
        <v>3.15E-2</v>
      </c>
    </row>
    <row r="24" spans="2:3" x14ac:dyDescent="0.25">
      <c r="B24" s="119">
        <v>2019</v>
      </c>
      <c r="C24" s="57">
        <v>0.1202</v>
      </c>
    </row>
    <row r="25" spans="2:3" x14ac:dyDescent="0.25">
      <c r="B25" s="119">
        <v>2020</v>
      </c>
      <c r="C25" s="57">
        <v>0.14899999999999999</v>
      </c>
    </row>
    <row r="26" spans="2:3" x14ac:dyDescent="0.25">
      <c r="B26" s="119">
        <v>2021</v>
      </c>
      <c r="C26" s="57">
        <v>0.2412</v>
      </c>
    </row>
    <row r="27" spans="2:3" x14ac:dyDescent="0.25">
      <c r="B27" s="119">
        <v>2022</v>
      </c>
      <c r="C27" s="57">
        <v>4.3200000000000002E-2</v>
      </c>
    </row>
    <row r="28" spans="2:3" x14ac:dyDescent="0.25">
      <c r="B28" s="119">
        <v>2023</v>
      </c>
      <c r="C28" s="57">
        <v>0.19420000000000001</v>
      </c>
    </row>
    <row r="29" spans="2:3" x14ac:dyDescent="0.25">
      <c r="B29" s="119">
        <v>2024</v>
      </c>
      <c r="C29" s="57">
        <v>8.7499999999999994E-2</v>
      </c>
    </row>
    <row r="30" spans="2:3" x14ac:dyDescent="0.25">
      <c r="B30" s="119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"/>
  <sheetViews>
    <sheetView workbookViewId="0">
      <selection activeCell="J10" sqref="J10"/>
    </sheetView>
  </sheetViews>
  <sheetFormatPr defaultRowHeight="15" x14ac:dyDescent="0.25"/>
  <cols>
    <col min="3" max="3" width="15.28515625" bestFit="1" customWidth="1"/>
    <col min="4" max="4" width="9.42578125" bestFit="1" customWidth="1"/>
    <col min="5" max="5" width="16.85546875" bestFit="1" customWidth="1"/>
    <col min="6" max="6" width="16.7109375" customWidth="1"/>
    <col min="7" max="7" width="14.42578125" bestFit="1" customWidth="1"/>
    <col min="8" max="8" width="14.7109375" bestFit="1" customWidth="1"/>
    <col min="9" max="9" width="14.7109375" customWidth="1"/>
    <col min="10" max="10" width="9.7109375" bestFit="1" customWidth="1"/>
    <col min="11" max="11" width="13.28515625" bestFit="1" customWidth="1"/>
    <col min="12" max="12" width="14.42578125" bestFit="1" customWidth="1"/>
    <col min="13" max="13" width="14.28515625" bestFit="1" customWidth="1"/>
    <col min="14" max="14" width="14.140625" bestFit="1" customWidth="1"/>
    <col min="16" max="16" width="10.140625" bestFit="1" customWidth="1"/>
    <col min="17" max="17" width="14.140625" bestFit="1" customWidth="1"/>
  </cols>
  <sheetData>
    <row r="2" spans="2:17" x14ac:dyDescent="0.25">
      <c r="B2" t="s">
        <v>379</v>
      </c>
      <c r="C2" t="s">
        <v>351</v>
      </c>
      <c r="D2" t="s">
        <v>380</v>
      </c>
      <c r="E2" t="s">
        <v>381</v>
      </c>
      <c r="F2" t="s">
        <v>391</v>
      </c>
      <c r="G2" t="s">
        <v>382</v>
      </c>
      <c r="H2" t="s">
        <v>383</v>
      </c>
      <c r="I2" t="s">
        <v>396</v>
      </c>
      <c r="J2" t="s">
        <v>392</v>
      </c>
      <c r="K2" t="s">
        <v>385</v>
      </c>
      <c r="L2" t="s">
        <v>395</v>
      </c>
      <c r="M2" t="s">
        <v>386</v>
      </c>
      <c r="P2" t="s">
        <v>384</v>
      </c>
      <c r="Q2" t="s">
        <v>387</v>
      </c>
    </row>
    <row r="3" spans="2:17" x14ac:dyDescent="0.25">
      <c r="B3">
        <v>1</v>
      </c>
      <c r="C3" t="s">
        <v>353</v>
      </c>
      <c r="D3" s="105">
        <v>244.55</v>
      </c>
      <c r="E3" s="105">
        <v>1258.03</v>
      </c>
      <c r="F3" s="105">
        <f>E3*D3</f>
        <v>307651.2365</v>
      </c>
      <c r="G3" s="105">
        <v>187817.31</v>
      </c>
      <c r="H3" s="105">
        <v>27177.759999999998</v>
      </c>
      <c r="I3" s="105">
        <f>G3-H3</f>
        <v>160639.54999999999</v>
      </c>
      <c r="J3" s="105">
        <f t="shared" ref="J3:J10" si="0">F3+G3-H3</f>
        <v>468290.78649999999</v>
      </c>
      <c r="K3" s="105">
        <v>663262.31000000006</v>
      </c>
      <c r="L3" s="105">
        <f t="shared" ref="L3:L10" si="1">L13+M13</f>
        <v>102289.87</v>
      </c>
      <c r="M3" s="105">
        <v>38328.589999999997</v>
      </c>
      <c r="P3" s="105">
        <v>468465.51</v>
      </c>
      <c r="Q3" s="105">
        <v>307825.96000000002</v>
      </c>
    </row>
    <row r="4" spans="2:17" x14ac:dyDescent="0.25">
      <c r="B4">
        <v>2</v>
      </c>
      <c r="C4" t="s">
        <v>354</v>
      </c>
      <c r="D4" s="105">
        <v>431.1</v>
      </c>
      <c r="E4" s="105">
        <v>162.66</v>
      </c>
      <c r="F4" s="105">
        <f t="shared" ref="F4:F10" si="2">E4*D4</f>
        <v>70122.725999999995</v>
      </c>
      <c r="G4" s="105">
        <v>30645.24</v>
      </c>
      <c r="H4" s="105">
        <v>7197.17</v>
      </c>
      <c r="I4" s="105">
        <f t="shared" ref="I4:I10" si="3">G4-H4</f>
        <v>23448.07</v>
      </c>
      <c r="J4" s="105">
        <f t="shared" si="0"/>
        <v>93570.796000000002</v>
      </c>
      <c r="K4" s="105">
        <v>32512.48</v>
      </c>
      <c r="L4" s="105">
        <f t="shared" si="1"/>
        <v>12823.92</v>
      </c>
      <c r="M4" s="105">
        <v>7039.63</v>
      </c>
      <c r="P4" s="105">
        <v>93571.14</v>
      </c>
      <c r="Q4" s="105">
        <v>70123.070000000007</v>
      </c>
    </row>
    <row r="5" spans="2:17" x14ac:dyDescent="0.25">
      <c r="B5">
        <v>3</v>
      </c>
      <c r="C5" t="s">
        <v>355</v>
      </c>
      <c r="D5" s="105">
        <v>422.5</v>
      </c>
      <c r="E5" s="105">
        <v>6.4</v>
      </c>
      <c r="F5" s="105">
        <f t="shared" si="2"/>
        <v>2704</v>
      </c>
      <c r="G5" s="105">
        <v>205.37</v>
      </c>
      <c r="H5" s="105">
        <v>51.26</v>
      </c>
      <c r="I5" s="105">
        <f t="shared" si="3"/>
        <v>154.11000000000001</v>
      </c>
      <c r="J5" s="105">
        <f t="shared" si="0"/>
        <v>2858.1099999999997</v>
      </c>
      <c r="K5" s="105">
        <v>576.13</v>
      </c>
      <c r="L5" s="105">
        <f t="shared" si="1"/>
        <v>263.8</v>
      </c>
      <c r="M5" s="105">
        <v>-78.760000000000005</v>
      </c>
      <c r="P5" s="105">
        <v>2857.16</v>
      </c>
      <c r="Q5" s="105">
        <v>2703.05</v>
      </c>
    </row>
    <row r="6" spans="2:17" x14ac:dyDescent="0.25">
      <c r="B6">
        <v>4</v>
      </c>
      <c r="C6" t="s">
        <v>356</v>
      </c>
      <c r="D6" s="105">
        <v>182.3</v>
      </c>
      <c r="E6" s="105">
        <v>13.22</v>
      </c>
      <c r="F6" s="105">
        <f t="shared" si="2"/>
        <v>2410.0060000000003</v>
      </c>
      <c r="G6" s="105">
        <v>145.13</v>
      </c>
      <c r="H6" s="105">
        <v>68.5</v>
      </c>
      <c r="I6" s="105">
        <f t="shared" si="3"/>
        <v>76.63</v>
      </c>
      <c r="J6" s="105">
        <f t="shared" si="0"/>
        <v>2486.6360000000004</v>
      </c>
      <c r="K6" s="105">
        <v>667.09</v>
      </c>
      <c r="L6" s="105">
        <f t="shared" si="1"/>
        <v>266.07</v>
      </c>
      <c r="M6" s="105">
        <v>166.66</v>
      </c>
      <c r="P6" s="105">
        <v>2419.58</v>
      </c>
      <c r="Q6" s="105">
        <v>2410.66</v>
      </c>
    </row>
    <row r="7" spans="2:17" x14ac:dyDescent="0.25">
      <c r="B7">
        <v>5</v>
      </c>
      <c r="C7" t="s">
        <v>242</v>
      </c>
      <c r="D7" s="105">
        <v>313.25</v>
      </c>
      <c r="E7" s="105">
        <v>4.4800000000000004</v>
      </c>
      <c r="F7" s="105">
        <f t="shared" si="2"/>
        <v>1403.3600000000001</v>
      </c>
      <c r="G7" s="105">
        <v>24.07</v>
      </c>
      <c r="H7" s="105">
        <v>77.7</v>
      </c>
      <c r="I7" s="105">
        <f t="shared" si="3"/>
        <v>-53.63</v>
      </c>
      <c r="J7" s="105">
        <f t="shared" si="0"/>
        <v>1349.73</v>
      </c>
      <c r="K7" s="105">
        <v>465.04</v>
      </c>
      <c r="L7" s="105">
        <f t="shared" si="1"/>
        <v>77.710000000000008</v>
      </c>
      <c r="M7" s="105">
        <v>42.16</v>
      </c>
      <c r="P7" s="105">
        <v>1345.62</v>
      </c>
      <c r="Q7" s="105">
        <v>1399.25</v>
      </c>
    </row>
    <row r="8" spans="2:17" x14ac:dyDescent="0.25">
      <c r="B8">
        <v>6</v>
      </c>
      <c r="C8" t="s">
        <v>388</v>
      </c>
      <c r="D8" s="105">
        <v>546.4</v>
      </c>
      <c r="E8" s="105">
        <v>1.52</v>
      </c>
      <c r="F8" s="105">
        <f t="shared" si="2"/>
        <v>830.52800000000002</v>
      </c>
      <c r="G8" s="105">
        <v>4.01</v>
      </c>
      <c r="H8" s="105">
        <v>23.57</v>
      </c>
      <c r="I8" s="105">
        <f t="shared" si="3"/>
        <v>-19.560000000000002</v>
      </c>
      <c r="J8" s="105">
        <f t="shared" si="0"/>
        <v>810.96799999999996</v>
      </c>
      <c r="K8" s="105">
        <v>258.08</v>
      </c>
      <c r="L8" s="105">
        <f t="shared" si="1"/>
        <v>103.41000000000001</v>
      </c>
      <c r="M8" s="105">
        <v>73.98</v>
      </c>
      <c r="P8" s="105">
        <v>810.44</v>
      </c>
      <c r="Q8" s="105">
        <v>830</v>
      </c>
    </row>
    <row r="9" spans="2:17" x14ac:dyDescent="0.25">
      <c r="B9">
        <v>7</v>
      </c>
      <c r="C9" t="s">
        <v>389</v>
      </c>
      <c r="D9" s="105">
        <v>46.94</v>
      </c>
      <c r="E9" s="105">
        <v>12.84</v>
      </c>
      <c r="F9" s="105">
        <f t="shared" si="2"/>
        <v>602.70959999999991</v>
      </c>
      <c r="G9" s="105">
        <v>54.57</v>
      </c>
      <c r="H9" s="105">
        <v>5.45</v>
      </c>
      <c r="I9" s="105">
        <f t="shared" si="3"/>
        <v>49.12</v>
      </c>
      <c r="J9" s="105">
        <f t="shared" si="0"/>
        <v>651.82959999999991</v>
      </c>
      <c r="K9" s="105">
        <v>25.6</v>
      </c>
      <c r="L9" s="105">
        <f t="shared" si="1"/>
        <v>7.45</v>
      </c>
      <c r="M9" s="105">
        <v>-1.73</v>
      </c>
      <c r="P9" s="105">
        <v>652.26</v>
      </c>
      <c r="Q9" s="105">
        <v>602.72</v>
      </c>
    </row>
    <row r="10" spans="2:17" x14ac:dyDescent="0.25">
      <c r="B10">
        <v>8</v>
      </c>
      <c r="C10" t="s">
        <v>390</v>
      </c>
      <c r="D10" s="105">
        <v>44.18</v>
      </c>
      <c r="E10" s="105">
        <v>5.84</v>
      </c>
      <c r="F10" s="105">
        <f t="shared" si="2"/>
        <v>258.01119999999997</v>
      </c>
      <c r="G10" s="105">
        <v>15370.14</v>
      </c>
      <c r="H10" s="105">
        <v>43.51</v>
      </c>
      <c r="I10" s="105">
        <f t="shared" si="3"/>
        <v>15326.63</v>
      </c>
      <c r="J10" s="105">
        <f t="shared" si="0"/>
        <v>15584.6412</v>
      </c>
      <c r="K10" s="105">
        <v>497.41</v>
      </c>
      <c r="L10" s="105">
        <f t="shared" si="1"/>
        <v>289.48</v>
      </c>
      <c r="M10" s="105">
        <v>-969.67</v>
      </c>
      <c r="P10" s="105">
        <v>15518.13</v>
      </c>
      <c r="Q10" s="105">
        <v>257.86</v>
      </c>
    </row>
    <row r="12" spans="2:17" x14ac:dyDescent="0.25">
      <c r="B12" t="s">
        <v>379</v>
      </c>
      <c r="C12" t="s">
        <v>351</v>
      </c>
      <c r="D12" s="105" t="s">
        <v>380</v>
      </c>
      <c r="E12" s="105" t="s">
        <v>381</v>
      </c>
      <c r="F12" s="105" t="s">
        <v>382</v>
      </c>
      <c r="G12" s="105" t="s">
        <v>383</v>
      </c>
      <c r="H12" s="105" t="s">
        <v>384</v>
      </c>
      <c r="I12" s="105"/>
      <c r="J12" s="105" t="s">
        <v>385</v>
      </c>
      <c r="K12" s="105" t="s">
        <v>386</v>
      </c>
      <c r="L12" s="105" t="s">
        <v>393</v>
      </c>
      <c r="M12" s="105" t="s">
        <v>394</v>
      </c>
      <c r="N12" s="105" t="s">
        <v>387</v>
      </c>
    </row>
    <row r="13" spans="2:17" x14ac:dyDescent="0.25">
      <c r="B13">
        <v>1</v>
      </c>
      <c r="C13" t="s">
        <v>353</v>
      </c>
      <c r="D13" s="105">
        <v>244.55</v>
      </c>
      <c r="E13" s="105">
        <v>1258.03</v>
      </c>
      <c r="F13" s="105">
        <v>187817.31</v>
      </c>
      <c r="G13" s="105">
        <v>27177.759999999998</v>
      </c>
      <c r="H13" s="105">
        <v>468465.51</v>
      </c>
      <c r="I13" s="105"/>
      <c r="J13" s="105">
        <v>663262.31000000006</v>
      </c>
      <c r="K13" s="105">
        <v>38328.589999999997</v>
      </c>
      <c r="L13" s="105">
        <v>67083.899999999994</v>
      </c>
      <c r="M13" s="105">
        <v>35205.97</v>
      </c>
      <c r="N13" s="105">
        <v>307825.96000000002</v>
      </c>
    </row>
    <row r="14" spans="2:17" x14ac:dyDescent="0.25">
      <c r="B14">
        <v>2</v>
      </c>
      <c r="C14" t="s">
        <v>354</v>
      </c>
      <c r="D14" s="105">
        <v>431.1</v>
      </c>
      <c r="E14" s="105">
        <v>162.66</v>
      </c>
      <c r="F14" s="105">
        <v>30645.24</v>
      </c>
      <c r="G14" s="105">
        <v>7197.17</v>
      </c>
      <c r="H14" s="105">
        <v>93571.14</v>
      </c>
      <c r="I14" s="105"/>
      <c r="J14" s="105">
        <v>32512.48</v>
      </c>
      <c r="K14" s="105">
        <v>7039.63</v>
      </c>
      <c r="L14" s="105">
        <v>10505.69</v>
      </c>
      <c r="M14" s="105">
        <v>2318.23</v>
      </c>
      <c r="N14" s="105">
        <v>70123.070000000007</v>
      </c>
    </row>
    <row r="15" spans="2:17" x14ac:dyDescent="0.25">
      <c r="B15">
        <v>3</v>
      </c>
      <c r="C15" t="s">
        <v>355</v>
      </c>
      <c r="D15" s="105">
        <v>422.5</v>
      </c>
      <c r="E15" s="105">
        <v>6.4</v>
      </c>
      <c r="F15" s="105">
        <v>205.37</v>
      </c>
      <c r="G15" s="105">
        <v>51.26</v>
      </c>
      <c r="H15" s="105">
        <v>2857.16</v>
      </c>
      <c r="I15" s="105"/>
      <c r="J15" s="105">
        <v>576.13</v>
      </c>
      <c r="K15" s="105">
        <v>-78.760000000000005</v>
      </c>
      <c r="L15" s="105">
        <v>222.63</v>
      </c>
      <c r="M15" s="105">
        <v>41.17</v>
      </c>
      <c r="N15" s="105">
        <v>2703.05</v>
      </c>
    </row>
    <row r="16" spans="2:17" x14ac:dyDescent="0.25">
      <c r="B16">
        <v>4</v>
      </c>
      <c r="C16" t="s">
        <v>356</v>
      </c>
      <c r="D16" s="105">
        <v>182.3</v>
      </c>
      <c r="E16" s="105">
        <v>13.22</v>
      </c>
      <c r="F16" s="105">
        <v>145.13</v>
      </c>
      <c r="G16" s="105">
        <v>68.5</v>
      </c>
      <c r="H16" s="105">
        <v>2419.58</v>
      </c>
      <c r="I16" s="105"/>
      <c r="J16" s="105">
        <v>667.09</v>
      </c>
      <c r="K16" s="105">
        <v>166.66</v>
      </c>
      <c r="L16" s="105">
        <v>189.89</v>
      </c>
      <c r="M16" s="105">
        <v>76.180000000000007</v>
      </c>
      <c r="N16" s="105">
        <v>2410.66</v>
      </c>
    </row>
    <row r="17" spans="2:14" x14ac:dyDescent="0.25">
      <c r="B17">
        <v>5</v>
      </c>
      <c r="C17" t="s">
        <v>242</v>
      </c>
      <c r="D17" s="105">
        <v>313.25</v>
      </c>
      <c r="E17" s="105">
        <v>4.4800000000000004</v>
      </c>
      <c r="F17" s="105">
        <v>24.07</v>
      </c>
      <c r="G17" s="105">
        <v>77.7</v>
      </c>
      <c r="H17" s="105">
        <v>1345.62</v>
      </c>
      <c r="I17" s="105"/>
      <c r="J17" s="105">
        <v>465.04</v>
      </c>
      <c r="K17" s="105">
        <v>42.16</v>
      </c>
      <c r="L17" s="105">
        <v>60</v>
      </c>
      <c r="M17" s="105">
        <v>17.71</v>
      </c>
      <c r="N17" s="105">
        <v>1399.25</v>
      </c>
    </row>
    <row r="18" spans="2:14" x14ac:dyDescent="0.25">
      <c r="B18">
        <v>6</v>
      </c>
      <c r="C18" t="s">
        <v>388</v>
      </c>
      <c r="D18" s="105">
        <v>546.4</v>
      </c>
      <c r="E18" s="105">
        <v>1.52</v>
      </c>
      <c r="F18" s="105">
        <v>4.01</v>
      </c>
      <c r="G18" s="105">
        <v>23.57</v>
      </c>
      <c r="H18" s="105">
        <v>810.44</v>
      </c>
      <c r="I18" s="105"/>
      <c r="J18" s="105">
        <v>258.08</v>
      </c>
      <c r="K18" s="105">
        <v>73.98</v>
      </c>
      <c r="L18" s="105">
        <v>98.93</v>
      </c>
      <c r="M18" s="105">
        <v>4.4800000000000004</v>
      </c>
      <c r="N18" s="105">
        <v>830</v>
      </c>
    </row>
    <row r="19" spans="2:14" x14ac:dyDescent="0.25">
      <c r="B19">
        <v>7</v>
      </c>
      <c r="C19" t="s">
        <v>389</v>
      </c>
      <c r="D19" s="105">
        <v>46.94</v>
      </c>
      <c r="E19" s="105">
        <v>12.84</v>
      </c>
      <c r="F19" s="105">
        <v>54.57</v>
      </c>
      <c r="G19" s="105">
        <v>5.45</v>
      </c>
      <c r="H19" s="105">
        <v>652.26</v>
      </c>
      <c r="I19" s="105"/>
      <c r="J19" s="105">
        <v>25.6</v>
      </c>
      <c r="K19" s="105">
        <v>-1.73</v>
      </c>
      <c r="L19" s="105">
        <v>0.61</v>
      </c>
      <c r="M19" s="105">
        <v>6.84</v>
      </c>
      <c r="N19" s="105">
        <v>602.72</v>
      </c>
    </row>
    <row r="20" spans="2:14" x14ac:dyDescent="0.25">
      <c r="B20">
        <v>8</v>
      </c>
      <c r="C20" t="s">
        <v>390</v>
      </c>
      <c r="D20" s="105">
        <v>44.18</v>
      </c>
      <c r="E20" s="105">
        <v>5.84</v>
      </c>
      <c r="F20" s="105">
        <v>15370.14</v>
      </c>
      <c r="G20" s="105">
        <v>43.51</v>
      </c>
      <c r="H20" s="105">
        <v>15518.13</v>
      </c>
      <c r="I20" s="105"/>
      <c r="J20" s="105">
        <v>497.41</v>
      </c>
      <c r="K20" s="105">
        <v>-969.67</v>
      </c>
      <c r="L20" s="105">
        <v>165.67</v>
      </c>
      <c r="M20" s="105">
        <v>123.81</v>
      </c>
      <c r="N20" s="105">
        <v>257.86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showGridLines="0" zoomScale="145" zoomScaleNormal="145" workbookViewId="0">
      <selection activeCell="H16" sqref="H16"/>
    </sheetView>
  </sheetViews>
  <sheetFormatPr defaultRowHeight="15" x14ac:dyDescent="0.25"/>
  <cols>
    <col min="1" max="1" width="1.85546875" customWidth="1"/>
    <col min="2" max="3" width="12" bestFit="1" customWidth="1"/>
    <col min="4" max="4" width="12.7109375" customWidth="1"/>
    <col min="5" max="5" width="16" customWidth="1"/>
    <col min="6" max="16" width="12.7109375" customWidth="1"/>
  </cols>
  <sheetData>
    <row r="1" spans="1:18" x14ac:dyDescent="0.25">
      <c r="B1" s="254" t="s">
        <v>199</v>
      </c>
      <c r="C1" s="254"/>
      <c r="D1" s="254"/>
      <c r="E1" s="254"/>
      <c r="G1" s="74"/>
      <c r="H1" s="74"/>
      <c r="I1" s="74"/>
      <c r="J1" s="74"/>
      <c r="K1" s="74"/>
      <c r="L1" s="74"/>
      <c r="M1" s="74"/>
      <c r="N1" s="74"/>
      <c r="O1" s="74"/>
    </row>
    <row r="2" spans="1:18" x14ac:dyDescent="0.25">
      <c r="B2" s="80" t="s">
        <v>194</v>
      </c>
      <c r="C2" s="79" t="s">
        <v>195</v>
      </c>
      <c r="D2" s="79" t="s">
        <v>6</v>
      </c>
      <c r="E2" s="79" t="s">
        <v>22</v>
      </c>
      <c r="F2" s="84"/>
      <c r="G2" s="77"/>
      <c r="H2" s="77"/>
      <c r="I2" s="77"/>
      <c r="J2" s="77"/>
      <c r="K2" s="77"/>
      <c r="L2" s="77"/>
      <c r="M2" s="77"/>
      <c r="N2" s="77"/>
      <c r="O2" s="77"/>
      <c r="P2" s="73"/>
    </row>
    <row r="3" spans="1:18" x14ac:dyDescent="0.25">
      <c r="B3" s="75">
        <v>1</v>
      </c>
      <c r="C3" s="85">
        <v>2014</v>
      </c>
      <c r="D3" s="81">
        <v>174121</v>
      </c>
      <c r="E3" s="97"/>
      <c r="F3" s="78"/>
      <c r="G3" s="78"/>
      <c r="H3" s="78"/>
      <c r="I3" s="78"/>
      <c r="J3" s="78"/>
      <c r="K3" s="78"/>
      <c r="L3" s="78"/>
      <c r="M3" s="78"/>
      <c r="N3" s="78"/>
      <c r="O3" s="76"/>
      <c r="P3" s="68"/>
    </row>
    <row r="4" spans="1:18" x14ac:dyDescent="0.25">
      <c r="B4" s="75">
        <v>2</v>
      </c>
      <c r="C4" s="85">
        <v>2015</v>
      </c>
      <c r="D4" s="81">
        <v>160923</v>
      </c>
      <c r="E4" s="98">
        <f>D4/D3 -1</f>
        <v>-7.5797864703281093E-2</v>
      </c>
      <c r="F4" s="74"/>
      <c r="G4" s="74"/>
      <c r="H4" s="95"/>
      <c r="I4" s="74"/>
      <c r="J4" s="74"/>
      <c r="K4" s="74"/>
      <c r="L4" s="74"/>
      <c r="M4" s="74"/>
      <c r="N4" s="74"/>
      <c r="O4" s="74"/>
      <c r="P4" s="70"/>
      <c r="Q4" s="69"/>
      <c r="R4" s="69"/>
    </row>
    <row r="5" spans="1:18" x14ac:dyDescent="0.25">
      <c r="B5" s="75">
        <v>3</v>
      </c>
      <c r="C5" s="85">
        <v>2016</v>
      </c>
      <c r="D5" s="81">
        <v>124036</v>
      </c>
      <c r="E5" s="98">
        <f t="shared" ref="E5:E18" si="0">D5/D4 -1</f>
        <v>-0.22922142888213615</v>
      </c>
      <c r="P5" s="71"/>
      <c r="Q5" s="69"/>
      <c r="R5" s="69"/>
    </row>
    <row r="6" spans="1:18" x14ac:dyDescent="0.25">
      <c r="B6" s="75">
        <v>4</v>
      </c>
      <c r="C6" s="85">
        <v>2017</v>
      </c>
      <c r="D6" s="81">
        <v>282506</v>
      </c>
      <c r="E6" s="98">
        <f t="shared" si="0"/>
        <v>1.2776129510787189</v>
      </c>
      <c r="G6" s="94"/>
      <c r="H6" s="68"/>
      <c r="I6" s="68"/>
      <c r="J6" s="68"/>
      <c r="K6" s="68"/>
      <c r="L6" s="68"/>
      <c r="M6" s="68"/>
      <c r="N6" s="68"/>
      <c r="O6" s="68"/>
      <c r="P6" s="68"/>
      <c r="Q6" s="69"/>
      <c r="R6" s="69"/>
    </row>
    <row r="7" spans="1:18" x14ac:dyDescent="0.25">
      <c r="B7" s="75">
        <v>5</v>
      </c>
      <c r="C7" s="85">
        <v>2018</v>
      </c>
      <c r="D7" s="81">
        <v>322706</v>
      </c>
      <c r="E7" s="98">
        <f t="shared" si="0"/>
        <v>0.14229786270026112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9"/>
      <c r="R7" s="69"/>
    </row>
    <row r="8" spans="1:18" x14ac:dyDescent="0.25">
      <c r="B8" s="75">
        <v>6</v>
      </c>
      <c r="C8" s="85">
        <v>2019</v>
      </c>
      <c r="D8" s="81">
        <v>421624</v>
      </c>
      <c r="E8" s="98">
        <f t="shared" si="0"/>
        <v>0.30652668373070235</v>
      </c>
      <c r="Q8" s="69"/>
      <c r="R8" s="69"/>
    </row>
    <row r="9" spans="1:18" x14ac:dyDescent="0.25">
      <c r="B9" s="75">
        <v>7</v>
      </c>
      <c r="C9" s="85">
        <v>2020</v>
      </c>
      <c r="D9" s="81">
        <v>396728</v>
      </c>
      <c r="E9" s="98">
        <f t="shared" si="0"/>
        <v>-5.9047872037644944E-2</v>
      </c>
      <c r="G9" t="s">
        <v>200</v>
      </c>
      <c r="P9" s="68"/>
      <c r="Q9" s="69"/>
      <c r="R9" s="69"/>
    </row>
    <row r="10" spans="1:18" ht="15.75" thickBot="1" x14ac:dyDescent="0.3">
      <c r="B10" s="75">
        <v>8</v>
      </c>
      <c r="C10" s="85">
        <v>2021</v>
      </c>
      <c r="D10" s="81">
        <v>303849</v>
      </c>
      <c r="E10" s="98">
        <f t="shared" si="0"/>
        <v>-0.2341125405819604</v>
      </c>
      <c r="P10" s="70"/>
      <c r="Q10" s="69"/>
      <c r="R10" s="69"/>
    </row>
    <row r="11" spans="1:18" x14ac:dyDescent="0.25">
      <c r="B11" s="75">
        <v>9</v>
      </c>
      <c r="C11" s="85">
        <v>2022</v>
      </c>
      <c r="D11" s="81">
        <v>491246</v>
      </c>
      <c r="E11" s="98">
        <f t="shared" si="0"/>
        <v>0.6167438431589376</v>
      </c>
      <c r="G11" s="89" t="s">
        <v>201</v>
      </c>
      <c r="H11" s="89"/>
      <c r="P11" s="71"/>
      <c r="Q11" s="69"/>
      <c r="R11" s="69"/>
    </row>
    <row r="12" spans="1:18" x14ac:dyDescent="0.25">
      <c r="B12" s="75">
        <v>10</v>
      </c>
      <c r="C12" s="85">
        <v>2023</v>
      </c>
      <c r="D12" s="81">
        <v>632291</v>
      </c>
      <c r="E12" s="98">
        <f t="shared" si="0"/>
        <v>0.28711684166385076</v>
      </c>
      <c r="G12" s="86" t="s">
        <v>202</v>
      </c>
      <c r="H12" s="86">
        <v>0.91869154624769422</v>
      </c>
      <c r="P12" s="70"/>
      <c r="Q12" s="69"/>
      <c r="R12" s="69"/>
    </row>
    <row r="13" spans="1:18" x14ac:dyDescent="0.25">
      <c r="B13" s="75">
        <v>11</v>
      </c>
      <c r="C13" s="85">
        <v>2024</v>
      </c>
      <c r="D13" s="81">
        <v>591396</v>
      </c>
      <c r="E13" s="98">
        <f t="shared" si="0"/>
        <v>-6.4677498177263315E-2</v>
      </c>
      <c r="G13" s="86" t="s">
        <v>203</v>
      </c>
      <c r="H13" s="86">
        <v>0.84399415714697934</v>
      </c>
      <c r="P13" s="72"/>
      <c r="Q13" s="69"/>
      <c r="R13" s="69"/>
    </row>
    <row r="14" spans="1:18" x14ac:dyDescent="0.25">
      <c r="A14" s="44"/>
      <c r="B14" s="90">
        <v>12</v>
      </c>
      <c r="C14" s="91">
        <v>2025</v>
      </c>
      <c r="D14" s="92">
        <f>$H$25+B14*$H$26</f>
        <v>637776.09090909082</v>
      </c>
      <c r="E14" s="93">
        <f t="shared" si="0"/>
        <v>7.8424762610993071E-2</v>
      </c>
      <c r="G14" s="86" t="s">
        <v>204</v>
      </c>
      <c r="H14" s="86">
        <v>0.82666017460775487</v>
      </c>
      <c r="P14" s="69"/>
      <c r="Q14" s="69"/>
      <c r="R14" s="69"/>
    </row>
    <row r="15" spans="1:18" x14ac:dyDescent="0.25">
      <c r="A15" s="44"/>
      <c r="B15" s="90">
        <v>13</v>
      </c>
      <c r="C15" s="91">
        <v>2026</v>
      </c>
      <c r="D15" s="92">
        <f t="shared" ref="D15:D18" si="1">$H$25+B15*$H$26</f>
        <v>684959.59090909082</v>
      </c>
      <c r="E15" s="93">
        <f t="shared" si="0"/>
        <v>7.3981293235286127E-2</v>
      </c>
      <c r="G15" s="86" t="s">
        <v>205</v>
      </c>
      <c r="H15" s="86">
        <v>70919.547015073578</v>
      </c>
    </row>
    <row r="16" spans="1:18" ht="15.75" thickBot="1" x14ac:dyDescent="0.3">
      <c r="A16" s="44"/>
      <c r="B16" s="90">
        <v>14</v>
      </c>
      <c r="C16" s="91">
        <v>2027</v>
      </c>
      <c r="D16" s="92">
        <f t="shared" si="1"/>
        <v>732143.09090909082</v>
      </c>
      <c r="E16" s="93">
        <f t="shared" si="0"/>
        <v>6.8885085523625156E-2</v>
      </c>
      <c r="G16" s="87" t="s">
        <v>206</v>
      </c>
      <c r="H16" s="87">
        <v>11</v>
      </c>
    </row>
    <row r="17" spans="1:15" x14ac:dyDescent="0.25">
      <c r="A17" s="44"/>
      <c r="B17" s="90">
        <v>15</v>
      </c>
      <c r="C17" s="91">
        <v>2028</v>
      </c>
      <c r="D17" s="92">
        <f t="shared" si="1"/>
        <v>779326.59090909082</v>
      </c>
      <c r="E17" s="93">
        <f t="shared" si="0"/>
        <v>6.4445735520652025E-2</v>
      </c>
    </row>
    <row r="18" spans="1:15" ht="15.75" thickBot="1" x14ac:dyDescent="0.3">
      <c r="A18" s="44"/>
      <c r="B18" s="90">
        <v>16</v>
      </c>
      <c r="C18" s="91">
        <v>2029</v>
      </c>
      <c r="D18" s="92">
        <f t="shared" si="1"/>
        <v>826510.09090909082</v>
      </c>
      <c r="E18" s="93">
        <f t="shared" si="0"/>
        <v>6.0543936971225509E-2</v>
      </c>
      <c r="G18" t="s">
        <v>207</v>
      </c>
    </row>
    <row r="19" spans="1:15" x14ac:dyDescent="0.25">
      <c r="D19" s="81">
        <f>FORECAST(B14,$D$3:$D$13,$B$3:$B$13)</f>
        <v>637776.09090909094</v>
      </c>
      <c r="G19" s="88"/>
      <c r="H19" s="88" t="s">
        <v>211</v>
      </c>
      <c r="I19" s="88" t="s">
        <v>212</v>
      </c>
      <c r="J19" s="88" t="s">
        <v>213</v>
      </c>
      <c r="K19" s="88" t="s">
        <v>214</v>
      </c>
      <c r="L19" s="88" t="s">
        <v>215</v>
      </c>
    </row>
    <row r="20" spans="1:15" x14ac:dyDescent="0.25">
      <c r="D20" s="81">
        <f t="shared" ref="D20:D23" si="2">FORECAST(B15,$D$3:$D$13,$B$3:$B$13)</f>
        <v>684959.59090909094</v>
      </c>
      <c r="G20" s="86" t="s">
        <v>208</v>
      </c>
      <c r="H20" s="86">
        <v>1</v>
      </c>
      <c r="I20" s="86">
        <v>244891093947.49997</v>
      </c>
      <c r="J20" s="86">
        <v>244891093947.49997</v>
      </c>
      <c r="K20" s="86">
        <v>48.690146954811532</v>
      </c>
      <c r="L20" s="86">
        <v>6.4816003475651554E-5</v>
      </c>
    </row>
    <row r="21" spans="1:15" x14ac:dyDescent="0.25">
      <c r="D21" s="81">
        <f t="shared" si="2"/>
        <v>732143.09090909094</v>
      </c>
      <c r="G21" s="86" t="s">
        <v>209</v>
      </c>
      <c r="H21" s="86">
        <v>9</v>
      </c>
      <c r="I21" s="86">
        <v>45266239339.409096</v>
      </c>
      <c r="J21" s="86">
        <v>5029582148.8232327</v>
      </c>
      <c r="K21" s="86"/>
      <c r="L21" s="86"/>
    </row>
    <row r="22" spans="1:15" ht="15.75" thickBot="1" x14ac:dyDescent="0.3">
      <c r="D22" s="81">
        <f t="shared" si="2"/>
        <v>779326.59090909094</v>
      </c>
      <c r="G22" s="87" t="s">
        <v>26</v>
      </c>
      <c r="H22" s="87">
        <v>10</v>
      </c>
      <c r="I22" s="87">
        <v>290157333286.90906</v>
      </c>
      <c r="J22" s="87"/>
      <c r="K22" s="87"/>
      <c r="L22" s="87"/>
    </row>
    <row r="23" spans="1:15" ht="15.75" thickBot="1" x14ac:dyDescent="0.3">
      <c r="D23" s="81">
        <f t="shared" si="2"/>
        <v>826510.09090909094</v>
      </c>
    </row>
    <row r="24" spans="1:15" x14ac:dyDescent="0.25">
      <c r="G24" s="88"/>
      <c r="H24" s="88" t="s">
        <v>216</v>
      </c>
      <c r="I24" s="88" t="s">
        <v>205</v>
      </c>
      <c r="J24" s="88" t="s">
        <v>217</v>
      </c>
      <c r="K24" s="88" t="s">
        <v>218</v>
      </c>
      <c r="L24" s="88" t="s">
        <v>219</v>
      </c>
      <c r="M24" s="88" t="s">
        <v>220</v>
      </c>
      <c r="N24" s="88" t="s">
        <v>221</v>
      </c>
      <c r="O24" s="88" t="s">
        <v>222</v>
      </c>
    </row>
    <row r="25" spans="1:15" x14ac:dyDescent="0.25">
      <c r="B25" t="s">
        <v>196</v>
      </c>
      <c r="C25" s="75"/>
      <c r="D25" s="82">
        <f>AVERAGE(E4:E13)</f>
        <v>0.1967440977950185</v>
      </c>
      <c r="G25" s="86" t="s">
        <v>210</v>
      </c>
      <c r="H25" s="86">
        <v>71574.090909090999</v>
      </c>
      <c r="I25" s="86">
        <v>45861.52862356112</v>
      </c>
      <c r="J25" s="86">
        <v>1.5606564599401553</v>
      </c>
      <c r="K25" s="86">
        <v>0.15303751370641464</v>
      </c>
      <c r="L25" s="86">
        <v>-32171.894563572714</v>
      </c>
      <c r="M25" s="86">
        <v>175320.07638175471</v>
      </c>
      <c r="N25" s="86">
        <v>-32171.894563572714</v>
      </c>
      <c r="O25" s="86">
        <v>175320.07638175471</v>
      </c>
    </row>
    <row r="26" spans="1:15" ht="15.75" thickBot="1" x14ac:dyDescent="0.3">
      <c r="B26" t="s">
        <v>197</v>
      </c>
      <c r="C26" s="74"/>
      <c r="D26" s="82">
        <f>_xlfn.RRI(B13,D3,D13)</f>
        <v>0.11757120341398641</v>
      </c>
      <c r="G26" s="87" t="s">
        <v>194</v>
      </c>
      <c r="H26" s="87">
        <v>47183.499999999985</v>
      </c>
      <c r="I26" s="87">
        <v>6761.9134925116587</v>
      </c>
      <c r="J26" s="87">
        <v>6.9778325398945693</v>
      </c>
      <c r="K26" s="87">
        <v>6.4816003475651676E-5</v>
      </c>
      <c r="L26" s="87">
        <v>31886.988958692906</v>
      </c>
      <c r="M26" s="87">
        <v>62480.011041307065</v>
      </c>
      <c r="N26" s="87">
        <v>31886.988958692906</v>
      </c>
      <c r="O26" s="87">
        <v>62480.011041307065</v>
      </c>
    </row>
    <row r="27" spans="1:15" x14ac:dyDescent="0.25">
      <c r="B27" t="s">
        <v>198</v>
      </c>
      <c r="D27" s="82">
        <f>_xlfn.STDEV.S(E4:E13)</f>
        <v>0.46463786165793552</v>
      </c>
    </row>
  </sheetData>
  <mergeCells count="1">
    <mergeCell ref="B1:E1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75"/>
  <sheetViews>
    <sheetView showGridLines="0" zoomScale="145" zoomScaleNormal="145" workbookViewId="0">
      <pane ySplit="2" topLeftCell="A3" activePane="bottomLeft" state="frozen"/>
      <selection pane="bottomLeft" activeCell="B59" sqref="B59"/>
    </sheetView>
  </sheetViews>
  <sheetFormatPr defaultRowHeight="15" x14ac:dyDescent="0.25"/>
  <cols>
    <col min="1" max="1" width="1.85546875" customWidth="1"/>
    <col min="2" max="2" width="48.85546875" bestFit="1" customWidth="1"/>
  </cols>
  <sheetData>
    <row r="2" spans="2:24" x14ac:dyDescent="0.25">
      <c r="B2" s="133" t="s">
        <v>274</v>
      </c>
      <c r="C2" s="134">
        <v>42064</v>
      </c>
      <c r="D2" s="134">
        <v>42430</v>
      </c>
      <c r="E2" s="134">
        <v>42795</v>
      </c>
      <c r="F2" s="134">
        <v>43160</v>
      </c>
      <c r="G2" s="134">
        <v>43525</v>
      </c>
      <c r="H2" s="134">
        <v>43891</v>
      </c>
      <c r="I2" s="134">
        <v>44256</v>
      </c>
      <c r="J2" s="134">
        <v>44621</v>
      </c>
      <c r="K2" s="134">
        <v>44986</v>
      </c>
      <c r="L2" s="134">
        <v>45352</v>
      </c>
    </row>
    <row r="3" spans="2:24" s="44" customFormat="1" x14ac:dyDescent="0.25"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1"/>
    </row>
    <row r="4" spans="2:24" x14ac:dyDescent="0.25">
      <c r="B4" s="43" t="s">
        <v>276</v>
      </c>
      <c r="C4" s="143">
        <v>4278</v>
      </c>
      <c r="D4" s="143">
        <v>4278</v>
      </c>
      <c r="E4" s="143">
        <v>6417</v>
      </c>
      <c r="F4" s="143">
        <v>6417</v>
      </c>
      <c r="G4" s="143">
        <v>6290</v>
      </c>
      <c r="H4" s="143">
        <v>6290</v>
      </c>
      <c r="I4" s="143">
        <v>6290</v>
      </c>
      <c r="J4" s="143">
        <v>6290</v>
      </c>
      <c r="K4" s="143">
        <v>6290</v>
      </c>
      <c r="L4" s="143">
        <v>6290</v>
      </c>
    </row>
    <row r="5" spans="2:24" x14ac:dyDescent="0.25">
      <c r="B5" s="43" t="s">
        <v>25</v>
      </c>
      <c r="C5" s="149">
        <v>176177</v>
      </c>
      <c r="D5" s="149">
        <v>193536</v>
      </c>
      <c r="E5" s="149">
        <v>187969</v>
      </c>
      <c r="F5" s="149">
        <v>197602</v>
      </c>
      <c r="G5" s="149">
        <v>210644</v>
      </c>
      <c r="H5" s="149">
        <v>198814</v>
      </c>
      <c r="I5" s="149">
        <v>214691</v>
      </c>
      <c r="J5" s="149">
        <v>253213</v>
      </c>
      <c r="K5" s="149">
        <v>274357</v>
      </c>
      <c r="L5" s="149">
        <v>330780</v>
      </c>
    </row>
    <row r="6" spans="2:24" x14ac:dyDescent="0.25">
      <c r="B6" s="43" t="s">
        <v>277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spans="2:24" x14ac:dyDescent="0.25">
      <c r="B7" t="s">
        <v>278</v>
      </c>
      <c r="C7" s="145">
        <v>47575</v>
      </c>
      <c r="D7" s="145">
        <v>40229</v>
      </c>
      <c r="E7" s="145">
        <v>52772</v>
      </c>
      <c r="F7" s="145">
        <v>55025</v>
      </c>
      <c r="G7" s="145">
        <v>52168</v>
      </c>
      <c r="H7" s="145">
        <v>72932</v>
      </c>
      <c r="I7" s="145">
        <v>79162</v>
      </c>
      <c r="J7" s="145">
        <v>88043</v>
      </c>
      <c r="K7" s="145">
        <v>98360</v>
      </c>
      <c r="L7" s="145">
        <v>77952</v>
      </c>
    </row>
    <row r="8" spans="2:24" x14ac:dyDescent="0.25">
      <c r="B8" t="s">
        <v>279</v>
      </c>
      <c r="C8" s="145">
        <v>5345</v>
      </c>
      <c r="D8" s="145">
        <v>4318</v>
      </c>
      <c r="E8" s="145">
        <v>21627</v>
      </c>
      <c r="F8" s="145">
        <v>46221</v>
      </c>
      <c r="G8" s="145">
        <v>49332</v>
      </c>
      <c r="H8" s="145">
        <v>31506</v>
      </c>
      <c r="I8" s="145">
        <v>39899</v>
      </c>
      <c r="J8" s="145">
        <v>19733</v>
      </c>
      <c r="K8" s="145">
        <v>30826</v>
      </c>
      <c r="L8" s="145">
        <v>41803</v>
      </c>
    </row>
    <row r="9" spans="2:24" x14ac:dyDescent="0.25">
      <c r="B9" t="s">
        <v>280</v>
      </c>
      <c r="C9" s="146">
        <v>0</v>
      </c>
      <c r="D9" s="146">
        <v>0</v>
      </c>
      <c r="E9" s="146">
        <v>0</v>
      </c>
      <c r="F9" s="146">
        <v>0</v>
      </c>
      <c r="G9" s="146">
        <v>707</v>
      </c>
      <c r="H9" s="145">
        <v>13170</v>
      </c>
      <c r="I9" s="145">
        <v>14126</v>
      </c>
      <c r="J9" s="145">
        <v>14210</v>
      </c>
      <c r="K9" s="145">
        <v>13069</v>
      </c>
      <c r="L9" s="145">
        <v>33425</v>
      </c>
    </row>
    <row r="10" spans="2:24" x14ac:dyDescent="0.25">
      <c r="B10" t="s">
        <v>281</v>
      </c>
      <c r="C10" s="145">
        <v>1024</v>
      </c>
      <c r="D10" s="146">
        <v>953</v>
      </c>
      <c r="E10" s="145">
        <v>5629</v>
      </c>
      <c r="F10" s="145">
        <v>5304</v>
      </c>
      <c r="G10" s="145">
        <v>5534</v>
      </c>
      <c r="H10" s="145">
        <v>11865</v>
      </c>
      <c r="I10" s="146">
        <v>0</v>
      </c>
      <c r="J10" s="146">
        <v>0</v>
      </c>
      <c r="K10" s="146">
        <v>0</v>
      </c>
      <c r="L10" s="146">
        <v>0</v>
      </c>
    </row>
    <row r="11" spans="2:24" x14ac:dyDescent="0.25">
      <c r="B11" s="43" t="s">
        <v>282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</row>
    <row r="12" spans="2:24" x14ac:dyDescent="0.25">
      <c r="B12" t="s">
        <v>283</v>
      </c>
      <c r="C12" s="145">
        <v>2473</v>
      </c>
      <c r="D12" s="145">
        <v>2652</v>
      </c>
      <c r="E12" s="145">
        <v>13292</v>
      </c>
      <c r="F12" s="145">
        <v>15606</v>
      </c>
      <c r="G12" s="145">
        <v>18106</v>
      </c>
      <c r="H12" s="145">
        <v>18406</v>
      </c>
      <c r="I12" s="145">
        <v>21616</v>
      </c>
      <c r="J12" s="145">
        <v>23825</v>
      </c>
      <c r="K12" s="145">
        <v>20608</v>
      </c>
      <c r="L12" s="145">
        <v>28020</v>
      </c>
    </row>
    <row r="13" spans="2:24" x14ac:dyDescent="0.25">
      <c r="B13" t="s">
        <v>284</v>
      </c>
      <c r="C13" s="145">
        <v>30466</v>
      </c>
      <c r="D13" s="145">
        <v>29778</v>
      </c>
      <c r="E13" s="145">
        <v>24014</v>
      </c>
      <c r="F13" s="145">
        <v>26485</v>
      </c>
      <c r="G13" s="145">
        <v>30557</v>
      </c>
      <c r="H13" s="145">
        <v>23064</v>
      </c>
      <c r="I13" s="145">
        <v>27251</v>
      </c>
      <c r="J13" s="145">
        <v>40186</v>
      </c>
      <c r="K13" s="145">
        <v>33643</v>
      </c>
      <c r="L13" s="145">
        <v>37490</v>
      </c>
    </row>
    <row r="14" spans="2:24" x14ac:dyDescent="0.25">
      <c r="B14" t="s">
        <v>285</v>
      </c>
      <c r="C14" s="146">
        <v>127</v>
      </c>
      <c r="D14" s="146">
        <v>69</v>
      </c>
      <c r="E14" s="146">
        <v>805</v>
      </c>
      <c r="F14" s="146">
        <v>917</v>
      </c>
      <c r="G14" s="146">
        <v>972</v>
      </c>
      <c r="H14" s="145">
        <v>1359</v>
      </c>
      <c r="I14" s="145">
        <v>1268</v>
      </c>
      <c r="J14" s="145">
        <v>1953</v>
      </c>
      <c r="K14" s="145">
        <v>1325</v>
      </c>
      <c r="L14" s="145">
        <v>1424</v>
      </c>
    </row>
    <row r="15" spans="2:24" x14ac:dyDescent="0.25">
      <c r="B15" t="s">
        <v>286</v>
      </c>
      <c r="C15" s="152">
        <v>70381</v>
      </c>
      <c r="D15" s="152">
        <v>65960</v>
      </c>
      <c r="E15" s="152">
        <v>132000</v>
      </c>
      <c r="F15" s="152">
        <v>105656</v>
      </c>
      <c r="G15" s="152">
        <v>118032</v>
      </c>
      <c r="H15" s="152">
        <v>130958</v>
      </c>
      <c r="I15" s="152">
        <v>137445</v>
      </c>
      <c r="J15" s="152">
        <v>135807</v>
      </c>
      <c r="K15" s="152">
        <v>134637</v>
      </c>
      <c r="L15" s="152">
        <v>152588</v>
      </c>
    </row>
    <row r="16" spans="2:24" x14ac:dyDescent="0.25">
      <c r="B16" s="41" t="s">
        <v>275</v>
      </c>
      <c r="C16" s="142">
        <v>337847</v>
      </c>
      <c r="D16" s="142">
        <v>341772</v>
      </c>
      <c r="E16" s="142">
        <v>444525</v>
      </c>
      <c r="F16" s="142">
        <v>459232</v>
      </c>
      <c r="G16" s="142">
        <v>492343</v>
      </c>
      <c r="H16" s="142">
        <v>508364</v>
      </c>
      <c r="I16" s="142">
        <v>541748</v>
      </c>
      <c r="J16" s="142">
        <v>583260</v>
      </c>
      <c r="K16" s="142">
        <v>613115</v>
      </c>
      <c r="L16" s="142">
        <v>709774</v>
      </c>
    </row>
    <row r="17" spans="2:12" x14ac:dyDescent="0.25"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spans="2:12" x14ac:dyDescent="0.25">
      <c r="B18" s="43" t="s">
        <v>287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</row>
    <row r="19" spans="2:12" x14ac:dyDescent="0.25">
      <c r="B19" t="s">
        <v>288</v>
      </c>
      <c r="C19" s="143">
        <v>2441</v>
      </c>
      <c r="D19" s="143">
        <v>1161</v>
      </c>
      <c r="E19" s="143">
        <v>1979</v>
      </c>
      <c r="F19" s="143">
        <v>2203</v>
      </c>
      <c r="G19" s="143">
        <v>2338</v>
      </c>
      <c r="H19" s="143">
        <v>6798</v>
      </c>
      <c r="I19" s="143">
        <v>7550</v>
      </c>
      <c r="J19" s="143">
        <v>8582</v>
      </c>
      <c r="K19" s="143">
        <v>8970</v>
      </c>
      <c r="L19" s="143">
        <v>9819</v>
      </c>
    </row>
    <row r="20" spans="2:12" x14ac:dyDescent="0.25">
      <c r="B20" t="s">
        <v>289</v>
      </c>
      <c r="C20" s="149">
        <v>4487</v>
      </c>
      <c r="D20" s="149">
        <v>2495</v>
      </c>
      <c r="E20" s="149">
        <v>10661</v>
      </c>
      <c r="F20" s="149">
        <v>11734</v>
      </c>
      <c r="G20" s="149">
        <v>13459</v>
      </c>
      <c r="H20" s="149">
        <v>14498</v>
      </c>
      <c r="I20" s="149">
        <v>15686</v>
      </c>
      <c r="J20" s="149">
        <v>17552</v>
      </c>
      <c r="K20" s="149">
        <v>18545</v>
      </c>
      <c r="L20" s="149">
        <v>20729</v>
      </c>
    </row>
    <row r="21" spans="2:12" x14ac:dyDescent="0.25">
      <c r="B21" t="s">
        <v>290</v>
      </c>
      <c r="C21" s="145">
        <v>159917</v>
      </c>
      <c r="D21" s="145">
        <v>33485</v>
      </c>
      <c r="E21" s="145">
        <v>65957</v>
      </c>
      <c r="F21" s="145">
        <v>70048</v>
      </c>
      <c r="G21" s="145">
        <v>77113</v>
      </c>
      <c r="H21" s="145">
        <v>97348</v>
      </c>
      <c r="I21" s="145">
        <v>103871</v>
      </c>
      <c r="J21" s="145">
        <v>116943</v>
      </c>
      <c r="K21" s="145">
        <v>130419</v>
      </c>
      <c r="L21" s="145">
        <v>166783</v>
      </c>
    </row>
    <row r="22" spans="2:12" x14ac:dyDescent="0.25">
      <c r="B22" t="s">
        <v>291</v>
      </c>
      <c r="C22" s="146">
        <v>925</v>
      </c>
      <c r="D22" s="146">
        <v>944</v>
      </c>
      <c r="E22" s="145">
        <v>2981</v>
      </c>
      <c r="F22" s="145">
        <v>3463</v>
      </c>
      <c r="G22" s="145">
        <v>4351</v>
      </c>
      <c r="H22" s="145">
        <v>5156</v>
      </c>
      <c r="I22" s="145">
        <v>5727</v>
      </c>
      <c r="J22" s="145">
        <v>6399</v>
      </c>
      <c r="K22" s="145">
        <v>6454</v>
      </c>
      <c r="L22" s="145">
        <v>7594</v>
      </c>
    </row>
    <row r="23" spans="2:12" x14ac:dyDescent="0.25">
      <c r="B23" t="s">
        <v>292</v>
      </c>
      <c r="C23" s="145">
        <v>1765</v>
      </c>
      <c r="D23" s="146">
        <v>857</v>
      </c>
      <c r="E23" s="145">
        <v>1061</v>
      </c>
      <c r="F23" s="145">
        <v>1416</v>
      </c>
      <c r="G23" s="145">
        <v>1628</v>
      </c>
      <c r="H23" s="145">
        <v>1671</v>
      </c>
      <c r="I23" s="145">
        <v>1705</v>
      </c>
      <c r="J23" s="145">
        <v>1741</v>
      </c>
      <c r="K23" s="145">
        <v>1838</v>
      </c>
      <c r="L23" s="145">
        <v>2105</v>
      </c>
    </row>
    <row r="24" spans="2:12" x14ac:dyDescent="0.25">
      <c r="B24" t="s">
        <v>293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633</v>
      </c>
      <c r="I24" s="146">
        <v>681</v>
      </c>
      <c r="J24" s="146">
        <v>762</v>
      </c>
      <c r="K24" s="146">
        <v>793</v>
      </c>
      <c r="L24" s="146">
        <v>791</v>
      </c>
    </row>
    <row r="25" spans="2:12" x14ac:dyDescent="0.25">
      <c r="B25" t="s">
        <v>294</v>
      </c>
      <c r="C25" s="145">
        <v>1175</v>
      </c>
      <c r="D25" s="146">
        <v>574</v>
      </c>
      <c r="E25" s="146">
        <v>831</v>
      </c>
      <c r="F25" s="145">
        <v>1075</v>
      </c>
      <c r="G25" s="145">
        <v>1381</v>
      </c>
      <c r="H25" s="145">
        <v>3936</v>
      </c>
      <c r="I25" s="145">
        <v>6174</v>
      </c>
      <c r="J25" s="145">
        <v>6935</v>
      </c>
      <c r="K25" s="145">
        <v>7366</v>
      </c>
      <c r="L25" s="145">
        <v>8737</v>
      </c>
    </row>
    <row r="26" spans="2:12" x14ac:dyDescent="0.25">
      <c r="B26" t="s">
        <v>295</v>
      </c>
      <c r="C26" s="145">
        <v>26935</v>
      </c>
      <c r="D26" s="145">
        <v>20987</v>
      </c>
      <c r="E26" s="145">
        <v>20718</v>
      </c>
      <c r="F26" s="145">
        <v>20776</v>
      </c>
      <c r="G26" s="145">
        <v>14332</v>
      </c>
      <c r="H26" s="145">
        <v>14597</v>
      </c>
      <c r="I26" s="145">
        <v>23923</v>
      </c>
      <c r="J26" s="145">
        <v>24744</v>
      </c>
      <c r="K26" s="145">
        <v>26702</v>
      </c>
      <c r="L26" s="145">
        <v>27495</v>
      </c>
    </row>
    <row r="27" spans="2:12" x14ac:dyDescent="0.25">
      <c r="B27" t="s">
        <v>296</v>
      </c>
      <c r="C27" s="145">
        <v>91775</v>
      </c>
      <c r="D27" s="145">
        <v>120078</v>
      </c>
      <c r="E27" s="145">
        <v>130194</v>
      </c>
      <c r="F27" s="145">
        <v>143761</v>
      </c>
      <c r="G27" s="145">
        <v>145200</v>
      </c>
      <c r="H27" s="145">
        <v>140957</v>
      </c>
      <c r="I27" s="145">
        <v>140299</v>
      </c>
      <c r="J27" s="145">
        <v>144507</v>
      </c>
      <c r="K27" s="145">
        <v>132213</v>
      </c>
      <c r="L27" s="145">
        <v>146442</v>
      </c>
    </row>
    <row r="28" spans="2:12" x14ac:dyDescent="0.25">
      <c r="B28" s="43" t="s">
        <v>297</v>
      </c>
      <c r="C28" s="147">
        <v>289420</v>
      </c>
      <c r="D28" s="147">
        <v>180582</v>
      </c>
      <c r="E28" s="147">
        <v>234384</v>
      </c>
      <c r="F28" s="147">
        <v>254476</v>
      </c>
      <c r="G28" s="147">
        <v>259802</v>
      </c>
      <c r="H28" s="147">
        <v>285595</v>
      </c>
      <c r="I28" s="147">
        <v>305615</v>
      </c>
      <c r="J28" s="147">
        <v>328166</v>
      </c>
      <c r="K28" s="147">
        <v>333300</v>
      </c>
      <c r="L28" s="147">
        <v>390494</v>
      </c>
    </row>
    <row r="29" spans="2:12" x14ac:dyDescent="0.25">
      <c r="B29" s="43" t="s">
        <v>298</v>
      </c>
      <c r="C29" s="150">
        <v>107319</v>
      </c>
      <c r="D29" s="150">
        <v>14304</v>
      </c>
      <c r="E29" s="150">
        <v>23258</v>
      </c>
      <c r="F29" s="150">
        <v>28418</v>
      </c>
      <c r="G29" s="150">
        <v>29411</v>
      </c>
      <c r="H29" s="150">
        <v>41702</v>
      </c>
      <c r="I29" s="150">
        <v>61869</v>
      </c>
      <c r="J29" s="150">
        <v>73763</v>
      </c>
      <c r="K29" s="150">
        <v>82436</v>
      </c>
      <c r="L29" s="150">
        <v>91996</v>
      </c>
    </row>
    <row r="30" spans="2:12" x14ac:dyDescent="0.25">
      <c r="B30" s="41" t="s">
        <v>27</v>
      </c>
      <c r="C30" s="142">
        <f>C28-C29</f>
        <v>182101</v>
      </c>
      <c r="D30" s="142">
        <f t="shared" ref="D30:L30" si="0">D28-D29</f>
        <v>166278</v>
      </c>
      <c r="E30" s="142">
        <f t="shared" si="0"/>
        <v>211126</v>
      </c>
      <c r="F30" s="142">
        <f t="shared" si="0"/>
        <v>226058</v>
      </c>
      <c r="G30" s="142">
        <f t="shared" si="0"/>
        <v>230391</v>
      </c>
      <c r="H30" s="142">
        <f t="shared" si="0"/>
        <v>243893</v>
      </c>
      <c r="I30" s="142">
        <f t="shared" si="0"/>
        <v>243746</v>
      </c>
      <c r="J30" s="142">
        <f t="shared" si="0"/>
        <v>254403</v>
      </c>
      <c r="K30" s="142">
        <f t="shared" si="0"/>
        <v>250864</v>
      </c>
      <c r="L30" s="142">
        <f t="shared" si="0"/>
        <v>298498</v>
      </c>
    </row>
    <row r="31" spans="2:12" x14ac:dyDescent="0.25">
      <c r="B31" s="8"/>
      <c r="C31" s="148"/>
      <c r="D31" s="148"/>
      <c r="E31" s="148"/>
      <c r="F31" s="148"/>
      <c r="G31" s="148"/>
      <c r="H31" s="148"/>
      <c r="I31" s="148"/>
      <c r="J31" s="148"/>
      <c r="K31" s="148"/>
      <c r="L31" s="148"/>
    </row>
    <row r="32" spans="2:12" x14ac:dyDescent="0.25">
      <c r="B32" s="43" t="s">
        <v>299</v>
      </c>
      <c r="C32" s="148">
        <v>63393</v>
      </c>
      <c r="D32" s="148">
        <v>57668</v>
      </c>
      <c r="E32" s="148">
        <v>59042</v>
      </c>
      <c r="F32" s="148">
        <v>61512</v>
      </c>
      <c r="G32" s="148">
        <v>69056</v>
      </c>
      <c r="H32" s="148">
        <v>83832</v>
      </c>
      <c r="I32" s="148">
        <v>100309</v>
      </c>
      <c r="J32" s="148">
        <v>106719</v>
      </c>
      <c r="K32" s="148">
        <v>113945</v>
      </c>
      <c r="L32" s="148">
        <v>116022</v>
      </c>
    </row>
    <row r="33" spans="2:14" x14ac:dyDescent="0.25">
      <c r="B33" s="116" t="s">
        <v>29</v>
      </c>
      <c r="C33" s="151">
        <v>4749</v>
      </c>
      <c r="D33" s="151">
        <v>33387</v>
      </c>
      <c r="E33" s="151">
        <v>70746</v>
      </c>
      <c r="F33" s="151">
        <v>67335</v>
      </c>
      <c r="G33" s="151">
        <v>66909</v>
      </c>
      <c r="H33" s="151">
        <v>56755</v>
      </c>
      <c r="I33" s="151">
        <v>60320</v>
      </c>
      <c r="J33" s="151">
        <v>66642</v>
      </c>
      <c r="K33" s="151">
        <v>78873</v>
      </c>
      <c r="L33" s="151">
        <v>102207</v>
      </c>
    </row>
    <row r="34" spans="2:14" x14ac:dyDescent="0.25">
      <c r="B34" s="8"/>
      <c r="C34" s="148"/>
      <c r="D34" s="148"/>
      <c r="E34" s="148"/>
      <c r="F34" s="148"/>
      <c r="G34" s="148"/>
      <c r="H34" s="148"/>
      <c r="I34" s="148"/>
      <c r="J34" s="148"/>
      <c r="K34" s="148"/>
      <c r="L34" s="148"/>
    </row>
    <row r="35" spans="2:14" x14ac:dyDescent="0.25">
      <c r="B35" s="43" t="s">
        <v>307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</row>
    <row r="36" spans="2:14" x14ac:dyDescent="0.25">
      <c r="B36" t="s">
        <v>300</v>
      </c>
      <c r="C36" s="149">
        <v>11355</v>
      </c>
      <c r="D36" s="149">
        <v>10762</v>
      </c>
      <c r="E36" s="149">
        <v>30555</v>
      </c>
      <c r="F36" s="149">
        <v>31254</v>
      </c>
      <c r="G36" s="149">
        <v>35949</v>
      </c>
      <c r="H36" s="149">
        <v>34065</v>
      </c>
      <c r="I36" s="149">
        <v>45736</v>
      </c>
      <c r="J36" s="149">
        <v>55360</v>
      </c>
      <c r="K36" s="149">
        <v>45238</v>
      </c>
      <c r="L36" s="149">
        <v>53255</v>
      </c>
    </row>
    <row r="37" spans="2:14" x14ac:dyDescent="0.25">
      <c r="B37" t="s">
        <v>306</v>
      </c>
      <c r="C37" s="145">
        <v>18816</v>
      </c>
      <c r="D37" s="145">
        <v>8332</v>
      </c>
      <c r="E37" s="145">
        <v>12547</v>
      </c>
      <c r="F37" s="145">
        <v>13899</v>
      </c>
      <c r="G37" s="145">
        <v>15396</v>
      </c>
      <c r="H37" s="145">
        <v>9173</v>
      </c>
      <c r="I37" s="145">
        <v>16016</v>
      </c>
      <c r="J37" s="145">
        <v>19187</v>
      </c>
      <c r="K37" s="145">
        <v>18752</v>
      </c>
      <c r="L37" s="145">
        <v>19763</v>
      </c>
    </row>
    <row r="38" spans="2:14" x14ac:dyDescent="0.25">
      <c r="B38" t="s">
        <v>301</v>
      </c>
      <c r="C38" s="145">
        <v>16097</v>
      </c>
      <c r="D38" s="145">
        <v>24689</v>
      </c>
      <c r="E38" s="145">
        <v>13213</v>
      </c>
      <c r="F38" s="145">
        <v>5063</v>
      </c>
      <c r="G38" s="145">
        <v>4820</v>
      </c>
      <c r="H38" s="145">
        <v>9640</v>
      </c>
      <c r="I38" s="145">
        <v>7192</v>
      </c>
      <c r="J38" s="145">
        <v>6841</v>
      </c>
      <c r="K38" s="145">
        <v>29140</v>
      </c>
      <c r="L38" s="145">
        <v>36690</v>
      </c>
    </row>
    <row r="39" spans="2:14" x14ac:dyDescent="0.25">
      <c r="B39" t="s">
        <v>302</v>
      </c>
      <c r="C39" s="146">
        <v>820</v>
      </c>
      <c r="D39" s="146">
        <v>-683</v>
      </c>
      <c r="E39" s="146">
        <v>-546</v>
      </c>
      <c r="F39" s="146">
        <v>-618</v>
      </c>
      <c r="G39" s="146">
        <v>-815</v>
      </c>
      <c r="H39" s="145">
        <v>-1268</v>
      </c>
      <c r="I39" s="146">
        <v>-817</v>
      </c>
      <c r="J39" s="146">
        <v>-911</v>
      </c>
      <c r="K39" s="145">
        <v>-1060</v>
      </c>
      <c r="L39" s="145">
        <v>-1237</v>
      </c>
    </row>
    <row r="40" spans="2:14" x14ac:dyDescent="0.25">
      <c r="B40" t="s">
        <v>303</v>
      </c>
      <c r="C40" s="152">
        <v>42683</v>
      </c>
      <c r="D40" s="152">
        <v>41340</v>
      </c>
      <c r="E40" s="152">
        <v>47843</v>
      </c>
      <c r="F40" s="152">
        <v>54730</v>
      </c>
      <c r="G40" s="152">
        <v>70636</v>
      </c>
      <c r="H40" s="152">
        <v>72274</v>
      </c>
      <c r="I40" s="152">
        <v>69245</v>
      </c>
      <c r="J40" s="152">
        <v>75019</v>
      </c>
      <c r="K40" s="152">
        <v>77407</v>
      </c>
      <c r="L40" s="152">
        <v>84620</v>
      </c>
    </row>
    <row r="41" spans="2:14" x14ac:dyDescent="0.25">
      <c r="B41" s="41" t="s">
        <v>123</v>
      </c>
      <c r="C41" s="142">
        <v>337847</v>
      </c>
      <c r="D41" s="142">
        <v>341772</v>
      </c>
      <c r="E41" s="142">
        <v>444525</v>
      </c>
      <c r="F41" s="142">
        <v>459232</v>
      </c>
      <c r="G41" s="142">
        <v>492343</v>
      </c>
      <c r="H41" s="142">
        <v>508364</v>
      </c>
      <c r="I41" s="142">
        <v>541748</v>
      </c>
      <c r="J41" s="142">
        <v>583260</v>
      </c>
      <c r="K41" s="142">
        <v>613115</v>
      </c>
      <c r="L41" s="142">
        <v>709774</v>
      </c>
    </row>
    <row r="45" spans="2:14" x14ac:dyDescent="0.25"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</row>
    <row r="46" spans="2:14" x14ac:dyDescent="0.25">
      <c r="B46" t="s">
        <v>151</v>
      </c>
      <c r="C46" s="50">
        <v>33950</v>
      </c>
      <c r="D46" s="50">
        <v>46292</v>
      </c>
      <c r="E46" s="50">
        <v>45780</v>
      </c>
      <c r="F46" s="50">
        <v>56792</v>
      </c>
      <c r="G46" s="50">
        <v>61458</v>
      </c>
      <c r="H46" s="50">
        <v>70593</v>
      </c>
      <c r="I46" s="50">
        <v>47185</v>
      </c>
      <c r="J46" s="50">
        <v>78248</v>
      </c>
      <c r="K46" s="50">
        <v>86062</v>
      </c>
      <c r="L46" s="50">
        <v>99263</v>
      </c>
      <c r="N46" s="50"/>
    </row>
    <row r="47" spans="2:14" x14ac:dyDescent="0.25">
      <c r="B47" t="s">
        <v>127</v>
      </c>
      <c r="C47" s="50">
        <v>54535</v>
      </c>
      <c r="D47" s="50">
        <v>46768</v>
      </c>
      <c r="E47" s="50">
        <v>58077</v>
      </c>
      <c r="F47" s="50">
        <v>67335</v>
      </c>
      <c r="G47" s="50">
        <v>86600</v>
      </c>
      <c r="H47" s="50">
        <v>67907</v>
      </c>
      <c r="I47" s="50">
        <v>58661</v>
      </c>
      <c r="J47" s="50">
        <v>88028</v>
      </c>
      <c r="K47" s="50">
        <v>92907</v>
      </c>
      <c r="L47" s="50">
        <v>113693</v>
      </c>
      <c r="N47" s="50"/>
    </row>
    <row r="48" spans="2:14" x14ac:dyDescent="0.25">
      <c r="B48" t="s">
        <v>78</v>
      </c>
      <c r="C48" s="50">
        <v>-6040</v>
      </c>
      <c r="D48" s="50">
        <v>7835</v>
      </c>
      <c r="E48" s="50">
        <v>-2128</v>
      </c>
      <c r="F48" s="50">
        <v>-1744</v>
      </c>
      <c r="G48" s="50">
        <v>-2252</v>
      </c>
      <c r="H48" s="50">
        <v>6145</v>
      </c>
      <c r="I48" s="50">
        <v>-6666</v>
      </c>
      <c r="J48" s="50">
        <v>-3067</v>
      </c>
      <c r="K48" s="50">
        <v>615</v>
      </c>
      <c r="L48" s="50">
        <v>-1085</v>
      </c>
    </row>
    <row r="49" spans="2:14" x14ac:dyDescent="0.25">
      <c r="B49" t="s">
        <v>45</v>
      </c>
      <c r="C49" s="50">
        <v>4462</v>
      </c>
      <c r="D49">
        <v>491</v>
      </c>
      <c r="E49" s="50">
        <v>-6594</v>
      </c>
      <c r="F49" s="50">
        <v>-751</v>
      </c>
      <c r="G49" s="50">
        <v>-4682</v>
      </c>
      <c r="H49">
        <v>957</v>
      </c>
      <c r="I49" s="50">
        <v>-11681</v>
      </c>
      <c r="J49" s="50">
        <v>-9672</v>
      </c>
      <c r="K49" s="50">
        <v>9235</v>
      </c>
      <c r="L49" s="50">
        <v>-8135</v>
      </c>
      <c r="N49" s="50"/>
    </row>
    <row r="50" spans="2:14" x14ac:dyDescent="0.25">
      <c r="B50" t="s">
        <v>128</v>
      </c>
      <c r="C50" s="50">
        <v>-3972</v>
      </c>
      <c r="D50">
        <v>579</v>
      </c>
      <c r="E50" s="50">
        <v>-6214</v>
      </c>
      <c r="F50" s="50">
        <v>5875</v>
      </c>
      <c r="G50" s="50">
        <v>9441</v>
      </c>
      <c r="H50" s="50">
        <v>6161</v>
      </c>
      <c r="I50" s="50">
        <v>13406</v>
      </c>
      <c r="J50" s="50">
        <v>18358</v>
      </c>
      <c r="K50" s="50">
        <v>-4639</v>
      </c>
      <c r="L50" s="50">
        <v>9639</v>
      </c>
      <c r="N50" s="50"/>
    </row>
    <row r="51" spans="2:14" x14ac:dyDescent="0.25">
      <c r="B51" t="s">
        <v>129</v>
      </c>
      <c r="C51" s="50">
        <v>-3007</v>
      </c>
      <c r="D51">
        <v>145</v>
      </c>
      <c r="E51">
        <v>123</v>
      </c>
      <c r="F51" s="50">
        <v>-1866</v>
      </c>
      <c r="G51" s="50">
        <v>-6374</v>
      </c>
      <c r="H51" s="50">
        <v>2622</v>
      </c>
      <c r="I51" s="50">
        <v>5236</v>
      </c>
      <c r="J51">
        <v>-451</v>
      </c>
      <c r="K51">
        <v>526</v>
      </c>
      <c r="L51" s="50">
        <v>-1186</v>
      </c>
    </row>
    <row r="52" spans="2:14" x14ac:dyDescent="0.25">
      <c r="B52" t="s">
        <v>130</v>
      </c>
      <c r="C52" s="50">
        <v>-3078</v>
      </c>
      <c r="D52" s="50">
        <v>-1863</v>
      </c>
      <c r="E52" s="50">
        <v>12140</v>
      </c>
      <c r="F52" s="50">
        <v>-1261</v>
      </c>
      <c r="G52" s="50">
        <v>-5951</v>
      </c>
      <c r="H52" s="50">
        <v>-3182</v>
      </c>
      <c r="I52" s="50">
        <v>-4235</v>
      </c>
      <c r="J52" s="50">
        <v>-1452</v>
      </c>
      <c r="K52" s="50">
        <v>2971</v>
      </c>
      <c r="L52">
        <v>902</v>
      </c>
      <c r="N52" s="50"/>
    </row>
    <row r="53" spans="2:14" x14ac:dyDescent="0.25">
      <c r="B53" t="s">
        <v>131</v>
      </c>
      <c r="C53" s="50">
        <v>-11635</v>
      </c>
      <c r="D53" s="50">
        <v>7186</v>
      </c>
      <c r="E53" s="50">
        <v>-2673</v>
      </c>
      <c r="F53">
        <v>254</v>
      </c>
      <c r="G53" s="50">
        <v>-9817</v>
      </c>
      <c r="H53" s="50">
        <v>12702</v>
      </c>
      <c r="I53" s="50">
        <v>-3940</v>
      </c>
      <c r="J53" s="50">
        <v>3716</v>
      </c>
      <c r="K53" s="50">
        <v>8709</v>
      </c>
      <c r="L53">
        <v>136</v>
      </c>
      <c r="N53" s="50"/>
    </row>
    <row r="54" spans="2:14" x14ac:dyDescent="0.25">
      <c r="B54" t="s">
        <v>132</v>
      </c>
      <c r="C54" s="50">
        <v>-9029</v>
      </c>
      <c r="D54" s="50">
        <v>-7662</v>
      </c>
      <c r="E54" s="50">
        <v>-9624</v>
      </c>
      <c r="F54" s="50">
        <v>-10798</v>
      </c>
      <c r="G54" s="50">
        <v>-15326</v>
      </c>
      <c r="H54" s="50">
        <v>-10017</v>
      </c>
      <c r="I54" s="50">
        <v>-7537</v>
      </c>
      <c r="J54" s="50">
        <v>-13496</v>
      </c>
      <c r="K54" s="50">
        <v>-15554</v>
      </c>
      <c r="L54" s="50">
        <v>-14566</v>
      </c>
      <c r="N54" s="50"/>
    </row>
    <row r="55" spans="2:14" x14ac:dyDescent="0.25">
      <c r="B55" t="s">
        <v>133</v>
      </c>
      <c r="C55">
        <v>80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2:14" x14ac:dyDescent="0.25">
      <c r="B56" t="s">
        <v>152</v>
      </c>
      <c r="C56" s="50">
        <v>-30058</v>
      </c>
      <c r="D56" s="50">
        <v>-38256</v>
      </c>
      <c r="E56" s="50">
        <v>-43815</v>
      </c>
      <c r="F56" s="50">
        <v>-66798</v>
      </c>
      <c r="G56" s="50">
        <v>-37132</v>
      </c>
      <c r="H56" s="50">
        <v>-53159</v>
      </c>
      <c r="I56" s="50">
        <v>-39141</v>
      </c>
      <c r="J56" s="50">
        <v>-41197</v>
      </c>
      <c r="K56" s="50">
        <v>-74690</v>
      </c>
      <c r="L56" s="50">
        <v>-57203</v>
      </c>
      <c r="N56" s="50"/>
    </row>
    <row r="57" spans="2:14" x14ac:dyDescent="0.25">
      <c r="B57" s="161" t="s">
        <v>134</v>
      </c>
      <c r="C57" s="162">
        <v>-16906</v>
      </c>
      <c r="D57" s="162">
        <v>-15120</v>
      </c>
      <c r="E57" s="162">
        <v>-20524</v>
      </c>
      <c r="F57" s="162">
        <v>-27815</v>
      </c>
      <c r="G57" s="162">
        <v>-25963</v>
      </c>
      <c r="H57" s="162">
        <v>-42258</v>
      </c>
      <c r="I57" s="162">
        <v>-32319</v>
      </c>
      <c r="J57" s="162">
        <v>-33457</v>
      </c>
      <c r="K57" s="162">
        <v>-38719</v>
      </c>
      <c r="L57" s="162">
        <v>-37916</v>
      </c>
      <c r="N57" s="50"/>
    </row>
    <row r="58" spans="2:14" x14ac:dyDescent="0.25">
      <c r="B58" s="161" t="s">
        <v>135</v>
      </c>
      <c r="C58" s="161">
        <v>9</v>
      </c>
      <c r="D58" s="161">
        <v>26</v>
      </c>
      <c r="E58" s="161">
        <v>189</v>
      </c>
      <c r="F58" s="161">
        <v>83</v>
      </c>
      <c r="G58" s="161">
        <v>203</v>
      </c>
      <c r="H58" s="161">
        <v>401</v>
      </c>
      <c r="I58" s="161">
        <v>281</v>
      </c>
      <c r="J58" s="161">
        <v>367</v>
      </c>
      <c r="K58" s="161">
        <v>339</v>
      </c>
      <c r="L58" s="161">
        <v>251</v>
      </c>
    </row>
    <row r="59" spans="2:14" x14ac:dyDescent="0.25">
      <c r="B59" t="s">
        <v>136</v>
      </c>
      <c r="C59">
        <v>0</v>
      </c>
      <c r="D59" s="50">
        <v>-3003</v>
      </c>
      <c r="E59">
        <v>-631</v>
      </c>
      <c r="F59">
        <v>-240</v>
      </c>
      <c r="G59">
        <v>-236</v>
      </c>
      <c r="H59">
        <v>-235</v>
      </c>
      <c r="I59">
        <v>-327</v>
      </c>
      <c r="J59">
        <v>-836</v>
      </c>
      <c r="K59">
        <v>-291</v>
      </c>
      <c r="L59">
        <v>-8</v>
      </c>
    </row>
    <row r="60" spans="2:14" x14ac:dyDescent="0.25">
      <c r="B60" t="s">
        <v>137</v>
      </c>
      <c r="C60">
        <v>33</v>
      </c>
      <c r="D60">
        <v>0</v>
      </c>
      <c r="E60">
        <v>140</v>
      </c>
      <c r="F60" s="50">
        <v>5010</v>
      </c>
      <c r="G60">
        <v>0</v>
      </c>
      <c r="H60">
        <v>0</v>
      </c>
      <c r="I60">
        <v>0</v>
      </c>
      <c r="J60">
        <v>0</v>
      </c>
      <c r="K60">
        <v>0</v>
      </c>
      <c r="L60">
        <v>32</v>
      </c>
      <c r="N60" s="50"/>
    </row>
    <row r="61" spans="2:14" x14ac:dyDescent="0.25">
      <c r="B61" t="s">
        <v>138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165</v>
      </c>
      <c r="L61">
        <v>5</v>
      </c>
    </row>
    <row r="62" spans="2:14" x14ac:dyDescent="0.25">
      <c r="B62" t="s">
        <v>139</v>
      </c>
      <c r="C62" s="50">
        <v>2993</v>
      </c>
      <c r="D62" s="50">
        <v>2892</v>
      </c>
      <c r="E62" s="50">
        <v>2807</v>
      </c>
      <c r="F62" s="50">
        <v>2465</v>
      </c>
      <c r="G62" s="50">
        <v>1932</v>
      </c>
      <c r="H62" s="50">
        <v>1797</v>
      </c>
      <c r="I62" s="50">
        <v>1606</v>
      </c>
      <c r="J62" s="50">
        <v>1509</v>
      </c>
      <c r="K62" s="50">
        <v>2386</v>
      </c>
      <c r="L62" s="50">
        <v>4416</v>
      </c>
      <c r="N62" s="50"/>
    </row>
    <row r="63" spans="2:14" x14ac:dyDescent="0.25">
      <c r="B63" t="s">
        <v>140</v>
      </c>
      <c r="C63">
        <v>468</v>
      </c>
      <c r="D63" s="50">
        <v>1025</v>
      </c>
      <c r="E63" s="50">
        <v>1864</v>
      </c>
      <c r="F63" s="50">
        <v>4599</v>
      </c>
      <c r="G63" s="50">
        <v>6486</v>
      </c>
      <c r="H63" s="50">
        <v>5032</v>
      </c>
      <c r="I63" s="50">
        <v>4310</v>
      </c>
      <c r="J63" s="50">
        <v>4388</v>
      </c>
      <c r="K63" s="50">
        <v>3026</v>
      </c>
      <c r="L63" s="50">
        <v>3657</v>
      </c>
      <c r="N63" s="50"/>
    </row>
    <row r="64" spans="2:14" x14ac:dyDescent="0.25">
      <c r="B64" t="s">
        <v>141</v>
      </c>
      <c r="C64">
        <v>0</v>
      </c>
      <c r="D64">
        <v>-708</v>
      </c>
      <c r="E64" s="50">
        <v>-12482</v>
      </c>
      <c r="F64" s="50">
        <v>-3368</v>
      </c>
      <c r="G64" s="50">
        <v>-1468</v>
      </c>
      <c r="H64">
        <v>-838</v>
      </c>
      <c r="I64" s="50">
        <v>-2526</v>
      </c>
      <c r="J64" s="50">
        <v>-2447</v>
      </c>
      <c r="K64" s="50">
        <v>-3536</v>
      </c>
      <c r="L64" s="50">
        <v>-3530</v>
      </c>
      <c r="N64" s="50"/>
    </row>
    <row r="65" spans="2:14" x14ac:dyDescent="0.25">
      <c r="B65" t="s">
        <v>318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 s="50"/>
    </row>
    <row r="66" spans="2:14" x14ac:dyDescent="0.25">
      <c r="B66" t="s">
        <v>142</v>
      </c>
      <c r="C66" s="50">
        <v>-16655</v>
      </c>
      <c r="D66" s="50">
        <v>-23368</v>
      </c>
      <c r="E66" s="50">
        <v>-15177</v>
      </c>
      <c r="F66" s="50">
        <v>-47532</v>
      </c>
      <c r="G66" s="50">
        <v>-18085</v>
      </c>
      <c r="H66" s="50">
        <v>-17058</v>
      </c>
      <c r="I66" s="50">
        <v>-10165</v>
      </c>
      <c r="J66" s="50">
        <v>-10721</v>
      </c>
      <c r="K66" s="50">
        <v>-38060</v>
      </c>
      <c r="L66" s="50">
        <v>-24112</v>
      </c>
      <c r="N66" s="50"/>
    </row>
    <row r="67" spans="2:14" x14ac:dyDescent="0.25">
      <c r="B67" t="s">
        <v>153</v>
      </c>
      <c r="C67" s="50">
        <v>-10641</v>
      </c>
      <c r="D67" s="50">
        <v>-8972</v>
      </c>
      <c r="E67" s="50">
        <v>-1867</v>
      </c>
      <c r="F67" s="50">
        <v>9909</v>
      </c>
      <c r="G67" s="50">
        <v>-23324</v>
      </c>
      <c r="H67" s="50">
        <v>-16726</v>
      </c>
      <c r="I67" s="50">
        <v>-8239</v>
      </c>
      <c r="J67" s="50">
        <v>-35790</v>
      </c>
      <c r="K67" s="50">
        <v>-12876</v>
      </c>
      <c r="L67" s="50">
        <v>-45650</v>
      </c>
      <c r="N67" s="50"/>
    </row>
    <row r="68" spans="2:14" x14ac:dyDescent="0.25">
      <c r="B68" t="s">
        <v>144</v>
      </c>
      <c r="C68">
        <v>0</v>
      </c>
      <c r="D68" s="50">
        <v>4138</v>
      </c>
      <c r="E68" s="50">
        <v>15991</v>
      </c>
      <c r="F68" s="50">
        <v>33376</v>
      </c>
      <c r="G68" s="50">
        <v>8230</v>
      </c>
      <c r="H68" s="50">
        <v>27871</v>
      </c>
      <c r="I68" s="50">
        <v>18834</v>
      </c>
      <c r="J68" s="50">
        <v>17685</v>
      </c>
      <c r="K68" s="50">
        <v>27701</v>
      </c>
      <c r="L68" s="50">
        <v>22459</v>
      </c>
      <c r="N68" s="50"/>
    </row>
    <row r="69" spans="2:14" x14ac:dyDescent="0.25">
      <c r="B69" t="s">
        <v>145</v>
      </c>
      <c r="C69">
        <v>0</v>
      </c>
      <c r="D69" s="50">
        <v>-4332</v>
      </c>
      <c r="E69">
        <v>0</v>
      </c>
      <c r="F69" s="50">
        <v>-9316</v>
      </c>
      <c r="G69" s="50">
        <v>-11362</v>
      </c>
      <c r="H69" s="50">
        <v>-25460</v>
      </c>
      <c r="I69" s="50">
        <v>-13534</v>
      </c>
      <c r="J69" s="50">
        <v>-30679</v>
      </c>
      <c r="K69" s="50">
        <v>-10267</v>
      </c>
      <c r="L69" s="50">
        <v>-37880</v>
      </c>
      <c r="N69" s="50"/>
    </row>
    <row r="70" spans="2:14" x14ac:dyDescent="0.25">
      <c r="B70" t="s">
        <v>146</v>
      </c>
      <c r="C70" s="50">
        <v>-3003</v>
      </c>
      <c r="D70" s="50">
        <v>-2399</v>
      </c>
      <c r="E70" s="50">
        <v>-2126</v>
      </c>
      <c r="F70" s="50">
        <v>-2924</v>
      </c>
      <c r="G70" s="50">
        <v>-4056</v>
      </c>
      <c r="H70" s="50">
        <v>-4241</v>
      </c>
      <c r="I70" s="50">
        <v>-3834</v>
      </c>
      <c r="J70" s="50">
        <v>-4343</v>
      </c>
      <c r="K70" s="50">
        <v>-6134</v>
      </c>
      <c r="L70" s="50">
        <v>-9364</v>
      </c>
      <c r="N70" s="50"/>
    </row>
    <row r="71" spans="2:14" x14ac:dyDescent="0.25">
      <c r="B71" t="s">
        <v>147</v>
      </c>
      <c r="C71" s="50">
        <v>-7920</v>
      </c>
      <c r="D71" s="50">
        <v>-4917</v>
      </c>
      <c r="E71" s="50">
        <v>-15350</v>
      </c>
      <c r="F71" s="50">
        <v>-9496</v>
      </c>
      <c r="G71" s="50">
        <v>-10086</v>
      </c>
      <c r="H71" s="50">
        <v>-8297</v>
      </c>
      <c r="I71" s="50">
        <v>-3096</v>
      </c>
      <c r="J71" s="50">
        <v>-12924</v>
      </c>
      <c r="K71" s="50">
        <v>-17609</v>
      </c>
      <c r="L71" s="50">
        <v>-12895</v>
      </c>
      <c r="N71" s="50"/>
    </row>
    <row r="72" spans="2:14" x14ac:dyDescent="0.25">
      <c r="B72" t="s">
        <v>148</v>
      </c>
      <c r="C72">
        <v>0</v>
      </c>
      <c r="D72">
        <v>0</v>
      </c>
      <c r="E72">
        <v>0</v>
      </c>
      <c r="F72">
        <v>0</v>
      </c>
      <c r="G72">
        <v>0</v>
      </c>
      <c r="H72" s="50">
        <v>-5038</v>
      </c>
      <c r="I72" s="50">
        <v>-5688</v>
      </c>
      <c r="J72" s="50">
        <v>-5250</v>
      </c>
      <c r="K72" s="50">
        <v>-5948</v>
      </c>
      <c r="L72" s="50">
        <v>-7362</v>
      </c>
      <c r="N72" s="50"/>
    </row>
    <row r="73" spans="2:14" x14ac:dyDescent="0.25">
      <c r="B73" t="s">
        <v>149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2:14" x14ac:dyDescent="0.25">
      <c r="B74" t="s">
        <v>150</v>
      </c>
      <c r="C74">
        <v>283</v>
      </c>
      <c r="D74" s="50">
        <v>-1462</v>
      </c>
      <c r="E74">
        <v>-382</v>
      </c>
      <c r="F74" s="50">
        <v>-1731</v>
      </c>
      <c r="G74" s="50">
        <v>-6051</v>
      </c>
      <c r="H74" s="50">
        <v>-1561</v>
      </c>
      <c r="I74">
        <v>-921</v>
      </c>
      <c r="J74">
        <v>-278</v>
      </c>
      <c r="K74">
        <v>-619</v>
      </c>
      <c r="L74">
        <v>-609</v>
      </c>
      <c r="N74" s="50"/>
    </row>
    <row r="75" spans="2:14" x14ac:dyDescent="0.25">
      <c r="B75" t="s">
        <v>35</v>
      </c>
      <c r="C75" s="50">
        <v>-6749</v>
      </c>
      <c r="D75">
        <v>-935</v>
      </c>
      <c r="E75">
        <v>99</v>
      </c>
      <c r="F75">
        <v>-97</v>
      </c>
      <c r="G75" s="50">
        <v>1001</v>
      </c>
      <c r="H75">
        <v>708</v>
      </c>
      <c r="I75">
        <v>-195</v>
      </c>
      <c r="J75" s="50">
        <v>1261</v>
      </c>
      <c r="K75" s="50">
        <v>-1504</v>
      </c>
      <c r="L75" s="50">
        <v>-3591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2"/>
  <sheetViews>
    <sheetView workbookViewId="0">
      <selection activeCell="B33" sqref="B33"/>
    </sheetView>
  </sheetViews>
  <sheetFormatPr defaultRowHeight="15" x14ac:dyDescent="0.25"/>
  <cols>
    <col min="2" max="2" width="28" bestFit="1" customWidth="1"/>
    <col min="3" max="3" width="9.140625" customWidth="1"/>
  </cols>
  <sheetData>
    <row r="2" spans="2:19" x14ac:dyDescent="0.25">
      <c r="C2" s="49">
        <v>41334</v>
      </c>
      <c r="D2" s="49">
        <v>41699</v>
      </c>
      <c r="E2" s="49">
        <v>42064</v>
      </c>
      <c r="F2" s="49">
        <v>42430</v>
      </c>
      <c r="G2" s="49">
        <v>42795</v>
      </c>
      <c r="H2" s="49">
        <v>43160</v>
      </c>
      <c r="I2" s="49">
        <v>43525</v>
      </c>
      <c r="J2" s="49">
        <v>43891</v>
      </c>
      <c r="K2" s="49">
        <v>44256</v>
      </c>
      <c r="L2" s="49">
        <v>44621</v>
      </c>
      <c r="M2" s="49">
        <v>44986</v>
      </c>
      <c r="N2" s="49">
        <v>45352</v>
      </c>
    </row>
    <row r="3" spans="2:19" x14ac:dyDescent="0.25">
      <c r="B3" t="s">
        <v>151</v>
      </c>
      <c r="C3" s="50">
        <v>39874</v>
      </c>
      <c r="D3" s="50">
        <v>53270</v>
      </c>
      <c r="E3" s="50">
        <v>33950</v>
      </c>
      <c r="F3" s="50">
        <v>46292</v>
      </c>
      <c r="G3" s="50">
        <v>45780</v>
      </c>
      <c r="H3" s="50">
        <v>56792</v>
      </c>
      <c r="I3" s="50">
        <v>61458</v>
      </c>
      <c r="J3" s="50">
        <v>70593</v>
      </c>
      <c r="K3" s="50">
        <v>47185</v>
      </c>
      <c r="L3" s="50">
        <v>78248</v>
      </c>
      <c r="M3" s="50">
        <v>86062</v>
      </c>
      <c r="N3" s="50">
        <v>99263</v>
      </c>
    </row>
    <row r="4" spans="2:19" x14ac:dyDescent="0.25">
      <c r="B4" t="s">
        <v>127</v>
      </c>
      <c r="C4" s="50">
        <v>58306</v>
      </c>
      <c r="D4" s="50">
        <v>59570</v>
      </c>
      <c r="E4" s="50">
        <v>54535</v>
      </c>
      <c r="F4" s="50">
        <v>46768</v>
      </c>
      <c r="G4" s="50">
        <v>58077</v>
      </c>
      <c r="H4" s="50">
        <v>67335</v>
      </c>
      <c r="I4" s="50">
        <v>86600</v>
      </c>
      <c r="J4" s="50">
        <v>67907</v>
      </c>
      <c r="K4" s="50">
        <v>58661</v>
      </c>
      <c r="L4" s="50">
        <v>88028</v>
      </c>
      <c r="M4" s="50">
        <v>92907</v>
      </c>
      <c r="N4" s="50">
        <v>113693</v>
      </c>
    </row>
    <row r="5" spans="2:19" x14ac:dyDescent="0.25">
      <c r="B5" t="s">
        <v>78</v>
      </c>
      <c r="C5" s="50">
        <v>-4431</v>
      </c>
      <c r="D5">
        <v>571</v>
      </c>
      <c r="E5" s="50">
        <v>-6040</v>
      </c>
      <c r="F5" s="50">
        <v>7835</v>
      </c>
      <c r="G5" s="50">
        <v>-2128</v>
      </c>
      <c r="H5" s="50">
        <v>-1744</v>
      </c>
      <c r="I5" s="50">
        <v>-2252</v>
      </c>
      <c r="J5" s="50">
        <v>6145</v>
      </c>
      <c r="K5" s="50">
        <v>-6666</v>
      </c>
      <c r="L5" s="50">
        <v>-3067</v>
      </c>
      <c r="M5">
        <v>615</v>
      </c>
      <c r="N5" s="50">
        <v>-1085</v>
      </c>
    </row>
    <row r="6" spans="2:19" x14ac:dyDescent="0.25">
      <c r="B6" t="s">
        <v>45</v>
      </c>
      <c r="C6">
        <v>292</v>
      </c>
      <c r="D6" s="50">
        <v>-2202</v>
      </c>
      <c r="E6" s="50">
        <v>4462</v>
      </c>
      <c r="F6">
        <v>491</v>
      </c>
      <c r="G6" s="50">
        <v>-6594</v>
      </c>
      <c r="H6">
        <v>-751</v>
      </c>
      <c r="I6" s="50">
        <v>-4682</v>
      </c>
      <c r="J6">
        <v>957</v>
      </c>
      <c r="K6" s="50">
        <v>-11681</v>
      </c>
      <c r="L6" s="50">
        <v>-9672</v>
      </c>
      <c r="M6" s="50">
        <v>9235</v>
      </c>
      <c r="N6" s="50">
        <v>-8135</v>
      </c>
    </row>
    <row r="7" spans="2:19" x14ac:dyDescent="0.25">
      <c r="B7" t="s">
        <v>128</v>
      </c>
      <c r="C7">
        <v>189</v>
      </c>
      <c r="D7" s="50">
        <v>20772</v>
      </c>
      <c r="E7" s="50">
        <v>-3972</v>
      </c>
      <c r="F7">
        <v>579</v>
      </c>
      <c r="G7" s="50">
        <v>-6214</v>
      </c>
      <c r="H7" s="50">
        <v>5875</v>
      </c>
      <c r="I7" s="50">
        <v>9441</v>
      </c>
      <c r="J7" s="50">
        <v>6161</v>
      </c>
      <c r="K7" s="50">
        <v>13406</v>
      </c>
      <c r="L7" s="50">
        <v>18358</v>
      </c>
      <c r="M7" s="50">
        <v>-4639</v>
      </c>
      <c r="N7" s="50">
        <v>9639</v>
      </c>
      <c r="S7" s="50">
        <f>SUM(E4:E12)</f>
        <v>22316</v>
      </c>
    </row>
    <row r="8" spans="2:19" x14ac:dyDescent="0.25">
      <c r="B8" t="s">
        <v>129</v>
      </c>
      <c r="C8">
        <v>-881</v>
      </c>
      <c r="D8">
        <v>-137</v>
      </c>
      <c r="E8" s="50">
        <v>-3007</v>
      </c>
      <c r="F8">
        <v>145</v>
      </c>
      <c r="G8">
        <v>123</v>
      </c>
      <c r="H8" s="50">
        <v>-1866</v>
      </c>
      <c r="I8" s="50">
        <v>-6374</v>
      </c>
      <c r="J8" s="50">
        <v>2622</v>
      </c>
      <c r="K8" s="50">
        <v>5236</v>
      </c>
      <c r="L8">
        <v>-451</v>
      </c>
      <c r="M8">
        <v>526</v>
      </c>
      <c r="N8" s="50">
        <v>-1186</v>
      </c>
    </row>
    <row r="9" spans="2:19" x14ac:dyDescent="0.25">
      <c r="B9" t="s">
        <v>130</v>
      </c>
      <c r="C9" s="50">
        <v>-1176</v>
      </c>
      <c r="D9" s="50">
        <v>-14801</v>
      </c>
      <c r="E9" s="50">
        <v>-3078</v>
      </c>
      <c r="F9" s="50">
        <v>-1863</v>
      </c>
      <c r="G9" s="50">
        <v>12140</v>
      </c>
      <c r="H9" s="50">
        <v>-1261</v>
      </c>
      <c r="I9" s="50">
        <v>-5951</v>
      </c>
      <c r="J9" s="50">
        <v>-3182</v>
      </c>
      <c r="K9" s="50">
        <v>-4235</v>
      </c>
      <c r="L9" s="50">
        <v>-1452</v>
      </c>
      <c r="M9" s="50">
        <v>2971</v>
      </c>
      <c r="N9">
        <v>902</v>
      </c>
    </row>
    <row r="10" spans="2:19" x14ac:dyDescent="0.25">
      <c r="B10" t="s">
        <v>131</v>
      </c>
      <c r="C10" s="50">
        <v>-6007</v>
      </c>
      <c r="D10" s="50">
        <v>4203</v>
      </c>
      <c r="E10" s="50">
        <v>-11635</v>
      </c>
      <c r="F10" s="50">
        <v>7186</v>
      </c>
      <c r="G10" s="50">
        <v>-2673</v>
      </c>
      <c r="H10">
        <v>254</v>
      </c>
      <c r="I10" s="50">
        <v>-9817</v>
      </c>
      <c r="J10" s="50">
        <v>12702</v>
      </c>
      <c r="K10" s="50">
        <v>-3940</v>
      </c>
      <c r="L10" s="50">
        <v>3716</v>
      </c>
      <c r="M10" s="50">
        <v>8709</v>
      </c>
      <c r="N10">
        <v>136</v>
      </c>
    </row>
    <row r="11" spans="2:19" x14ac:dyDescent="0.25">
      <c r="B11" t="s">
        <v>132</v>
      </c>
      <c r="C11" s="50">
        <v>-12416</v>
      </c>
      <c r="D11" s="50">
        <v>-10567</v>
      </c>
      <c r="E11" s="50">
        <v>-9029</v>
      </c>
      <c r="F11" s="50">
        <v>-7662</v>
      </c>
      <c r="G11" s="50">
        <v>-9624</v>
      </c>
      <c r="H11" s="50">
        <v>-10798</v>
      </c>
      <c r="I11" s="50">
        <v>-15326</v>
      </c>
      <c r="J11" s="50">
        <v>-10017</v>
      </c>
      <c r="K11" s="50">
        <v>-7537</v>
      </c>
      <c r="L11" s="50">
        <v>-13496</v>
      </c>
      <c r="M11" s="50">
        <v>-15554</v>
      </c>
      <c r="N11" s="50">
        <v>-14566</v>
      </c>
    </row>
    <row r="12" spans="2:19" x14ac:dyDescent="0.25">
      <c r="B12" t="s">
        <v>133</v>
      </c>
      <c r="C12">
        <v>-9</v>
      </c>
      <c r="D12">
        <v>64</v>
      </c>
      <c r="E12">
        <v>80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2:19" x14ac:dyDescent="0.25">
      <c r="B13" t="s">
        <v>152</v>
      </c>
      <c r="C13" s="50">
        <v>-41220</v>
      </c>
      <c r="D13" s="50">
        <v>-63633</v>
      </c>
      <c r="E13" s="50">
        <v>-30058</v>
      </c>
      <c r="F13" s="50">
        <v>-38256</v>
      </c>
      <c r="G13" s="50">
        <v>-43815</v>
      </c>
      <c r="H13" s="50">
        <v>-66798</v>
      </c>
      <c r="I13" s="50">
        <v>-37132</v>
      </c>
      <c r="J13" s="50">
        <v>-53159</v>
      </c>
      <c r="K13" s="50">
        <v>-39141</v>
      </c>
      <c r="L13" s="50">
        <v>-41197</v>
      </c>
      <c r="M13" s="50">
        <v>-74690</v>
      </c>
      <c r="N13" s="50">
        <v>-57203</v>
      </c>
    </row>
    <row r="14" spans="2:19" x14ac:dyDescent="0.25">
      <c r="B14" t="s">
        <v>134</v>
      </c>
      <c r="C14" s="50">
        <v>-17961</v>
      </c>
      <c r="D14" s="50">
        <v>-14938</v>
      </c>
      <c r="E14" s="50">
        <v>-16906</v>
      </c>
      <c r="F14" s="50">
        <v>-15120</v>
      </c>
      <c r="G14" s="50">
        <v>-20524</v>
      </c>
      <c r="H14" s="50">
        <v>-27815</v>
      </c>
      <c r="I14" s="50">
        <v>-25963</v>
      </c>
      <c r="J14" s="50">
        <v>-42258</v>
      </c>
      <c r="K14" s="50">
        <v>-32319</v>
      </c>
      <c r="L14" s="50">
        <v>-33457</v>
      </c>
      <c r="M14" s="50">
        <v>-38719</v>
      </c>
      <c r="N14" s="50">
        <v>-37916</v>
      </c>
    </row>
    <row r="15" spans="2:19" x14ac:dyDescent="0.25">
      <c r="B15" t="s">
        <v>135</v>
      </c>
      <c r="C15">
        <v>17</v>
      </c>
      <c r="D15">
        <v>3</v>
      </c>
      <c r="E15">
        <v>9</v>
      </c>
      <c r="F15">
        <v>26</v>
      </c>
      <c r="G15">
        <v>189</v>
      </c>
      <c r="H15">
        <v>83</v>
      </c>
      <c r="I15">
        <v>203</v>
      </c>
      <c r="J15">
        <v>401</v>
      </c>
      <c r="K15">
        <v>281</v>
      </c>
      <c r="L15">
        <v>367</v>
      </c>
      <c r="M15">
        <v>339</v>
      </c>
      <c r="N15">
        <v>251</v>
      </c>
    </row>
    <row r="16" spans="2:19" x14ac:dyDescent="0.25">
      <c r="B16" t="s">
        <v>136</v>
      </c>
      <c r="C16">
        <v>-83</v>
      </c>
      <c r="D16">
        <v>0</v>
      </c>
      <c r="E16">
        <v>0</v>
      </c>
      <c r="F16" s="50">
        <v>-3003</v>
      </c>
      <c r="G16">
        <v>-631</v>
      </c>
      <c r="H16">
        <v>-240</v>
      </c>
      <c r="I16">
        <v>-236</v>
      </c>
      <c r="J16">
        <v>-235</v>
      </c>
      <c r="K16">
        <v>-327</v>
      </c>
      <c r="L16">
        <v>-836</v>
      </c>
      <c r="M16">
        <v>-291</v>
      </c>
      <c r="N16">
        <v>-8</v>
      </c>
    </row>
    <row r="17" spans="2:14" x14ac:dyDescent="0.25">
      <c r="B17" t="s">
        <v>137</v>
      </c>
      <c r="C17">
        <v>879</v>
      </c>
      <c r="D17">
        <v>65</v>
      </c>
      <c r="E17">
        <v>33</v>
      </c>
      <c r="F17">
        <v>0</v>
      </c>
      <c r="G17">
        <v>140</v>
      </c>
      <c r="H17" s="50">
        <v>5010</v>
      </c>
      <c r="I17">
        <v>0</v>
      </c>
      <c r="J17">
        <v>0</v>
      </c>
      <c r="K17">
        <v>0</v>
      </c>
      <c r="L17">
        <v>0</v>
      </c>
      <c r="M17">
        <v>0</v>
      </c>
      <c r="N17">
        <v>32</v>
      </c>
    </row>
    <row r="18" spans="2:14" x14ac:dyDescent="0.25">
      <c r="B18" t="s">
        <v>138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165</v>
      </c>
      <c r="N18">
        <v>5</v>
      </c>
    </row>
    <row r="19" spans="2:14" x14ac:dyDescent="0.25">
      <c r="B19" t="s">
        <v>139</v>
      </c>
      <c r="C19" s="50">
        <v>3594</v>
      </c>
      <c r="D19" s="50">
        <v>3145</v>
      </c>
      <c r="E19" s="50">
        <v>2993</v>
      </c>
      <c r="F19" s="50">
        <v>2892</v>
      </c>
      <c r="G19" s="50">
        <v>2807</v>
      </c>
      <c r="H19" s="50">
        <v>2465</v>
      </c>
      <c r="I19" s="50">
        <v>1932</v>
      </c>
      <c r="J19" s="50">
        <v>1797</v>
      </c>
      <c r="K19" s="50">
        <v>1606</v>
      </c>
      <c r="L19" s="50">
        <v>1509</v>
      </c>
      <c r="M19" s="50">
        <v>2386</v>
      </c>
      <c r="N19" s="50">
        <v>4416</v>
      </c>
    </row>
    <row r="20" spans="2:14" x14ac:dyDescent="0.25">
      <c r="B20" t="s">
        <v>140</v>
      </c>
      <c r="C20">
        <v>320</v>
      </c>
      <c r="D20">
        <v>355</v>
      </c>
      <c r="E20">
        <v>468</v>
      </c>
      <c r="F20" s="50">
        <v>1025</v>
      </c>
      <c r="G20" s="50">
        <v>1864</v>
      </c>
      <c r="H20" s="50">
        <v>4599</v>
      </c>
      <c r="I20" s="50">
        <v>6486</v>
      </c>
      <c r="J20" s="50">
        <v>5032</v>
      </c>
      <c r="K20" s="50">
        <v>4310</v>
      </c>
      <c r="L20" s="50">
        <v>4388</v>
      </c>
      <c r="M20" s="50">
        <v>3026</v>
      </c>
      <c r="N20" s="50">
        <v>3657</v>
      </c>
    </row>
    <row r="21" spans="2:14" x14ac:dyDescent="0.25">
      <c r="B21" t="s">
        <v>141</v>
      </c>
      <c r="C21">
        <v>26</v>
      </c>
      <c r="D21">
        <v>0</v>
      </c>
      <c r="E21">
        <v>0</v>
      </c>
      <c r="F21">
        <v>-708</v>
      </c>
      <c r="G21" s="50">
        <v>-12482</v>
      </c>
      <c r="H21" s="50">
        <v>-3368</v>
      </c>
      <c r="I21" s="50">
        <v>-1468</v>
      </c>
      <c r="J21">
        <v>-838</v>
      </c>
      <c r="K21" s="50">
        <v>-2526</v>
      </c>
      <c r="L21" s="50">
        <v>-2447</v>
      </c>
      <c r="M21" s="50">
        <v>-3536</v>
      </c>
      <c r="N21" s="50">
        <v>-3530</v>
      </c>
    </row>
    <row r="22" spans="2:14" x14ac:dyDescent="0.25">
      <c r="B22" t="s">
        <v>142</v>
      </c>
      <c r="C22" s="50">
        <v>-28013</v>
      </c>
      <c r="D22" s="50">
        <v>-52262</v>
      </c>
      <c r="E22" s="50">
        <v>-16655</v>
      </c>
      <c r="F22" s="50">
        <v>-23368</v>
      </c>
      <c r="G22" s="50">
        <v>-15177</v>
      </c>
      <c r="H22" s="50">
        <v>-47532</v>
      </c>
      <c r="I22" s="50">
        <v>-18085</v>
      </c>
      <c r="J22" s="50">
        <v>-17058</v>
      </c>
      <c r="K22" s="50">
        <v>-10165</v>
      </c>
      <c r="L22" s="50">
        <v>-10721</v>
      </c>
      <c r="M22" s="50">
        <v>-38060</v>
      </c>
      <c r="N22" s="50">
        <v>-24112</v>
      </c>
    </row>
    <row r="23" spans="2:14" x14ac:dyDescent="0.25">
      <c r="B23" t="s">
        <v>153</v>
      </c>
      <c r="C23" s="50">
        <v>-6927</v>
      </c>
      <c r="D23" s="50">
        <v>15225</v>
      </c>
      <c r="E23" s="50">
        <v>-10641</v>
      </c>
      <c r="F23" s="50">
        <v>-8972</v>
      </c>
      <c r="G23" s="50">
        <v>-1867</v>
      </c>
      <c r="H23" s="50">
        <v>9909</v>
      </c>
      <c r="I23" s="50">
        <v>-23324</v>
      </c>
      <c r="J23" s="50">
        <v>-16726</v>
      </c>
      <c r="K23" s="50">
        <v>-8239</v>
      </c>
      <c r="L23" s="50">
        <v>-35790</v>
      </c>
      <c r="M23" s="50">
        <v>-12876</v>
      </c>
      <c r="N23" s="50">
        <v>-45650</v>
      </c>
    </row>
    <row r="24" spans="2:14" x14ac:dyDescent="0.25">
      <c r="B24" t="s">
        <v>143</v>
      </c>
      <c r="C24">
        <v>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2:14" x14ac:dyDescent="0.25">
      <c r="B25" t="s">
        <v>144</v>
      </c>
      <c r="C25">
        <v>0</v>
      </c>
      <c r="D25">
        <v>0</v>
      </c>
      <c r="E25">
        <v>0</v>
      </c>
      <c r="F25" s="50">
        <v>4138</v>
      </c>
      <c r="G25" s="50">
        <v>15991</v>
      </c>
      <c r="H25" s="50">
        <v>33376</v>
      </c>
      <c r="I25" s="50">
        <v>8230</v>
      </c>
      <c r="J25" s="50">
        <v>27871</v>
      </c>
      <c r="K25" s="50">
        <v>18834</v>
      </c>
      <c r="L25" s="50">
        <v>17685</v>
      </c>
      <c r="M25" s="50">
        <v>27701</v>
      </c>
      <c r="N25" s="50">
        <v>22459</v>
      </c>
    </row>
    <row r="26" spans="2:14" x14ac:dyDescent="0.25">
      <c r="B26" t="s">
        <v>145</v>
      </c>
      <c r="C26">
        <v>0</v>
      </c>
      <c r="D26">
        <v>0</v>
      </c>
      <c r="E26">
        <v>0</v>
      </c>
      <c r="F26" s="50">
        <v>-4332</v>
      </c>
      <c r="G26">
        <v>0</v>
      </c>
      <c r="H26" s="50">
        <v>-9316</v>
      </c>
      <c r="I26" s="50">
        <v>-11362</v>
      </c>
      <c r="J26" s="50">
        <v>-25460</v>
      </c>
      <c r="K26" s="50">
        <v>-13534</v>
      </c>
      <c r="L26" s="50">
        <v>-30679</v>
      </c>
      <c r="M26" s="50">
        <v>-10267</v>
      </c>
      <c r="N26" s="50">
        <v>-37880</v>
      </c>
    </row>
    <row r="27" spans="2:14" x14ac:dyDescent="0.25">
      <c r="B27" t="s">
        <v>146</v>
      </c>
      <c r="C27">
        <v>-687</v>
      </c>
      <c r="D27">
        <v>-709</v>
      </c>
      <c r="E27" s="50">
        <v>-3003</v>
      </c>
      <c r="F27" s="50">
        <v>-2399</v>
      </c>
      <c r="G27" s="50">
        <v>-2126</v>
      </c>
      <c r="H27" s="50">
        <v>-2924</v>
      </c>
      <c r="I27" s="50">
        <v>-4056</v>
      </c>
      <c r="J27" s="50">
        <v>-4241</v>
      </c>
      <c r="K27" s="50">
        <v>-3834</v>
      </c>
      <c r="L27" s="50">
        <v>-4343</v>
      </c>
      <c r="M27" s="50">
        <v>-6134</v>
      </c>
      <c r="N27" s="50">
        <v>-9364</v>
      </c>
    </row>
    <row r="28" spans="2:14" x14ac:dyDescent="0.25">
      <c r="B28" t="s">
        <v>147</v>
      </c>
      <c r="C28" s="50">
        <v>-9496</v>
      </c>
      <c r="D28" s="50">
        <v>-8345</v>
      </c>
      <c r="E28" s="50">
        <v>-7920</v>
      </c>
      <c r="F28" s="50">
        <v>-4917</v>
      </c>
      <c r="G28" s="50">
        <v>-15350</v>
      </c>
      <c r="H28" s="50">
        <v>-9496</v>
      </c>
      <c r="I28" s="50">
        <v>-10086</v>
      </c>
      <c r="J28" s="50">
        <v>-8297</v>
      </c>
      <c r="K28" s="50">
        <v>-3096</v>
      </c>
      <c r="L28" s="50">
        <v>-12924</v>
      </c>
      <c r="M28" s="50">
        <v>-17609</v>
      </c>
      <c r="N28" s="50">
        <v>-12895</v>
      </c>
    </row>
    <row r="29" spans="2:14" x14ac:dyDescent="0.25">
      <c r="B29" t="s">
        <v>148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50">
        <v>-5038</v>
      </c>
      <c r="K29" s="50">
        <v>-5688</v>
      </c>
      <c r="L29" s="50">
        <v>-5250</v>
      </c>
      <c r="M29" s="50">
        <v>-5948</v>
      </c>
      <c r="N29" s="50">
        <v>-7362</v>
      </c>
    </row>
    <row r="30" spans="2:14" x14ac:dyDescent="0.25">
      <c r="B30" t="s">
        <v>149</v>
      </c>
      <c r="C30">
        <v>0</v>
      </c>
      <c r="D30">
        <v>178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25">
      <c r="B31" t="s">
        <v>150</v>
      </c>
      <c r="C31" s="50">
        <v>3199</v>
      </c>
      <c r="D31" s="50">
        <v>24101</v>
      </c>
      <c r="E31">
        <v>283</v>
      </c>
      <c r="F31" s="50">
        <v>-1462</v>
      </c>
      <c r="G31">
        <v>-382</v>
      </c>
      <c r="H31" s="50">
        <v>-1731</v>
      </c>
      <c r="I31" s="50">
        <v>-6051</v>
      </c>
      <c r="J31" s="50">
        <v>-1561</v>
      </c>
      <c r="K31">
        <v>-921</v>
      </c>
      <c r="L31">
        <v>-278</v>
      </c>
      <c r="M31">
        <v>-619</v>
      </c>
      <c r="N31">
        <v>-609</v>
      </c>
    </row>
    <row r="32" spans="2:14" x14ac:dyDescent="0.25">
      <c r="B32" t="s">
        <v>35</v>
      </c>
      <c r="C32" s="50">
        <v>-8273</v>
      </c>
      <c r="D32" s="50">
        <v>4862</v>
      </c>
      <c r="E32" s="50">
        <v>-6749</v>
      </c>
      <c r="F32">
        <v>-935</v>
      </c>
      <c r="G32">
        <v>99</v>
      </c>
      <c r="H32">
        <v>-97</v>
      </c>
      <c r="I32" s="50">
        <v>1001</v>
      </c>
      <c r="J32">
        <v>708</v>
      </c>
      <c r="K32">
        <v>-195</v>
      </c>
      <c r="L32" s="50">
        <v>1261</v>
      </c>
      <c r="M32" s="50">
        <v>-1504</v>
      </c>
      <c r="N32" s="50">
        <v>-3591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Profit &amp; Loss</vt:lpstr>
      <vt:lpstr>Quarters</vt:lpstr>
      <vt:lpstr>Balance Sheet</vt:lpstr>
      <vt:lpstr>Cash Flow</vt:lpstr>
      <vt:lpstr>Customization</vt:lpstr>
      <vt:lpstr>Historical FS</vt:lpstr>
      <vt:lpstr>Ratio Analysis</vt:lpstr>
      <vt:lpstr>Common Size Statement</vt:lpstr>
      <vt:lpstr>Forecasting</vt:lpstr>
      <vt:lpstr>WACC</vt:lpstr>
      <vt:lpstr>BETA</vt:lpstr>
      <vt:lpstr>Intristic Growth</vt:lpstr>
      <vt:lpstr>FCFF</vt:lpstr>
      <vt:lpstr>Relative Valuation</vt:lpstr>
      <vt:lpstr>Football Field Analysis</vt:lpstr>
      <vt:lpstr>VaR</vt:lpstr>
      <vt:lpstr>Monte Carlo Simulation</vt:lpstr>
      <vt:lpstr>Data Sheet</vt:lpstr>
      <vt:lpstr>Dupont Analysis</vt:lpstr>
      <vt:lpstr>Rm</vt:lpstr>
      <vt:lpstr>Comps Data</vt:lpstr>
      <vt:lpstr>Forecasting(REGRESSION)</vt:lpstr>
      <vt:lpstr>Raw FS</vt:lpstr>
      <vt:lpstr>Cash Flow Data</vt:lpstr>
      <vt:lpstr>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RAMA MURTY BHOGISETTI-127564</cp:lastModifiedBy>
  <cp:lastPrinted>2025-05-27T12:21:26Z</cp:lastPrinted>
  <dcterms:created xsi:type="dcterms:W3CDTF">2012-08-17T09:55:37Z</dcterms:created>
  <dcterms:modified xsi:type="dcterms:W3CDTF">2025-05-28T13:53:16Z</dcterms:modified>
</cp:coreProperties>
</file>